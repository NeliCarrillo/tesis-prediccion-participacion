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a" sheetId="1" r:id="rId4"/>
    <sheet state="visible" name="Acum" sheetId="2" r:id="rId5"/>
    <sheet state="visible" name="Quiz 1" sheetId="3" r:id="rId6"/>
    <sheet state="visible" name="Parcial 1" sheetId="4" r:id="rId7"/>
    <sheet state="visible" name="Quiz 2" sheetId="5" r:id="rId8"/>
    <sheet state="visible" name="Parcial 2" sheetId="6" r:id="rId9"/>
    <sheet state="visible" name="Proyecto" sheetId="7" r:id="rId10"/>
    <sheet state="visible" name="Eval. Cont." sheetId="8" r:id="rId11"/>
    <sheet state="visible" name="Partic" sheetId="9" r:id="rId12"/>
    <sheet state="visible" name="Tareas" sheetId="10" r:id="rId13"/>
    <sheet state="visible" name="Xtra" sheetId="11" r:id="rId14"/>
  </sheets>
  <definedNames/>
  <calcPr/>
  <extLst>
    <ext uri="GoogleSheetsCustomDataVersion2">
      <go:sheetsCustomData xmlns:go="http://customooxmlschemas.google.com/" r:id="rId15" roundtripDataChecksum="1jnVeSGz8ZWl3hKjTK9NtMGnWlW+cKce024EoniS5w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Tarea
======</t>
      </text>
    </comment>
    <comment authorId="0" ref="H6">
      <text>
        <t xml:space="preserve">Tarea
======</t>
      </text>
    </comment>
    <comment authorId="0" ref="G7">
      <text>
        <t xml:space="preserve">Tarea
======</t>
      </text>
    </comment>
    <comment authorId="0" ref="H7">
      <text>
        <t xml:space="preserve">Tarea
======</t>
      </text>
    </comment>
    <comment authorId="0" ref="P7">
      <text>
        <t xml:space="preserve">Dinámica
======</t>
      </text>
    </comment>
    <comment authorId="0" ref="I10">
      <text>
        <t xml:space="preserve">Tarea
======</t>
      </text>
    </comment>
    <comment authorId="0" ref="M10">
      <text>
        <t xml:space="preserve">Dinámica
======</t>
      </text>
    </comment>
    <comment authorId="0" ref="O10">
      <text>
        <t xml:space="preserve">Tarea
======</t>
      </text>
    </comment>
    <comment authorId="0" ref="F14">
      <text>
        <t xml:space="preserve">Tarea
======</t>
      </text>
    </comment>
    <comment authorId="0" ref="H14">
      <text>
        <t xml:space="preserve">Tarea
======</t>
      </text>
    </comment>
    <comment authorId="0" ref="M14">
      <text>
        <t xml:space="preserve">Tarea
======</t>
      </text>
    </comment>
    <comment authorId="0" ref="N14">
      <text>
        <t xml:space="preserve">Ejercicio de clase
======</t>
      </text>
    </comment>
    <comment authorId="0" ref="G15">
      <text>
        <t xml:space="preserve">Tarea
======</t>
      </text>
    </comment>
    <comment authorId="0" ref="H15">
      <text>
        <t xml:space="preserve">Tarea
======</t>
      </text>
    </comment>
    <comment authorId="0" ref="L16">
      <text>
        <t xml:space="preserve">Ejercicio de clase
======</t>
      </text>
    </comment>
    <comment authorId="0" ref="H18">
      <text>
        <t xml:space="preserve">Tarea
======</t>
      </text>
    </comment>
    <comment authorId="0" ref="F23">
      <text>
        <t xml:space="preserve">Tarea
======</t>
      </text>
    </comment>
    <comment authorId="0" ref="G23">
      <text>
        <t xml:space="preserve">Tarea
======</t>
      </text>
    </comment>
    <comment authorId="0" ref="J23">
      <text>
        <t xml:space="preserve">Tarea
======</t>
      </text>
    </comment>
    <comment authorId="0" ref="K23">
      <text>
        <t xml:space="preserve">Tarea
======</t>
      </text>
    </comment>
    <comment authorId="0" ref="M23">
      <text>
        <t xml:space="preserve">Tarea
======</t>
      </text>
    </comment>
    <comment authorId="0" ref="P23">
      <text>
        <t xml:space="preserve">Dinámica
======</t>
      </text>
    </comment>
    <comment authorId="0" ref="G25">
      <text>
        <t xml:space="preserve">Tarea
======</t>
      </text>
    </comment>
    <comment authorId="0" ref="F26">
      <text>
        <t xml:space="preserve">Tarea
======</t>
      </text>
    </comment>
    <comment authorId="0" ref="I26">
      <text>
        <t xml:space="preserve">Tarea
======</t>
      </text>
    </comment>
    <comment authorId="0" ref="M26">
      <text>
        <t xml:space="preserve">Dinámica
======</t>
      </text>
    </comment>
    <comment authorId="0" ref="N26">
      <text>
        <t xml:space="preserve">Dinámica
======</t>
      </text>
    </comment>
    <comment authorId="0" ref="H28">
      <text>
        <t xml:space="preserve">Tarea
======</t>
      </text>
    </comment>
    <comment authorId="0" ref="J28">
      <text>
        <t xml:space="preserve">Tarea
======</t>
      </text>
    </comment>
    <comment authorId="0" ref="L28">
      <text>
        <t xml:space="preserve">Ejercicio de clase
======</t>
      </text>
    </comment>
    <comment authorId="0" ref="N28">
      <text>
        <t xml:space="preserve">Ejercicio de clase
======</t>
      </text>
    </comment>
    <comment authorId="0" ref="O28">
      <text>
        <t xml:space="preserve">Tarea
======</t>
      </text>
    </comment>
    <comment authorId="0" ref="O15">
      <text>
        <t xml:space="preserve">======
ID#AAABer9Tvs4
Fernando Javier Torre Mora    (2025-02-25 12:23:05)
Problemas eléctricos durante Quiz eval. cont.?</t>
      </text>
    </comment>
  </commentList>
  <extLst>
    <ext uri="GoogleSheetsCustomDataVersion2">
      <go:sheetsCustomData xmlns:go="http://customooxmlschemas.google.com/" r:id="rId1" roundtripDataSignature="AMtx7mgMMjdZ/ea33t/QEv47IEzP+RrX5w=="/>
    </ext>
  </extLst>
</comments>
</file>

<file path=xl/sharedStrings.xml><?xml version="1.0" encoding="utf-8"?>
<sst xmlns="http://schemas.openxmlformats.org/spreadsheetml/2006/main" count="988" uniqueCount="587">
  <si>
    <t>Profesor(a):</t>
  </si>
  <si>
    <t>Torre</t>
  </si>
  <si>
    <t>Fernando Javier</t>
  </si>
  <si>
    <t>C.I.:</t>
  </si>
  <si>
    <t>21132576</t>
  </si>
  <si>
    <t>Asignatura:</t>
  </si>
  <si>
    <t>BPTSP05</t>
  </si>
  <si>
    <t>ALGORITMOS Y PROGRAMACION</t>
  </si>
  <si>
    <t>Periodo:</t>
  </si>
  <si>
    <t>2425</t>
  </si>
  <si>
    <t>008</t>
  </si>
  <si>
    <t>Sección:</t>
  </si>
  <si>
    <t>BPTSP05-2</t>
  </si>
  <si>
    <t>ID</t>
  </si>
  <si>
    <t>CEDULA</t>
  </si>
  <si>
    <t>CARNET</t>
  </si>
  <si>
    <t>APELLIDO</t>
  </si>
  <si>
    <t>NOMBRE</t>
  </si>
  <si>
    <t>Segundo Nom</t>
  </si>
  <si>
    <t>Correo Unimet</t>
  </si>
  <si>
    <t>EMAIL_PRINC</t>
  </si>
  <si>
    <t>EMAIL_ADIC</t>
  </si>
  <si>
    <t>RQ_RT</t>
  </si>
  <si>
    <t xml:space="preserve">  1</t>
  </si>
  <si>
    <t>28410856</t>
  </si>
  <si>
    <t>20241120090</t>
  </si>
  <si>
    <t>Alfonzo</t>
  </si>
  <si>
    <t>Sebastian</t>
  </si>
  <si>
    <t>Eduardo</t>
  </si>
  <si>
    <t>sebastian.alfonzo@correo.unimet.edu.ve.</t>
  </si>
  <si>
    <t>ccsebastianalfonzo@gmail.com</t>
  </si>
  <si>
    <t>sandratiburcio19@gmail.com</t>
  </si>
  <si>
    <t xml:space="preserve">  2</t>
  </si>
  <si>
    <t>30849611</t>
  </si>
  <si>
    <t>20251110312</t>
  </si>
  <si>
    <t>Amelinckx</t>
  </si>
  <si>
    <t>Matthias</t>
  </si>
  <si>
    <t>matthias.amelinckx@correo.unimet.edu.ve.</t>
  </si>
  <si>
    <t>amelinckxmatthias@gmail.com</t>
  </si>
  <si>
    <t>aamelinckx@gmail.com</t>
  </si>
  <si>
    <t xml:space="preserve">  3</t>
  </si>
  <si>
    <t>29666935</t>
  </si>
  <si>
    <t>20221110318</t>
  </si>
  <si>
    <t>Aray</t>
  </si>
  <si>
    <t>Flavia</t>
  </si>
  <si>
    <t>Isabel</t>
  </si>
  <si>
    <t>flavia.aray@correo.unimet.edu.ve.</t>
  </si>
  <si>
    <t>farayvdb@gmail.com</t>
  </si>
  <si>
    <t>ursulaaray@hotmail.com</t>
  </si>
  <si>
    <t xml:space="preserve">  4</t>
  </si>
  <si>
    <t>30765878</t>
  </si>
  <si>
    <t>20241120058</t>
  </si>
  <si>
    <t>Blanco</t>
  </si>
  <si>
    <t>Angélica</t>
  </si>
  <si>
    <t>angelica.blanco@correo.unimet.edu.ve.</t>
  </si>
  <si>
    <t>ariangelibf2@gmail.com</t>
  </si>
  <si>
    <t>viviblanco1313@gmail.com</t>
  </si>
  <si>
    <t xml:space="preserve">  5</t>
  </si>
  <si>
    <t>32729082</t>
  </si>
  <si>
    <t>20251110441</t>
  </si>
  <si>
    <t>Brusco</t>
  </si>
  <si>
    <t>Gabriel</t>
  </si>
  <si>
    <t>Alejandro</t>
  </si>
  <si>
    <t>gabriel.brusco@correo.unimet.edu.ve.</t>
  </si>
  <si>
    <t>gabrielbrusco80@gmail.com</t>
  </si>
  <si>
    <t xml:space="preserve">  6</t>
  </si>
  <si>
    <t>31071592</t>
  </si>
  <si>
    <t>20231110091</t>
  </si>
  <si>
    <t>Callender</t>
  </si>
  <si>
    <t>Diego</t>
  </si>
  <si>
    <t>diego.callender@correo.unimet.edu.ve.</t>
  </si>
  <si>
    <t>diego.callender@correo.unimet.edu.ve</t>
  </si>
  <si>
    <t>leoncallend@hotmail.com</t>
  </si>
  <si>
    <t xml:space="preserve">  7</t>
  </si>
  <si>
    <t>32491310</t>
  </si>
  <si>
    <t>20251110101</t>
  </si>
  <si>
    <t>Casais</t>
  </si>
  <si>
    <t>Elohym</t>
  </si>
  <si>
    <t>Joham</t>
  </si>
  <si>
    <t>casais.elohym@correo.unimet.edu.ve.</t>
  </si>
  <si>
    <t>Casais.elohym@correo.unimet.edu.ve</t>
  </si>
  <si>
    <t xml:space="preserve">  8</t>
  </si>
  <si>
    <t>31988236</t>
  </si>
  <si>
    <t>20231110809</t>
  </si>
  <si>
    <t>Fiandaca</t>
  </si>
  <si>
    <t>Santiago</t>
  </si>
  <si>
    <t>De Jesús</t>
  </si>
  <si>
    <t>sfiandaca@correo.unimet.edu.ve.</t>
  </si>
  <si>
    <t>santiagofiandaca@gmail.com</t>
  </si>
  <si>
    <t>juanfiandaca@hotmail.com</t>
  </si>
  <si>
    <t xml:space="preserve">  9</t>
  </si>
  <si>
    <t>31112818</t>
  </si>
  <si>
    <t>20241110300</t>
  </si>
  <si>
    <t>Haiek</t>
  </si>
  <si>
    <t>Paola</t>
  </si>
  <si>
    <t>Marie</t>
  </si>
  <si>
    <t>paola.haiek@correo.unimet.edu.ve.</t>
  </si>
  <si>
    <t>paolahaiek@gmail.com</t>
  </si>
  <si>
    <t>mariadlpereira@hotmail.com</t>
  </si>
  <si>
    <t xml:space="preserve"> 10</t>
  </si>
  <si>
    <t>30030485</t>
  </si>
  <si>
    <t>20211110277</t>
  </si>
  <si>
    <t>Hernandez</t>
  </si>
  <si>
    <t>Andrea</t>
  </si>
  <si>
    <t>h.andrea@correo.unimet.edu.ve.</t>
  </si>
  <si>
    <t>h.andrea@correo.unimet.edu.ve</t>
  </si>
  <si>
    <t>adalbertouno@gmail.com</t>
  </si>
  <si>
    <t xml:space="preserve"> 11</t>
  </si>
  <si>
    <t>30793086</t>
  </si>
  <si>
    <t>20241110385</t>
  </si>
  <si>
    <t>Idrobo</t>
  </si>
  <si>
    <t>Jose</t>
  </si>
  <si>
    <t>Daniel</t>
  </si>
  <si>
    <t>idrobo.jose@correo.unimet.edu.ve.</t>
  </si>
  <si>
    <t>idrobojose3@gmail.com</t>
  </si>
  <si>
    <t xml:space="preserve"> 12</t>
  </si>
  <si>
    <t>32242412</t>
  </si>
  <si>
    <t>20241130210</t>
  </si>
  <si>
    <t>Kchour</t>
  </si>
  <si>
    <t>Mohamad</t>
  </si>
  <si>
    <t>Ali</t>
  </si>
  <si>
    <t>mohamad.kchour@correo.unimet.edu.ve.</t>
  </si>
  <si>
    <t>mohamd.kchour@correo.unimet.edu.ve</t>
  </si>
  <si>
    <t>alikmhf@gmail.com</t>
  </si>
  <si>
    <t xml:space="preserve"> 13</t>
  </si>
  <si>
    <t>30598031</t>
  </si>
  <si>
    <t>20241110180</t>
  </si>
  <si>
    <t>Livinaly</t>
  </si>
  <si>
    <t>Graciela</t>
  </si>
  <si>
    <t>plivinaly@correo.unimet.edu.ve.</t>
  </si>
  <si>
    <t>paolalivinaly@gmail.com</t>
  </si>
  <si>
    <t>cheladelivinaly@gmail.com</t>
  </si>
  <si>
    <t xml:space="preserve"> 14</t>
  </si>
  <si>
    <t>31852058</t>
  </si>
  <si>
    <t>20241110606</t>
  </si>
  <si>
    <t>Medina</t>
  </si>
  <si>
    <t>Laura</t>
  </si>
  <si>
    <t>Maria</t>
  </si>
  <si>
    <t>laura.medina@correo.unimet.edu.ve.</t>
  </si>
  <si>
    <t>laura.medina@correo.unimet.edu.ve</t>
  </si>
  <si>
    <t xml:space="preserve"> 15</t>
  </si>
  <si>
    <t>30114012</t>
  </si>
  <si>
    <t>20221110622</t>
  </si>
  <si>
    <t>Mercado</t>
  </si>
  <si>
    <t>flavia.mercado@correo.unimet.edu.ve.</t>
  </si>
  <si>
    <t>flaviamc2000@gmail.com</t>
  </si>
  <si>
    <t>ccalabre2000@hotmail.com</t>
  </si>
  <si>
    <t xml:space="preserve"> 16</t>
  </si>
  <si>
    <t>26954417</t>
  </si>
  <si>
    <t>20241130010</t>
  </si>
  <si>
    <t>Moya</t>
  </si>
  <si>
    <t>Angel</t>
  </si>
  <si>
    <t>angel.moya@correo.unimet.edu.ve.</t>
  </si>
  <si>
    <t>angel.moya@correo.unimet.edu.ve</t>
  </si>
  <si>
    <t>anjomova21@gmail.com</t>
  </si>
  <si>
    <t xml:space="preserve"> 17</t>
  </si>
  <si>
    <t>31448943</t>
  </si>
  <si>
    <t>20251110270</t>
  </si>
  <si>
    <t>Pamphile</t>
  </si>
  <si>
    <t>Samuel</t>
  </si>
  <si>
    <t>Abraham</t>
  </si>
  <si>
    <t>samuel.pamphile@correo.unimet.edu.ve.</t>
  </si>
  <si>
    <t>samuel.pamphile@correo.unimet.edu.ve</t>
  </si>
  <si>
    <t>crisapul@gmail.com</t>
  </si>
  <si>
    <t xml:space="preserve"> 18</t>
  </si>
  <si>
    <t>31423000</t>
  </si>
  <si>
    <t>20241110369</t>
  </si>
  <si>
    <t>Pizza</t>
  </si>
  <si>
    <t>Emmanuel</t>
  </si>
  <si>
    <t>Giuseppe</t>
  </si>
  <si>
    <t>pizzap@correo.unimet.edu.ve.</t>
  </si>
  <si>
    <t>pizzap@correo.unimet.edu.ve</t>
  </si>
  <si>
    <t>DBANTO@HOTMAIL.COM</t>
  </si>
  <si>
    <t xml:space="preserve"> 19</t>
  </si>
  <si>
    <t>31046285</t>
  </si>
  <si>
    <t>20241110648</t>
  </si>
  <si>
    <t>Rodriguez</t>
  </si>
  <si>
    <t>Rafael</t>
  </si>
  <si>
    <t>rodriguez.rafael@correo.unimet.edu.ve.</t>
  </si>
  <si>
    <t>kikerodriguezm11@gmail.com</t>
  </si>
  <si>
    <t>crismarmrodriguez@gmail.com</t>
  </si>
  <si>
    <t xml:space="preserve"> 20</t>
  </si>
  <si>
    <t>31255343</t>
  </si>
  <si>
    <t>20241110234</t>
  </si>
  <si>
    <t>Rojas</t>
  </si>
  <si>
    <t>Luciano</t>
  </si>
  <si>
    <t>Nicola</t>
  </si>
  <si>
    <t>luciano.rojas@correo.unimet.edu.ve.</t>
  </si>
  <si>
    <t>rojasmarquinaluciano4@gmail.com</t>
  </si>
  <si>
    <t>jhannymarquina@gmail.com</t>
  </si>
  <si>
    <t xml:space="preserve"> 21</t>
  </si>
  <si>
    <t>32401366</t>
  </si>
  <si>
    <t>20241130155</t>
  </si>
  <si>
    <t>Ruiz</t>
  </si>
  <si>
    <t>José</t>
  </si>
  <si>
    <t>joseruiz@correo.unimet.edu.ve.</t>
  </si>
  <si>
    <t>goyitojosearuiz06@gmail.com</t>
  </si>
  <si>
    <t>rossy_reina@hotmail.com</t>
  </si>
  <si>
    <t xml:space="preserve"> 22</t>
  </si>
  <si>
    <t>32121917</t>
  </si>
  <si>
    <t>20251110018</t>
  </si>
  <si>
    <t>Salimbeni</t>
  </si>
  <si>
    <t>César</t>
  </si>
  <si>
    <t>Alexander</t>
  </si>
  <si>
    <t>cesar.salimbeni@correo.unimet.edu.ve.</t>
  </si>
  <si>
    <t>cesar.salimbeni@correo.unimet.edu.ve</t>
  </si>
  <si>
    <t xml:space="preserve"> 23</t>
  </si>
  <si>
    <t>33921124</t>
  </si>
  <si>
    <t>20251110253</t>
  </si>
  <si>
    <t>Sanchez</t>
  </si>
  <si>
    <t>David</t>
  </si>
  <si>
    <t>d.sanchez@correo.unimet.edu.ve.</t>
  </si>
  <si>
    <t>desa0517@gmail.com</t>
  </si>
  <si>
    <t>deboraachang@gmail.com</t>
  </si>
  <si>
    <t xml:space="preserve"> 24</t>
  </si>
  <si>
    <t>31703910</t>
  </si>
  <si>
    <t>20251110347</t>
  </si>
  <si>
    <t>Saracual</t>
  </si>
  <si>
    <t>Antonio</t>
  </si>
  <si>
    <t>daniel.saracual@correo.unimet.edu.ve.</t>
  </si>
  <si>
    <t>daniel.saracual@correo.unimet.edu.ve</t>
  </si>
  <si>
    <t>rsaracual@gmail.com</t>
  </si>
  <si>
    <t xml:space="preserve"> 25</t>
  </si>
  <si>
    <t>32122110</t>
  </si>
  <si>
    <t>20251110023</t>
  </si>
  <si>
    <t>Silva</t>
  </si>
  <si>
    <t>Elva</t>
  </si>
  <si>
    <t>María</t>
  </si>
  <si>
    <t>elva.silva@correo.unimet.edu.ve.</t>
  </si>
  <si>
    <t>emsr16112007@gmail.com</t>
  </si>
  <si>
    <t>peterjsilvaf@gmail.com</t>
  </si>
  <si>
    <t xml:space="preserve"> 26</t>
  </si>
  <si>
    <t>30720123</t>
  </si>
  <si>
    <t>20241110560</t>
  </si>
  <si>
    <t>Steinmetz</t>
  </si>
  <si>
    <t>Erik</t>
  </si>
  <si>
    <t>s.erik@correo.unimet.edu.ve.</t>
  </si>
  <si>
    <t>eriksteinmetz2005@gmail.com</t>
  </si>
  <si>
    <t>alansteinmetz7@gmail.com</t>
  </si>
  <si>
    <t xml:space="preserve"> 27</t>
  </si>
  <si>
    <t>29895575</t>
  </si>
  <si>
    <t>20211120039</t>
  </si>
  <si>
    <t>Trezza</t>
  </si>
  <si>
    <t>Sofia</t>
  </si>
  <si>
    <t>Gisela</t>
  </si>
  <si>
    <t>sofia.trezza@correo.unimet.edu.ve.</t>
  </si>
  <si>
    <t>sofia.trezza@correo.unimet.edu.ve</t>
  </si>
  <si>
    <t>emiliotrezzaa@gmail.com</t>
  </si>
  <si>
    <t xml:space="preserve"> 28</t>
  </si>
  <si>
    <t>31615220</t>
  </si>
  <si>
    <t>20241110006</t>
  </si>
  <si>
    <t>Ugarte Pelayo</t>
  </si>
  <si>
    <t>Nicole</t>
  </si>
  <si>
    <t>Alejandra</t>
  </si>
  <si>
    <t>nicole.ugartepelayo@correo.unimet.edu.ve.</t>
  </si>
  <si>
    <t>nicoleugartelahoud1@gmail.com</t>
  </si>
  <si>
    <t>Alirio2002@yahoo.com</t>
  </si>
  <si>
    <t xml:space="preserve"> 29</t>
  </si>
  <si>
    <t>30022208</t>
  </si>
  <si>
    <t>20211110643</t>
  </si>
  <si>
    <t>Viñas</t>
  </si>
  <si>
    <t>gvinas@correo.unimet.edu.ve.</t>
  </si>
  <si>
    <t>gvinas@correo.unimet.edu.ve</t>
  </si>
  <si>
    <t>cvinasgl16@gmail.com</t>
  </si>
  <si>
    <t xml:space="preserve"> 30</t>
  </si>
  <si>
    <t>31963201</t>
  </si>
  <si>
    <t>20241110508</t>
  </si>
  <si>
    <t>Zerpa</t>
  </si>
  <si>
    <t>Azael</t>
  </si>
  <si>
    <t>Alonso</t>
  </si>
  <si>
    <t>azael.zerpa@correo.unimet.edu.ve.</t>
  </si>
  <si>
    <t>azael.zerpa@correo.unimet.edu.ve</t>
  </si>
  <si>
    <t>joaisasalaz@gmail.com</t>
  </si>
  <si>
    <t>Estatus</t>
  </si>
  <si>
    <t>Eval Cont</t>
  </si>
  <si>
    <t>Quiz 1</t>
  </si>
  <si>
    <t>Parcial 1</t>
  </si>
  <si>
    <t>Quiz 2</t>
  </si>
  <si>
    <t>Proyecto</t>
  </si>
  <si>
    <t>Parcial 2</t>
  </si>
  <si>
    <t>XTRA</t>
  </si>
  <si>
    <t>Total</t>
  </si>
  <si>
    <t>Escala 20</t>
  </si>
  <si>
    <t>Partic</t>
  </si>
  <si>
    <t>Tareas</t>
  </si>
  <si>
    <t>Def</t>
  </si>
  <si>
    <t>Retirado</t>
  </si>
  <si>
    <t>P1 (5.00)</t>
  </si>
  <si>
    <t>P2 (9.00)</t>
  </si>
  <si>
    <t>P3(4.00)</t>
  </si>
  <si>
    <t>P4(2.00)</t>
  </si>
  <si>
    <t>BONO (3.00)</t>
  </si>
  <si>
    <t>TOTAL (23.00)</t>
  </si>
  <si>
    <t>Funcionamiento</t>
  </si>
  <si>
    <t>Fun+Mtx+Sqr</t>
  </si>
  <si>
    <t>Sebastian Alfonzo</t>
  </si>
  <si>
    <t>Matthias Amelinckx</t>
  </si>
  <si>
    <t>Flavia Aray</t>
  </si>
  <si>
    <t>Angelica Blanco</t>
  </si>
  <si>
    <t>Gabriel Brusco</t>
  </si>
  <si>
    <t>Diego Callender</t>
  </si>
  <si>
    <t>Elohym Casais***</t>
  </si>
  <si>
    <t>Santiago Fiandaca</t>
  </si>
  <si>
    <t>Paola Haiek</t>
  </si>
  <si>
    <t>Adrea Hernández</t>
  </si>
  <si>
    <t>Mohamad Kchour</t>
  </si>
  <si>
    <t>Paola Livinaly</t>
  </si>
  <si>
    <t>Laura Medina***</t>
  </si>
  <si>
    <t>Flavia Mercado</t>
  </si>
  <si>
    <t>Samuel Pamphile</t>
  </si>
  <si>
    <t>Emmanuel Pizza</t>
  </si>
  <si>
    <t>Luciano Rojas</t>
  </si>
  <si>
    <t>Jose Ruiz</t>
  </si>
  <si>
    <t>Cesar Salimbeni</t>
  </si>
  <si>
    <t>David Sanchéz</t>
  </si>
  <si>
    <t>Daniel Sacarual</t>
  </si>
  <si>
    <t>Elva Silva</t>
  </si>
  <si>
    <t>Erik Steinmetz</t>
  </si>
  <si>
    <t>Sofia Trezza</t>
  </si>
  <si>
    <t>Gabriel Viñas</t>
  </si>
  <si>
    <t>Azael Zerpa</t>
  </si>
  <si>
    <t>V/F</t>
  </si>
  <si>
    <t>Selec</t>
  </si>
  <si>
    <t>Complet</t>
  </si>
  <si>
    <t>Desarrollo</t>
  </si>
  <si>
    <t>José Alejandro</t>
  </si>
  <si>
    <t>Ejercicio (20.00)</t>
  </si>
  <si>
    <t>Clases (6)</t>
  </si>
  <si>
    <t>Carga de info (4)</t>
  </si>
  <si>
    <t>Transferencias (3)</t>
  </si>
  <si>
    <t>Ver (3)</t>
  </si>
  <si>
    <t>Menú (1)</t>
  </si>
  <si>
    <t>Robustez (1)</t>
  </si>
  <si>
    <t>Est (2)</t>
  </si>
  <si>
    <t>Est 1 (1.5)</t>
  </si>
  <si>
    <t>Registro (1.5)</t>
  </si>
  <si>
    <t>Elohym Casais</t>
  </si>
  <si>
    <t>Laura Medina</t>
  </si>
  <si>
    <t>Cédula</t>
  </si>
  <si>
    <t>Nombre</t>
  </si>
  <si>
    <t>E.Error</t>
  </si>
  <si>
    <t>Paola Liviani</t>
  </si>
  <si>
    <t>César Salimbeni</t>
  </si>
  <si>
    <t>David Sánchez</t>
  </si>
  <si>
    <t>Daniel Saracual</t>
  </si>
  <si>
    <t>Andrea Hernández</t>
  </si>
  <si>
    <t>José Ruiz</t>
  </si>
  <si>
    <t>Defensa</t>
  </si>
  <si>
    <t>Módulo 1: reactivos</t>
  </si>
  <si>
    <t>Módulo 2: experimentos</t>
  </si>
  <si>
    <t>Módulo 3: resultados</t>
  </si>
  <si>
    <t>Módulo 4: Estadísticas</t>
  </si>
  <si>
    <t>Uso API</t>
  </si>
  <si>
    <t>Archivos</t>
  </si>
  <si>
    <t>Apellido</t>
  </si>
  <si>
    <t>Ord.
 Entrega</t>
  </si>
  <si>
    <t>Ord.
 Defensa</t>
  </si>
  <si>
    <t>Expo-sicion</t>
  </si>
  <si>
    <t>Pregunta Prof</t>
  </si>
  <si>
    <t>Preg. de público</t>
  </si>
  <si>
    <t>Preg. a Compañero</t>
  </si>
  <si>
    <t>Diagra-ma</t>
  </si>
  <si>
    <t>Reagent Code</t>
  </si>
  <si>
    <t>Reagent Exec</t>
  </si>
  <si>
    <t>Reagent Bonus</t>
  </si>
  <si>
    <t>Exprmt. Code</t>
  </si>
  <si>
    <t>Exprmt. Exec</t>
  </si>
  <si>
    <t>Exprmt. Bonus</t>
  </si>
  <si>
    <t>Result Code</t>
  </si>
  <si>
    <t>Result Exec</t>
  </si>
  <si>
    <t>Result Bonus</t>
  </si>
  <si>
    <t>Stat Code</t>
  </si>
  <si>
    <t>Stat Exec</t>
  </si>
  <si>
    <t>Stat Bonus</t>
  </si>
  <si>
    <t>API Code</t>
  </si>
  <si>
    <t>API exec</t>
  </si>
  <si>
    <t>File Mgmt</t>
  </si>
  <si>
    <t>File struc</t>
  </si>
  <si>
    <t>0.0/0.5</t>
  </si>
  <si>
    <t>0.5/0.5</t>
  </si>
  <si>
    <t>0.75/1</t>
  </si>
  <si>
    <t>0.5/1</t>
  </si>
  <si>
    <t>0/2</t>
  </si>
  <si>
    <t>0.25/1</t>
  </si>
  <si>
    <t>0/1</t>
  </si>
  <si>
    <t>Quiz 1 de EvaluaciÃ³n Continua - IntroducciÃ³n (52110139)</t>
  </si>
  <si>
    <t>Quiz 2 de EvaluaciÃ³n Continua - Operaciones (52110120)</t>
  </si>
  <si>
    <t>Quiz 3 de EvaluaciÃ³n Continua - Condicionales (52110140)</t>
  </si>
  <si>
    <t>Quiz 4 de EvaluaciÃ³n continua - Bucles (52110129)</t>
  </si>
  <si>
    <t>Quiz 5 de EvaluaciÃ³n continua - Listas (52110132)</t>
  </si>
  <si>
    <t>Quiz 6 de EvaluaciÃ³n Continua - diccionarios (52110122)</t>
  </si>
  <si>
    <t>Quiz 7 de EvaluaciÃ³n Continua - Funciones (52110136)</t>
  </si>
  <si>
    <t>Quiz 8 de EvaluaciÃ³n Continua - ProgramaciÃ³n Orientada a Objetos (52110123)</t>
  </si>
  <si>
    <t>Quiz 9 de EvaluaciÃ³n Continua - Herencia (52110124)</t>
  </si>
  <si>
    <t>Quiz 10 de EvaluaciÃ³n Continua - Diagrama de Clases (52110128)</t>
  </si>
  <si>
    <t>Quiz 11 de EvaluaciÃ³n Continua - APIs y Archivos (52110138)</t>
  </si>
  <si>
    <t>Quiz 13 de EvaluaciÃ³n ContÃ­nua - Recursividad (52110127)</t>
  </si>
  <si>
    <t>Quiz 14 de EvaluaciÃ³n ContÃ­nua - Ordenamiento (52110126)</t>
  </si>
  <si>
    <t>Quiz 15 de EvaluaciÃ³n ContÃ­nua - Complejidad (52110133)</t>
  </si>
  <si>
    <t>Acum</t>
  </si>
  <si>
    <t>sebastian.alfonzo@correo.unimet.edu.ve</t>
  </si>
  <si>
    <t>Alfonzo. Sebastian</t>
  </si>
  <si>
    <t>matthias.amelinckx@correo.unimet.edu.ve</t>
  </si>
  <si>
    <t>Amelinckx. Matthias</t>
  </si>
  <si>
    <t>flavia.aray@correo.unimet.edu.ve</t>
  </si>
  <si>
    <t>Aray. Flavia</t>
  </si>
  <si>
    <t>angelica.blanco@correo.unimet.edu.ve</t>
  </si>
  <si>
    <t>Blanco. AngÃ©lica</t>
  </si>
  <si>
    <t>gabriel.brusco@correo.unimet.edu.ve</t>
  </si>
  <si>
    <t>Brusco. Gabriel</t>
  </si>
  <si>
    <t>casais.elohym@correo.unimet.edu.ve</t>
  </si>
  <si>
    <t>Casais. Elohym</t>
  </si>
  <si>
    <t>Diego. Callender</t>
  </si>
  <si>
    <t>sfiandaca@correo.unimet.edu.ve</t>
  </si>
  <si>
    <t>Fiandaca. Santiago</t>
  </si>
  <si>
    <t>flavia.mercado@correo.unimet.edu.ve</t>
  </si>
  <si>
    <t>Flavia. Mercado</t>
  </si>
  <si>
    <t>paola.haiek@correo.unimet.edu.ve</t>
  </si>
  <si>
    <t>Haiek. Paola</t>
  </si>
  <si>
    <t>HernÃ¡ndez. Andrea</t>
  </si>
  <si>
    <t>idrobo.jose@correo.unimet.edu.ve</t>
  </si>
  <si>
    <t>Idrobo. Jose</t>
  </si>
  <si>
    <t>mohamad.kchour@correo.unimet.edu.ve</t>
  </si>
  <si>
    <t>Kchour. Mohamad</t>
  </si>
  <si>
    <t>plivinaly@correo.unimet.edu.ve</t>
  </si>
  <si>
    <t>Livinaly. Paola</t>
  </si>
  <si>
    <t>Medina. Laura</t>
  </si>
  <si>
    <t>Moya. Angel</t>
  </si>
  <si>
    <t>Pamphile. Samuel</t>
  </si>
  <si>
    <t>Pizza. Emmanuel</t>
  </si>
  <si>
    <t>rodriguez.rafael@correo.unimet.edu.ve</t>
  </si>
  <si>
    <t>Rodriguez. Rafael</t>
  </si>
  <si>
    <t>luciano.rojas@correo.unimet.edu.ve</t>
  </si>
  <si>
    <t>Rojas. Luciano</t>
  </si>
  <si>
    <t>joseruiz@correo.unimet.edu.ve</t>
  </si>
  <si>
    <t>Ruiz. JosÃ©</t>
  </si>
  <si>
    <t>Salimbeni. CÃ©sar</t>
  </si>
  <si>
    <t>d.sanchez@correo.unimet.edu.ve</t>
  </si>
  <si>
    <t>Sanchez. David</t>
  </si>
  <si>
    <t>Saracual. Daniel</t>
  </si>
  <si>
    <t>elva.silva@correo.unimet.edu.ve</t>
  </si>
  <si>
    <t>Silva. Elva</t>
  </si>
  <si>
    <t>s.erik@correo.unimet.edu.ve</t>
  </si>
  <si>
    <t>Steinmetz. Erik</t>
  </si>
  <si>
    <t>Trezza. Sofia</t>
  </si>
  <si>
    <t>nicole.ugartepelayo@correo.unimet.edu.ve</t>
  </si>
  <si>
    <t>Ugarte-Pelayo. Nicole</t>
  </si>
  <si>
    <t>ViÃ±as. Gabriel</t>
  </si>
  <si>
    <t>Zerpa. Azael</t>
  </si>
  <si>
    <t>CI</t>
  </si>
  <si>
    <t>Nombre de Pila</t>
  </si>
  <si>
    <t>Nombre y apellido</t>
  </si>
  <si>
    <t>TOTAL</t>
  </si>
  <si>
    <t>Tarea 1: GitHub (52110170)</t>
  </si>
  <si>
    <t>Tarea 2: Arepas DinÃ¡micas (52110169)</t>
  </si>
  <si>
    <t>Tarea 3: Perfil de usuario (52110171)</t>
  </si>
  <si>
    <t>Tarea 4: AÃ±o Bisiesto (52110172)</t>
  </si>
  <si>
    <t>Tarea 5: Â¡Batalla! (juego de cartas) (52110173)</t>
  </si>
  <si>
    <t>Tarea 6: Batalla pokÃ©mon (52110174)</t>
  </si>
  <si>
    <t>Tarea 7: Batalla PokÃ©mon con Funciones (52110175)</t>
  </si>
  <si>
    <t>Tarea 8: Registro de vehÃ­culos (52110176)</t>
  </si>
  <si>
    <t>Tarea 9: Marcar tarjeta (52110177)</t>
  </si>
  <si>
    <t>Tarea 10: Diagrama de Clases (52110162)</t>
  </si>
  <si>
    <t>Tarea 11: PokÃ©dex (52110163)</t>
  </si>
  <si>
    <t>Tarea 13: RecursiÃ³n (52110165)</t>
  </si>
  <si>
    <t>Tarea 14: Algoritmos de Ordenamiento (52110166)</t>
  </si>
  <si>
    <t>Tarea 15: Complejidad (52110168)</t>
  </si>
  <si>
    <t>Código Naranja 2425-2</t>
  </si>
  <si>
    <t/>
  </si>
  <si>
    <t>01</t>
  </si>
  <si>
    <t>Ejercicio #1</t>
  </si>
  <si>
    <t>Ejercicio #2</t>
  </si>
  <si>
    <t>Ejercicio #3</t>
  </si>
  <si>
    <t>Ejercicio #4</t>
  </si>
  <si>
    <t>Ejercicio #5</t>
  </si>
  <si>
    <t>Ejercicio #6</t>
  </si>
  <si>
    <t>Ejercicio #8</t>
  </si>
  <si>
    <t>RPC 02</t>
  </si>
  <si>
    <t>Media de la clase</t>
  </si>
  <si>
    <t>TOTAL NARANJA</t>
  </si>
  <si>
    <t>Total pts de 100</t>
  </si>
  <si>
    <t>Marcano</t>
  </si>
  <si>
    <t>marcano.alejandro@correo.unimet.edu.ve</t>
  </si>
  <si>
    <t>Leon</t>
  </si>
  <si>
    <t>Alexia</t>
  </si>
  <si>
    <t>a.leon2020@correo.unimet.edu.ve</t>
  </si>
  <si>
    <t>Tucci</t>
  </si>
  <si>
    <t>Andres</t>
  </si>
  <si>
    <t>atucci@correo.unimet.edu.ve</t>
  </si>
  <si>
    <t>Atencio</t>
  </si>
  <si>
    <t>Cesar</t>
  </si>
  <si>
    <t>c.atencio@correo.unimet.edu.ve</t>
  </si>
  <si>
    <t>Pacheco</t>
  </si>
  <si>
    <t>Daniela</t>
  </si>
  <si>
    <t>danipacheco@correo.unimet.edu.ve</t>
  </si>
  <si>
    <t>Arreaza</t>
  </si>
  <si>
    <t>diego.arreaza@correo.unimet.edu.ve</t>
  </si>
  <si>
    <t>Baron</t>
  </si>
  <si>
    <t>baronb@correo.unimet.edu.ve</t>
  </si>
  <si>
    <t>di.dejesus@correo.unimet.edu.ve</t>
  </si>
  <si>
    <t>Jimenez</t>
  </si>
  <si>
    <t>gabriel.jimenez@correo.unimet.edu.ve</t>
  </si>
  <si>
    <t>Costa</t>
  </si>
  <si>
    <t>Gabriela</t>
  </si>
  <si>
    <t>gcosta@correo.unimet.edu.ve</t>
  </si>
  <si>
    <t>Mongiello</t>
  </si>
  <si>
    <t>Gianfranco</t>
  </si>
  <si>
    <t>gianfranco.mongiello@correo.unimet.edu.ve</t>
  </si>
  <si>
    <t>Bazzi</t>
  </si>
  <si>
    <t>Haidar</t>
  </si>
  <si>
    <t>bazzi.haidar@correo.unimet.edu.ve</t>
  </si>
  <si>
    <t>Perez</t>
  </si>
  <si>
    <t>Henmary</t>
  </si>
  <si>
    <t>henmary.perez@correo.unimet.edu.ve</t>
  </si>
  <si>
    <t>Ildemar</t>
  </si>
  <si>
    <t>ildemar.perez@correo.unimet.edu.ve</t>
  </si>
  <si>
    <t>Charco</t>
  </si>
  <si>
    <t>Isaac</t>
  </si>
  <si>
    <t>i.charco@correo.unimet.edu.ve</t>
  </si>
  <si>
    <t>Viana</t>
  </si>
  <si>
    <t>jose.viana@correo.unimet.edu.ve</t>
  </si>
  <si>
    <t>Moreno</t>
  </si>
  <si>
    <t>Joseph</t>
  </si>
  <si>
    <t>jo.moreno@correo.unimet.edu.ve</t>
  </si>
  <si>
    <t>Moreira</t>
  </si>
  <si>
    <t>Juan</t>
  </si>
  <si>
    <t>j.moreira@correo.unimet.edu.ve</t>
  </si>
  <si>
    <t>Hurtado</t>
  </si>
  <si>
    <t>Kelvin</t>
  </si>
  <si>
    <t>h.kelvin@correo.unimet.edu.ve</t>
  </si>
  <si>
    <t>Roa</t>
  </si>
  <si>
    <t>Leopoldo</t>
  </si>
  <si>
    <t>roa-leopoldo@correo.unimet.edu.ve</t>
  </si>
  <si>
    <t>Ugas</t>
  </si>
  <si>
    <t>Liz</t>
  </si>
  <si>
    <t>liz.ugas@correo.unimet.edu.ve</t>
  </si>
  <si>
    <t>Velasquez</t>
  </si>
  <si>
    <t>Luis</t>
  </si>
  <si>
    <t>velasquez.luis@correo.unimet.edu.ve</t>
  </si>
  <si>
    <t>Lovera</t>
  </si>
  <si>
    <t>Luis Mariano</t>
  </si>
  <si>
    <t>l.lovera@correo.unimet.edu.ve</t>
  </si>
  <si>
    <t>Junco</t>
  </si>
  <si>
    <t>Luriannys</t>
  </si>
  <si>
    <t>ljunco@correo.unimet.edu.ve</t>
  </si>
  <si>
    <t>Almonte</t>
  </si>
  <si>
    <t>maria.almonte@correo.unimet.edu.ve</t>
  </si>
  <si>
    <t>Araque</t>
  </si>
  <si>
    <t>maria.araque@correo.unimet.edu.ve</t>
  </si>
  <si>
    <t>Graffe</t>
  </si>
  <si>
    <t>m.graffe@correo.unimet.edu.ve</t>
  </si>
  <si>
    <t>Mujica</t>
  </si>
  <si>
    <t>Maximo</t>
  </si>
  <si>
    <t>m.maximo@correo.unimet.edu.ve</t>
  </si>
  <si>
    <t>Maiz</t>
  </si>
  <si>
    <t>Miguelangel</t>
  </si>
  <si>
    <t>miguelangel.maiz@correo.unimet.edu.ve</t>
  </si>
  <si>
    <t>Demian</t>
  </si>
  <si>
    <t>Naim</t>
  </si>
  <si>
    <t>naim.demian@correo.unimet.edu.ve</t>
  </si>
  <si>
    <t>Valtetsiotis</t>
  </si>
  <si>
    <t>Nikos</t>
  </si>
  <si>
    <t>nvaltetsiotis@correo.unimet.edu.ve</t>
  </si>
  <si>
    <t>Valdez</t>
  </si>
  <si>
    <t>pvaldez@correo.unimet.edu.ve</t>
  </si>
  <si>
    <t>Marquez</t>
  </si>
  <si>
    <t>Roxana</t>
  </si>
  <si>
    <t>roxana.marquez@correo.unimet.edu.ve</t>
  </si>
  <si>
    <t>Cedeno</t>
  </si>
  <si>
    <t>samuel.cedeno@correo.unimet.edu.ve</t>
  </si>
  <si>
    <t>Atacho</t>
  </si>
  <si>
    <t>satacho@correo.unimet.edu.ve</t>
  </si>
  <si>
    <t>GomezCornejo</t>
  </si>
  <si>
    <t>s.gomezcornejo@correo.unimet.edu.ve</t>
  </si>
  <si>
    <t>Quijada</t>
  </si>
  <si>
    <t>sebastian.quijada@correo.unimet.edu.ve</t>
  </si>
  <si>
    <t>Boschetti</t>
  </si>
  <si>
    <t>Stefano</t>
  </si>
  <si>
    <t>stefano.boschetti@correo.unimet.edu.ve</t>
  </si>
  <si>
    <t>Giron</t>
  </si>
  <si>
    <t>Veronica</t>
  </si>
  <si>
    <t>veronica.giron@correo.unimet.edu.ve</t>
  </si>
  <si>
    <t>Luna</t>
  </si>
  <si>
    <t>Verónica</t>
  </si>
  <si>
    <t>veronica.luna@correo.unimet.edu.ve</t>
  </si>
  <si>
    <t>Victoria</t>
  </si>
  <si>
    <t>h.victoria@correo.unimet.edu.ve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</si>
</sst>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&quot;/20&quot;"/>
    <numFmt numFmtId="165" formatCode="0.00&quot;/10&quot;"/>
    <numFmt numFmtId="166" formatCode="0&quot;/20&quot;"/>
    <numFmt numFmtId="167" formatCode="0.0&quot;/10&quot;"/>
    <numFmt numFmtId="168" formatCode="0.0&quot;/100&quot;"/>
    <numFmt numFmtId="169" formatCode="m/d"/>
    <numFmt numFmtId="170" formatCode="d mmm"/>
    <numFmt numFmtId="171" formatCode="#0.0#%"/>
    <numFmt numFmtId="172" formatCode="0.0#"/>
    <numFmt numFmtId="173" formatCode="0&quot;/10&quot;"/>
  </numFmts>
  <fonts count="29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212529"/>
      <name val="Quattrocento Sans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color rgb="FF1155CC"/>
      <name val="Calibri"/>
      <scheme val="minor"/>
    </font>
    <font>
      <b/>
      <color rgb="FF000000"/>
      <name val="Rubik"/>
    </font>
    <font/>
    <font>
      <sz val="8.0"/>
      <color rgb="FF000000"/>
      <name val="Rubik"/>
    </font>
    <font>
      <color rgb="FF000000"/>
      <name val="Rubik"/>
    </font>
    <font>
      <b/>
      <sz val="11.0"/>
      <color rgb="FFFFFFFF"/>
      <name val="Calibri"/>
    </font>
    <font>
      <b/>
      <sz val="11.0"/>
      <color rgb="FF000000"/>
      <name val="Calibri"/>
    </font>
    <font>
      <b/>
      <color rgb="FFFFFFFF"/>
      <name val="Rubik"/>
    </font>
    <font>
      <sz val="8.0"/>
      <color theme="1"/>
      <name val="Rubik"/>
    </font>
    <font>
      <color theme="1"/>
      <name val="Verdana"/>
    </font>
    <font>
      <color theme="1"/>
      <name val="Rubik"/>
    </font>
    <font>
      <b/>
      <color theme="1"/>
      <name val="Rubik"/>
    </font>
    <font>
      <sz val="11.0"/>
      <color rgb="FF000000"/>
      <name val="&quot;Aptos Narrow&quot;"/>
    </font>
    <font>
      <b/>
      <sz val="11.0"/>
      <color rgb="FFFF0000"/>
      <name val="Calibri"/>
    </font>
    <font>
      <b/>
      <sz val="14.0"/>
      <color rgb="FFFFFFFF"/>
      <name val="Roboto"/>
    </font>
    <font>
      <sz val="14.0"/>
      <color rgb="FFFFFFFF"/>
      <name val="Roboto"/>
    </font>
    <font>
      <b/>
      <sz val="11.0"/>
      <color rgb="FFFFFFFF"/>
      <name val="Roboto"/>
    </font>
    <font>
      <u/>
      <sz val="11.0"/>
      <color rgb="FFFFFFFF"/>
      <name val="Arial"/>
    </font>
    <font>
      <sz val="11.0"/>
      <color rgb="FFFFFFFF"/>
      <name val="Roboto"/>
    </font>
    <font>
      <b/>
      <sz val="11.0"/>
      <color theme="1"/>
      <name val="Roboto"/>
    </font>
    <font>
      <sz val="11.0"/>
      <color rgb="FF808080"/>
      <name val="Roboto"/>
    </font>
    <font>
      <sz val="11.0"/>
      <color theme="1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FE59A"/>
        <bgColor rgb="FFFFE59A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  <fill>
      <patternFill patternType="solid">
        <fgColor rgb="FFE8710A"/>
        <bgColor rgb="FFE8710A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  <fill>
      <patternFill patternType="solid">
        <fgColor rgb="FFFCE5CD"/>
        <bgColor rgb="FFFCE5CD"/>
      </patternFill>
    </fill>
  </fills>
  <borders count="49">
    <border/>
    <border>
      <top style="thin">
        <color rgb="FF9BC2E6"/>
      </top>
      <bottom style="thin">
        <color rgb="FF9BC2E6"/>
      </bottom>
    </border>
    <border>
      <right style="thin">
        <color rgb="FFFFC93D"/>
      </right>
      <top style="thin">
        <color rgb="FFFFC93D"/>
      </top>
    </border>
    <border>
      <right style="thin">
        <color rgb="FF000000"/>
      </right>
      <top style="thin">
        <color rgb="FFFFC93D"/>
      </top>
    </border>
    <border>
      <top style="thin">
        <color rgb="FFFFC93D"/>
      </top>
    </border>
    <border>
      <right style="thin">
        <color rgb="FFFFC93D"/>
      </right>
      <bottom style="thin">
        <color rgb="FFFFC93D"/>
      </bottom>
    </border>
    <border>
      <right style="thin">
        <color rgb="FF000000"/>
      </right>
      <bottom style="thin">
        <color rgb="FFFFC93D"/>
      </bottom>
    </border>
    <border>
      <bottom style="thin">
        <color rgb="FFFFC93D"/>
      </bottom>
    </border>
    <border>
      <left style="thin">
        <color rgb="FFF4B084"/>
      </left>
      <top style="thin">
        <color rgb="FFF4B084"/>
      </top>
      <bottom style="thin">
        <color rgb="FFF4B084"/>
      </bottom>
    </border>
    <border>
      <top style="thin">
        <color rgb="FFF4B084"/>
      </top>
      <bottom style="thin">
        <color rgb="FFF4B084"/>
      </bottom>
    </border>
    <border>
      <right style="thin">
        <color rgb="FFF4B084"/>
      </right>
      <top style="thin">
        <color rgb="FFF4B084"/>
      </top>
      <bottom style="thin">
        <color rgb="FFF4B084"/>
      </bottom>
    </border>
    <border>
      <left style="thin">
        <color rgb="FFF4B084"/>
      </left>
      <top style="thin">
        <color rgb="FF9BC2E6"/>
      </top>
      <bottom style="thin">
        <color rgb="FFF4B084"/>
      </bottom>
    </border>
    <border>
      <top style="thin">
        <color rgb="FF9BC2E6"/>
      </top>
      <bottom style="thin">
        <color rgb="FFF4B084"/>
      </bottom>
    </border>
    <border>
      <left style="thin">
        <color rgb="FFF4B084"/>
      </left>
      <top style="thin">
        <color rgb="FF9BC2E6"/>
      </top>
      <bottom style="thin">
        <color rgb="FF9BC2E6"/>
      </bottom>
    </border>
    <border>
      <top style="thin">
        <color rgb="FFF4B084"/>
      </top>
      <bottom style="thin">
        <color rgb="FF9BC2E6"/>
      </bottom>
    </border>
    <border>
      <right style="thin">
        <color rgb="FF4285F4"/>
      </right>
      <top style="thin">
        <color rgb="FF3C78D8"/>
      </top>
    </border>
    <border>
      <top style="thin">
        <color rgb="FF3C78D8"/>
      </top>
      <bottom style="thick">
        <color rgb="FF3C78D8"/>
      </bottom>
    </border>
    <border>
      <right style="thin">
        <color rgb="FFFFC93D"/>
      </right>
      <top style="thin">
        <color rgb="FF3C78D8"/>
      </top>
      <bottom style="thick">
        <color rgb="FF3C78D8"/>
      </bottom>
    </border>
    <border>
      <left style="thin">
        <color rgb="FF4285F4"/>
      </left>
      <top style="thin">
        <color rgb="FF3C78D8"/>
      </top>
      <bottom style="thick">
        <color rgb="FF3C78D8"/>
      </bottom>
    </border>
    <border>
      <right style="thin">
        <color rgb="FF4285F4"/>
      </right>
      <top style="thin">
        <color rgb="FF3C78D8"/>
      </top>
      <bottom style="thick">
        <color rgb="FF3C78D8"/>
      </bottom>
    </border>
    <border>
      <left style="thin">
        <color rgb="FF4285F4"/>
      </left>
      <right style="thin">
        <color rgb="FF4285F4"/>
      </right>
      <top style="thin">
        <color rgb="FF3C78D8"/>
      </top>
    </border>
    <border>
      <right style="thin">
        <color rgb="FF4285F4"/>
      </right>
      <bottom style="medium">
        <color rgb="FF4285F4"/>
      </bottom>
    </border>
    <border>
      <left style="thin">
        <color rgb="FF4285F4"/>
      </left>
      <right style="thin">
        <color rgb="FF4285F4"/>
      </right>
      <bottom style="medium">
        <color rgb="FF4285F4"/>
      </bottom>
    </border>
    <border>
      <right style="thin">
        <color rgb="FF000000"/>
      </right>
      <bottom style="thin">
        <color rgb="FF000000"/>
      </bottom>
    </border>
    <border>
      <left style="thin">
        <color rgb="FF4285F4"/>
      </left>
      <bottom style="thin">
        <color rgb="FF4285F4"/>
      </bottom>
    </border>
    <border>
      <left style="thin">
        <color rgb="FF4285F4"/>
      </left>
      <right style="thin">
        <color rgb="FF4285F4"/>
      </right>
      <bottom style="thin">
        <color rgb="FF4285F4"/>
      </bottom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top style="thin">
        <color rgb="FF8ED973"/>
      </top>
      <bottom style="thin">
        <color rgb="FF8ED973"/>
      </bottom>
    </border>
    <border>
      <left style="thin">
        <color rgb="FFE8710A"/>
      </left>
      <right style="thin">
        <color rgb="FFE8710A"/>
      </right>
      <top style="thin">
        <color rgb="FFE8710A"/>
      </top>
      <bottom style="thin">
        <color rgb="FFE8710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1" fillId="0" fontId="4" numFmtId="0" xfId="0" applyAlignment="1" applyBorder="1" applyFont="1">
      <alignment readingOrder="0" shrinkToFit="0" vertical="bottom" wrapText="0"/>
    </xf>
    <xf borderId="0" fillId="2" fontId="5" numFmtId="0" xfId="0" applyAlignment="1" applyFont="1">
      <alignment readingOrder="0" vertical="bottom"/>
    </xf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3" fontId="3" numFmtId="168" xfId="0" applyAlignment="1" applyFill="1" applyFont="1" applyNumberForma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0" fontId="1" numFmtId="9" xfId="0" applyFont="1" applyNumberFormat="1"/>
    <xf borderId="0" fillId="0" fontId="6" numFmtId="3" xfId="0" applyAlignment="1" applyFont="1" applyNumberFormat="1">
      <alignment horizontal="center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7" numFmtId="3" xfId="0" applyAlignment="1" applyFont="1" applyNumberFormat="1">
      <alignment horizontal="center" readingOrder="0"/>
    </xf>
    <xf borderId="2" fillId="3" fontId="8" numFmtId="0" xfId="0" applyAlignment="1" applyBorder="1" applyFont="1">
      <alignment horizontal="center" readingOrder="0"/>
    </xf>
    <xf borderId="3" fillId="3" fontId="8" numFmtId="0" xfId="0" applyAlignment="1" applyBorder="1" applyFont="1">
      <alignment horizontal="center" readingOrder="0" vertical="bottom"/>
    </xf>
    <xf borderId="4" fillId="3" fontId="8" numFmtId="0" xfId="0" applyAlignment="1" applyBorder="1" applyFont="1">
      <alignment horizontal="center" readingOrder="0" vertical="bottom"/>
    </xf>
    <xf borderId="5" fillId="0" fontId="9" numFmtId="0" xfId="0" applyBorder="1" applyFont="1"/>
    <xf borderId="6" fillId="4" fontId="10" numFmtId="0" xfId="0" applyAlignment="1" applyBorder="1" applyFill="1" applyFont="1">
      <alignment horizontal="center" readingOrder="0" vertical="bottom"/>
    </xf>
    <xf borderId="5" fillId="4" fontId="10" numFmtId="0" xfId="0" applyAlignment="1" applyBorder="1" applyFont="1">
      <alignment horizontal="center" readingOrder="0" vertical="bottom"/>
    </xf>
    <xf borderId="0" fillId="0" fontId="1" numFmtId="0" xfId="0" applyFont="1"/>
    <xf borderId="6" fillId="0" fontId="11" numFmtId="0" xfId="0" applyAlignment="1" applyBorder="1" applyFont="1">
      <alignment horizontal="right" readingOrder="0" vertical="bottom"/>
    </xf>
    <xf borderId="5" fillId="0" fontId="11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horizontal="right" readingOrder="0" vertical="bottom"/>
    </xf>
    <xf borderId="5" fillId="0" fontId="11" numFmtId="0" xfId="0" applyAlignment="1" applyBorder="1" applyFont="1">
      <alignment readingOrder="0" vertical="bottom"/>
    </xf>
    <xf borderId="7" fillId="0" fontId="11" numFmtId="0" xfId="0" applyAlignment="1" applyBorder="1" applyFont="1">
      <alignment horizontal="right" readingOrder="0" vertical="bottom"/>
    </xf>
    <xf borderId="8" fillId="0" fontId="12" numFmtId="0" xfId="0" applyAlignment="1" applyBorder="1" applyFont="1">
      <alignment readingOrder="0" shrinkToFit="0" vertical="bottom" wrapText="0"/>
    </xf>
    <xf borderId="9" fillId="0" fontId="12" numFmtId="0" xfId="0" applyAlignment="1" applyBorder="1" applyFont="1">
      <alignment readingOrder="0" shrinkToFit="0" vertical="bottom" wrapText="0"/>
    </xf>
    <xf borderId="10" fillId="0" fontId="12" numFmtId="0" xfId="0" applyAlignment="1" applyBorder="1" applyFont="1">
      <alignment readingOrder="0" shrinkToFit="0" vertical="bottom" wrapText="0"/>
    </xf>
    <xf borderId="11" fillId="0" fontId="4" numFmtId="0" xfId="0" applyAlignment="1" applyBorder="1" applyFont="1">
      <alignment readingOrder="0" shrinkToFit="0" vertical="bottom" wrapText="0"/>
    </xf>
    <xf borderId="12" fillId="0" fontId="4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horizontal="right" readingOrder="0"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13" numFmtId="0" xfId="0" applyAlignment="1" applyBorder="1" applyFont="1">
      <alignment horizontal="right" readingOrder="0" shrinkToFit="0" vertical="bottom" wrapText="0"/>
    </xf>
    <xf borderId="9" fillId="0" fontId="4" numFmtId="0" xfId="0" applyAlignment="1" applyBorder="1" applyFont="1">
      <alignment readingOrder="0" shrinkToFit="0" vertical="bottom" wrapText="0"/>
    </xf>
    <xf borderId="12" fillId="0" fontId="4" numFmtId="0" xfId="0" applyAlignment="1" applyBorder="1" applyFont="1">
      <alignment horizontal="right" readingOrder="0" shrinkToFit="0" vertical="bottom" wrapText="0"/>
    </xf>
    <xf borderId="13" fillId="0" fontId="4" numFmtId="0" xfId="0" applyAlignment="1" applyBorder="1" applyFont="1">
      <alignment readingOrder="0" shrinkToFit="0" vertical="bottom" wrapText="0"/>
    </xf>
    <xf borderId="14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4" fillId="0" fontId="4" numFmtId="0" xfId="0" applyAlignment="1" applyBorder="1" applyFont="1">
      <alignment horizontal="right" readingOrder="0" shrinkToFit="0" vertical="bottom" wrapText="0"/>
    </xf>
    <xf borderId="15" fillId="5" fontId="14" numFmtId="0" xfId="0" applyAlignment="1" applyBorder="1" applyFill="1" applyFont="1">
      <alignment horizontal="center" shrinkToFit="0" wrapText="1"/>
    </xf>
    <xf borderId="16" fillId="5" fontId="14" numFmtId="0" xfId="0" applyAlignment="1" applyBorder="1" applyFont="1">
      <alignment horizontal="center" shrinkToFit="0" wrapText="1"/>
    </xf>
    <xf borderId="16" fillId="0" fontId="9" numFmtId="0" xfId="0" applyBorder="1" applyFont="1"/>
    <xf borderId="17" fillId="0" fontId="9" numFmtId="0" xfId="0" applyBorder="1" applyFont="1"/>
    <xf borderId="18" fillId="5" fontId="14" numFmtId="0" xfId="0" applyAlignment="1" applyBorder="1" applyFont="1">
      <alignment horizontal="center" shrinkToFit="0" wrapText="1"/>
    </xf>
    <xf borderId="19" fillId="0" fontId="9" numFmtId="0" xfId="0" applyBorder="1" applyFont="1"/>
    <xf borderId="20" fillId="5" fontId="14" numFmtId="0" xfId="0" applyAlignment="1" applyBorder="1" applyFont="1">
      <alignment horizontal="center" shrinkToFit="0" wrapText="1"/>
    </xf>
    <xf borderId="21" fillId="0" fontId="9" numFmtId="0" xfId="0" applyBorder="1" applyFont="1"/>
    <xf borderId="21" fillId="6" fontId="15" numFmtId="0" xfId="0" applyAlignment="1" applyBorder="1" applyFill="1" applyFont="1">
      <alignment horizontal="center" shrinkToFit="0" vertical="bottom" wrapText="1"/>
    </xf>
    <xf borderId="22" fillId="6" fontId="15" numFmtId="0" xfId="0" applyAlignment="1" applyBorder="1" applyFont="1">
      <alignment horizontal="center" shrinkToFit="0" vertical="bottom" wrapText="1"/>
    </xf>
    <xf borderId="22" fillId="6" fontId="15" numFmtId="0" xfId="0" applyAlignment="1" applyBorder="1" applyFont="1">
      <alignment horizontal="center" readingOrder="0" shrinkToFit="0" vertical="bottom" wrapText="1"/>
    </xf>
    <xf borderId="22" fillId="0" fontId="9" numFmtId="0" xfId="0" applyBorder="1" applyFont="1"/>
    <xf borderId="23" fillId="0" fontId="16" numFmtId="0" xfId="0" applyAlignment="1" applyBorder="1" applyFont="1">
      <alignment vertical="bottom"/>
    </xf>
    <xf borderId="24" fillId="0" fontId="17" numFmtId="0" xfId="0" applyAlignment="1" applyBorder="1" applyFont="1">
      <alignment horizontal="right" vertical="bottom"/>
    </xf>
    <xf borderId="25" fillId="0" fontId="18" numFmtId="0" xfId="0" applyAlignment="1" applyBorder="1" applyFont="1">
      <alignment horizontal="right" shrinkToFit="0" vertical="bottom" wrapText="1"/>
    </xf>
    <xf borderId="26" fillId="0" fontId="17" numFmtId="0" xfId="0" applyAlignment="1" applyBorder="1" applyFont="1">
      <alignment horizontal="right" vertical="bottom"/>
    </xf>
    <xf borderId="27" fillId="0" fontId="17" numFmtId="0" xfId="0" applyAlignment="1" applyBorder="1" applyFont="1">
      <alignment horizontal="right" vertical="bottom"/>
    </xf>
    <xf borderId="28" fillId="0" fontId="18" numFmtId="0" xfId="0" applyAlignment="1" applyBorder="1" applyFont="1">
      <alignment horizontal="right" shrinkToFit="0" vertical="bottom" wrapText="1"/>
    </xf>
    <xf borderId="29" fillId="0" fontId="17" numFmtId="0" xfId="0" applyAlignment="1" applyBorder="1" applyFont="1">
      <alignment horizontal="right" vertical="bottom"/>
    </xf>
    <xf borderId="28" fillId="0" fontId="17" numFmtId="0" xfId="0" applyAlignment="1" applyBorder="1" applyFont="1">
      <alignment horizontal="right" vertical="bottom"/>
    </xf>
    <xf borderId="8" fillId="7" fontId="12" numFmtId="0" xfId="0" applyAlignment="1" applyBorder="1" applyFill="1" applyFont="1">
      <alignment readingOrder="0" shrinkToFit="0" vertical="bottom" wrapText="0"/>
    </xf>
    <xf borderId="9" fillId="7" fontId="12" numFmtId="0" xfId="0" applyAlignment="1" applyBorder="1" applyFont="1">
      <alignment readingOrder="0" shrinkToFit="0" vertical="bottom" wrapText="0"/>
    </xf>
    <xf borderId="13" fillId="8" fontId="4" numFmtId="0" xfId="0" applyAlignment="1" applyBorder="1" applyFill="1" applyFont="1">
      <alignment readingOrder="0" shrinkToFit="0" vertical="bottom" wrapText="0"/>
    </xf>
    <xf borderId="9" fillId="8" fontId="4" numFmtId="0" xfId="0" applyAlignment="1" applyBorder="1" applyFont="1">
      <alignment readingOrder="0" shrinkToFit="0" vertical="bottom" wrapText="0"/>
    </xf>
    <xf borderId="9" fillId="8" fontId="4" numFmtId="0" xfId="0" applyAlignment="1" applyBorder="1" applyFont="1">
      <alignment horizontal="right" readingOrder="0" shrinkToFit="0" vertical="bottom" wrapText="0"/>
    </xf>
    <xf borderId="9" fillId="8" fontId="13" numFmtId="0" xfId="0" applyAlignment="1" applyBorder="1" applyFont="1">
      <alignment horizontal="right" readingOrder="0" shrinkToFit="0" vertical="bottom" wrapText="0"/>
    </xf>
    <xf borderId="11" fillId="0" fontId="4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horizontal="right" readingOrder="0" shrinkToFit="0" vertical="bottom" wrapText="0"/>
    </xf>
    <xf borderId="9" fillId="0" fontId="13" numFmtId="0" xfId="0" applyAlignment="1" applyBorder="1" applyFont="1">
      <alignment horizontal="right" readingOrder="0" shrinkToFit="0" vertical="bottom" wrapText="0"/>
    </xf>
    <xf borderId="11" fillId="8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30" fillId="0" fontId="4" numFmtId="0" xfId="0" applyAlignment="1" applyBorder="1" applyFont="1">
      <alignment horizontal="center" readingOrder="0" shrinkToFit="0" vertical="bottom" wrapText="0"/>
    </xf>
    <xf borderId="31" fillId="0" fontId="9" numFmtId="0" xfId="0" applyBorder="1" applyFont="1"/>
    <xf borderId="0" fillId="0" fontId="4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32" fillId="9" fontId="12" numFmtId="0" xfId="0" applyAlignment="1" applyBorder="1" applyFill="1" applyFont="1">
      <alignment readingOrder="0" shrinkToFit="0" vertical="bottom" wrapText="1"/>
    </xf>
    <xf borderId="33" fillId="9" fontId="12" numFmtId="0" xfId="0" applyAlignment="1" applyBorder="1" applyFont="1">
      <alignment readingOrder="0" shrinkToFit="0" vertical="bottom" wrapText="1"/>
    </xf>
    <xf borderId="34" fillId="9" fontId="12" numFmtId="0" xfId="0" applyAlignment="1" applyBorder="1" applyFont="1">
      <alignment readingOrder="0" shrinkToFit="0" vertical="bottom" wrapText="1"/>
    </xf>
    <xf borderId="35" fillId="9" fontId="12" numFmtId="0" xfId="0" applyAlignment="1" applyBorder="1" applyFont="1">
      <alignment readingOrder="0" shrinkToFit="0" vertical="bottom" wrapText="1"/>
    </xf>
    <xf borderId="36" fillId="9" fontId="12" numFmtId="0" xfId="0" applyAlignment="1" applyBorder="1" applyFont="1">
      <alignment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37" fillId="10" fontId="4" numFmtId="0" xfId="0" applyAlignment="1" applyBorder="1" applyFill="1" applyFont="1">
      <alignment readingOrder="0" shrinkToFit="0" vertical="bottom" wrapText="0"/>
    </xf>
    <xf borderId="38" fillId="10" fontId="4" numFmtId="0" xfId="0" applyAlignment="1" applyBorder="1" applyFont="1">
      <alignment readingOrder="0" shrinkToFit="0" vertical="bottom" wrapText="0"/>
    </xf>
    <xf borderId="38" fillId="10" fontId="4" numFmtId="0" xfId="0" applyAlignment="1" applyBorder="1" applyFont="1">
      <alignment horizontal="center" readingOrder="0" shrinkToFit="0" vertical="bottom" wrapText="0"/>
    </xf>
    <xf borderId="39" fillId="9" fontId="4" numFmtId="0" xfId="0" applyAlignment="1" applyBorder="1" applyFont="1">
      <alignment horizontal="right" readingOrder="0" shrinkToFit="0" vertical="bottom" wrapText="0"/>
    </xf>
    <xf borderId="38" fillId="9" fontId="4" numFmtId="0" xfId="0" applyAlignment="1" applyBorder="1" applyFont="1">
      <alignment horizontal="right" readingOrder="0" shrinkToFit="0" vertical="bottom" wrapText="0"/>
    </xf>
    <xf borderId="40" fillId="9" fontId="4" numFmtId="0" xfId="0" applyAlignment="1" applyBorder="1" applyFont="1">
      <alignment horizontal="right" readingOrder="0" shrinkToFit="0" vertical="bottom" wrapText="0"/>
    </xf>
    <xf borderId="38" fillId="11" fontId="4" numFmtId="0" xfId="0" applyAlignment="1" applyBorder="1" applyFill="1" applyFont="1">
      <alignment horizontal="right" readingOrder="0" shrinkToFit="0" vertical="bottom" wrapText="0"/>
    </xf>
    <xf borderId="39" fillId="10" fontId="4" numFmtId="0" xfId="0" applyAlignment="1" applyBorder="1" applyFont="1">
      <alignment horizontal="right" readingOrder="0" shrinkToFit="0" vertical="bottom" wrapText="0"/>
    </xf>
    <xf borderId="38" fillId="10" fontId="4" numFmtId="0" xfId="0" applyAlignment="1" applyBorder="1" applyFont="1">
      <alignment horizontal="right" readingOrder="0" shrinkToFit="0" vertical="bottom" wrapText="0"/>
    </xf>
    <xf borderId="40" fillId="10" fontId="4" numFmtId="0" xfId="0" applyAlignment="1" applyBorder="1" applyFont="1">
      <alignment shrinkToFit="0" vertical="bottom" wrapText="0"/>
    </xf>
    <xf borderId="39" fillId="11" fontId="4" numFmtId="0" xfId="0" applyAlignment="1" applyBorder="1" applyFont="1">
      <alignment horizontal="right" readingOrder="0" shrinkToFit="0" vertical="bottom" wrapText="0"/>
    </xf>
    <xf borderId="38" fillId="10" fontId="4" numFmtId="0" xfId="0" applyAlignment="1" applyBorder="1" applyFont="1">
      <alignment shrinkToFit="0" vertical="bottom" wrapText="0"/>
    </xf>
    <xf borderId="40" fillId="10" fontId="4" numFmtId="0" xfId="0" applyAlignment="1" applyBorder="1" applyFont="1">
      <alignment horizontal="right" readingOrder="0" shrinkToFit="0" vertical="bottom" wrapText="0"/>
    </xf>
    <xf borderId="41" fillId="10" fontId="13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37" fillId="12" fontId="4" numFmtId="0" xfId="0" applyAlignment="1" applyBorder="1" applyFill="1" applyFont="1">
      <alignment readingOrder="0" shrinkToFit="0" vertical="bottom" wrapText="0"/>
    </xf>
    <xf borderId="38" fillId="12" fontId="4" numFmtId="0" xfId="0" applyAlignment="1" applyBorder="1" applyFont="1">
      <alignment readingOrder="0" shrinkToFit="0" vertical="bottom" wrapText="0"/>
    </xf>
    <xf borderId="38" fillId="12" fontId="4" numFmtId="0" xfId="0" applyAlignment="1" applyBorder="1" applyFont="1">
      <alignment horizontal="center" readingOrder="0" shrinkToFit="0" vertical="bottom" wrapText="0"/>
    </xf>
    <xf borderId="38" fillId="12" fontId="4" numFmtId="0" xfId="0" applyAlignment="1" applyBorder="1" applyFont="1">
      <alignment horizontal="right" readingOrder="0" shrinkToFit="0" vertical="bottom" wrapText="0"/>
    </xf>
    <xf borderId="40" fillId="12" fontId="4" numFmtId="0" xfId="0" applyAlignment="1" applyBorder="1" applyFont="1">
      <alignment shrinkToFit="0" vertical="bottom" wrapText="0"/>
    </xf>
    <xf borderId="38" fillId="12" fontId="4" numFmtId="0" xfId="0" applyAlignment="1" applyBorder="1" applyFont="1">
      <alignment shrinkToFit="0" vertical="bottom" wrapText="0"/>
    </xf>
    <xf borderId="40" fillId="12" fontId="4" numFmtId="0" xfId="0" applyAlignment="1" applyBorder="1" applyFont="1">
      <alignment horizontal="right" readingOrder="0" shrinkToFit="0" vertical="bottom" wrapText="0"/>
    </xf>
    <xf borderId="39" fillId="12" fontId="4" numFmtId="0" xfId="0" applyAlignment="1" applyBorder="1" applyFont="1">
      <alignment horizontal="right" readingOrder="0" shrinkToFit="0" vertical="bottom" wrapText="0"/>
    </xf>
    <xf borderId="41" fillId="12" fontId="13" numFmtId="0" xfId="0" applyAlignment="1" applyBorder="1" applyFont="1">
      <alignment horizontal="right" readingOrder="0" shrinkToFit="0" vertical="bottom" wrapText="0"/>
    </xf>
    <xf borderId="40" fillId="11" fontId="4" numFmtId="0" xfId="0" applyAlignment="1" applyBorder="1" applyFont="1">
      <alignment horizontal="right" readingOrder="0" shrinkToFit="0" vertical="bottom" wrapText="0"/>
    </xf>
    <xf borderId="39" fillId="9" fontId="4" numFmtId="169" xfId="0" applyAlignment="1" applyBorder="1" applyFont="1" applyNumberFormat="1">
      <alignment horizontal="right" readingOrder="0" shrinkToFit="0" vertical="bottom" wrapText="0"/>
    </xf>
    <xf borderId="38" fillId="9" fontId="4" numFmtId="169" xfId="0" applyAlignment="1" applyBorder="1" applyFont="1" applyNumberFormat="1">
      <alignment horizontal="right" readingOrder="0" shrinkToFit="0" vertical="bottom" wrapText="0"/>
    </xf>
    <xf borderId="38" fillId="10" fontId="4" numFmtId="169" xfId="0" applyAlignment="1" applyBorder="1" applyFont="1" applyNumberFormat="1">
      <alignment horizontal="right" readingOrder="0" shrinkToFit="0" vertical="bottom" wrapText="0"/>
    </xf>
    <xf borderId="38" fillId="12" fontId="4" numFmtId="0" xfId="0" applyAlignment="1" applyBorder="1" applyFont="1">
      <alignment horizontal="center" shrinkToFit="0" vertical="bottom" wrapText="0"/>
    </xf>
    <xf borderId="38" fillId="1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0"/>
    </xf>
    <xf borderId="38" fillId="12" fontId="13" numFmtId="0" xfId="0" applyAlignment="1" applyBorder="1" applyFont="1">
      <alignment horizontal="right" readingOrder="0" shrinkToFit="0" vertical="bottom" wrapText="0"/>
    </xf>
    <xf borderId="42" fillId="10" fontId="4" numFmtId="0" xfId="0" applyAlignment="1" applyBorder="1" applyFont="1">
      <alignment readingOrder="0" shrinkToFit="0" vertical="bottom" wrapText="0"/>
    </xf>
    <xf borderId="43" fillId="10" fontId="4" numFmtId="0" xfId="0" applyAlignment="1" applyBorder="1" applyFont="1">
      <alignment readingOrder="0" shrinkToFit="0" vertical="bottom" wrapText="0"/>
    </xf>
    <xf borderId="43" fillId="10" fontId="4" numFmtId="0" xfId="0" applyAlignment="1" applyBorder="1" applyFont="1">
      <alignment horizontal="center" readingOrder="0" shrinkToFit="0" vertical="bottom" wrapText="0"/>
    </xf>
    <xf borderId="43" fillId="10" fontId="4" numFmtId="0" xfId="0" applyAlignment="1" applyBorder="1" applyFont="1">
      <alignment horizontal="center" shrinkToFit="0" vertical="bottom" wrapText="0"/>
    </xf>
    <xf borderId="44" fillId="10" fontId="4" numFmtId="0" xfId="0" applyAlignment="1" applyBorder="1" applyFont="1">
      <alignment horizontal="right" readingOrder="0" shrinkToFit="0" vertical="bottom" wrapText="0"/>
    </xf>
    <xf borderId="43" fillId="10" fontId="4" numFmtId="0" xfId="0" applyAlignment="1" applyBorder="1" applyFont="1">
      <alignment horizontal="right" readingOrder="0" shrinkToFit="0" vertical="bottom" wrapText="0"/>
    </xf>
    <xf borderId="45" fillId="10" fontId="4" numFmtId="0" xfId="0" applyAlignment="1" applyBorder="1" applyFont="1">
      <alignment horizontal="right" readingOrder="0" shrinkToFit="0" vertical="bottom" wrapText="0"/>
    </xf>
    <xf borderId="45" fillId="10" fontId="4" numFmtId="0" xfId="0" applyAlignment="1" applyBorder="1" applyFont="1">
      <alignment shrinkToFit="0" vertical="bottom" wrapText="0"/>
    </xf>
    <xf borderId="43" fillId="10" fontId="4" numFmtId="0" xfId="0" applyAlignment="1" applyBorder="1" applyFont="1">
      <alignment shrinkToFit="0" vertical="bottom" wrapText="0"/>
    </xf>
    <xf borderId="43" fillId="10" fontId="13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19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46" fillId="0" fontId="19" numFmtId="0" xfId="0" applyAlignment="1" applyBorder="1" applyFont="1">
      <alignment horizontal="right" readingOrder="0" shrinkToFit="0" vertical="bottom" wrapText="0"/>
    </xf>
    <xf borderId="46" fillId="0" fontId="19" numFmtId="0" xfId="0" applyAlignment="1" applyBorder="1" applyFont="1">
      <alignment shrinkToFit="0" vertical="bottom" wrapText="0"/>
    </xf>
    <xf borderId="0" fillId="0" fontId="5" numFmtId="164" xfId="0" applyAlignment="1" applyFont="1" applyNumberFormat="1">
      <alignment horizontal="right" vertical="bottom"/>
    </xf>
    <xf borderId="46" fillId="13" fontId="19" numFmtId="0" xfId="0" applyAlignment="1" applyBorder="1" applyFill="1" applyFont="1">
      <alignment horizontal="right" readingOrder="0" shrinkToFit="0" vertical="bottom" wrapText="0"/>
    </xf>
    <xf borderId="46" fillId="13" fontId="19" numFmtId="0" xfId="0" applyAlignment="1" applyBorder="1" applyFont="1">
      <alignment shrinkToFit="0" vertical="bottom" wrapText="0"/>
    </xf>
    <xf borderId="0" fillId="0" fontId="13" numFmtId="0" xfId="0" applyFont="1"/>
    <xf borderId="0" fillId="0" fontId="13" numFmtId="16" xfId="0" applyAlignment="1" applyFont="1" applyNumberFormat="1">
      <alignment readingOrder="0"/>
    </xf>
    <xf borderId="0" fillId="0" fontId="13" numFmtId="170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5" numFmtId="0" xfId="0" applyFont="1"/>
    <xf borderId="0" fillId="0" fontId="5" numFmtId="0" xfId="0" applyAlignment="1" applyFont="1">
      <alignment horizontal="right"/>
    </xf>
    <xf borderId="0" fillId="0" fontId="5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14" fontId="4" numFmtId="0" xfId="0" applyAlignment="1" applyFill="1" applyFont="1">
      <alignment readingOrder="0"/>
    </xf>
    <xf borderId="0" fillId="14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9" xfId="0" applyAlignment="1" applyFont="1" applyNumberFormat="1">
      <alignment horizontal="right" vertical="bottom"/>
    </xf>
    <xf borderId="47" fillId="15" fontId="21" numFmtId="0" xfId="0" applyAlignment="1" applyBorder="1" applyFill="1" applyFont="1">
      <alignment vertical="bottom"/>
    </xf>
    <xf borderId="47" fillId="15" fontId="5" numFmtId="0" xfId="0" applyAlignment="1" applyBorder="1" applyFont="1">
      <alignment vertical="bottom"/>
    </xf>
    <xf borderId="47" fillId="15" fontId="22" numFmtId="0" xfId="0" applyAlignment="1" applyBorder="1" applyFont="1">
      <alignment vertical="bottom"/>
    </xf>
    <xf borderId="47" fillId="15" fontId="23" numFmtId="0" xfId="0" applyAlignment="1" applyBorder="1" applyFont="1">
      <alignment horizontal="center" shrinkToFit="0" vertical="bottom" wrapText="1"/>
    </xf>
    <xf borderId="47" fillId="15" fontId="24" numFmtId="0" xfId="0" applyAlignment="1" applyBorder="1" applyFont="1">
      <alignment vertical="bottom"/>
    </xf>
    <xf borderId="47" fillId="15" fontId="25" numFmtId="0" xfId="0" applyAlignment="1" applyBorder="1" applyFont="1">
      <alignment horizontal="center" vertical="bottom"/>
    </xf>
    <xf borderId="48" fillId="16" fontId="5" numFmtId="0" xfId="0" applyAlignment="1" applyBorder="1" applyFill="1" applyFont="1">
      <alignment vertical="bottom"/>
    </xf>
    <xf borderId="48" fillId="17" fontId="26" numFmtId="0" xfId="0" applyAlignment="1" applyBorder="1" applyFill="1" applyFont="1">
      <alignment vertical="bottom"/>
    </xf>
    <xf borderId="48" fillId="17" fontId="5" numFmtId="0" xfId="0" applyAlignment="1" applyBorder="1" applyFont="1">
      <alignment vertical="bottom"/>
    </xf>
    <xf borderId="48" fillId="17" fontId="27" numFmtId="171" xfId="0" applyAlignment="1" applyBorder="1" applyFont="1" applyNumberFormat="1">
      <alignment horizontal="right" vertical="bottom"/>
    </xf>
    <xf borderId="48" fillId="17" fontId="28" numFmtId="172" xfId="0" applyAlignment="1" applyBorder="1" applyFont="1" applyNumberFormat="1">
      <alignment horizontal="center" vertical="bottom"/>
    </xf>
    <xf borderId="0" fillId="0" fontId="28" numFmtId="0" xfId="0" applyAlignment="1" applyFont="1">
      <alignment vertical="bottom"/>
    </xf>
    <xf borderId="0" fillId="0" fontId="27" numFmtId="171" xfId="0" applyAlignment="1" applyFont="1" applyNumberFormat="1">
      <alignment horizontal="right" vertical="bottom"/>
    </xf>
    <xf borderId="0" fillId="0" fontId="28" numFmtId="0" xfId="0" applyAlignment="1" applyFont="1">
      <alignment horizontal="center" vertical="bottom"/>
    </xf>
    <xf borderId="0" fillId="18" fontId="28" numFmtId="0" xfId="0" applyAlignment="1" applyFill="1" applyFont="1">
      <alignment horizontal="center" vertical="bottom"/>
    </xf>
    <xf borderId="0" fillId="0" fontId="5" numFmtId="9" xfId="0" applyAlignment="1" applyFont="1" applyNumberFormat="1">
      <alignment horizontal="right" vertical="bottom"/>
    </xf>
    <xf borderId="0" fillId="0" fontId="5" numFmtId="173" xfId="0" applyAlignment="1" applyFont="1" applyNumberFormat="1">
      <alignment horizontal="right" vertical="bottom"/>
    </xf>
    <xf borderId="0" fillId="0" fontId="5" numFmtId="171" xfId="0" applyAlignment="1" applyFont="1" applyNumberFormat="1">
      <alignment vertical="bottom"/>
    </xf>
    <xf borderId="0" fillId="18" fontId="5" numFmtId="0" xfId="0" applyAlignment="1" applyFont="1">
      <alignment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3">
    <tableStyle count="3" pivot="0" name="Acum-style">
      <tableStyleElement dxfId="1" type="headerRow"/>
      <tableStyleElement dxfId="2" type="firstRowStripe"/>
      <tableStyleElement dxfId="3" type="secondRowStripe"/>
    </tableStyle>
    <tableStyle count="3" pivot="0" name="Parcial 1-style">
      <tableStyleElement dxfId="4" type="headerRow"/>
      <tableStyleElement dxfId="2" type="firstRowStripe"/>
      <tableStyleElement dxfId="5" type="secondRowStripe"/>
    </tableStyle>
    <tableStyle count="3" pivot="0" name="Partic-style">
      <tableStyleElement dxfId="6" type="headerRow"/>
      <tableStyleElement dxfId="7" type="firstRowStripe"/>
      <tableStyleElement dxfId="8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31" displayName="Table_1" name="Table_1" id="1">
  <tableColumns count="17">
    <tableColumn name="CEDULA" id="1"/>
    <tableColumn name="APELLIDO" id="2"/>
    <tableColumn name="NOMBRE" id="3"/>
    <tableColumn name="Correo Unimet" id="4"/>
    <tableColumn name="Estatus" id="5"/>
    <tableColumn name="Eval Cont" id="6"/>
    <tableColumn name="Quiz 1" id="7"/>
    <tableColumn name="Parcial 1" id="8"/>
    <tableColumn name="Quiz 2" id="9"/>
    <tableColumn name="Proyecto" id="10"/>
    <tableColumn name="Parcial 2" id="11"/>
    <tableColumn name="XTRA" id="12"/>
    <tableColumn name="Total" id="13"/>
    <tableColumn name="Escala 20" id="14"/>
    <tableColumn name="Partic" id="15"/>
    <tableColumn name="Tareas" id="16"/>
    <tableColumn name="Def" id="17"/>
  </tableColumns>
  <tableStyleInfo name="Acum-style" showColumnStripes="0" showFirstColumn="1" showLastColumn="1" showRowStripes="1"/>
</table>
</file>

<file path=xl/tables/table2.xml><?xml version="1.0" encoding="utf-8"?>
<table xmlns="http://schemas.openxmlformats.org/spreadsheetml/2006/main" ref="A1:H28" displayName="Table_2" name="Table_2" id="2">
  <tableColumns count="8">
    <tableColumn name="CEDULA" id="1"/>
    <tableColumn name="APELLIDO" id="2"/>
    <tableColumn name="NOMBRE" id="3"/>
    <tableColumn name="V/F" id="4"/>
    <tableColumn name="Selec" id="5"/>
    <tableColumn name="Complet" id="6"/>
    <tableColumn name="Desarrollo" id="7"/>
    <tableColumn name="Total" id="8"/>
  </tableColumns>
  <tableStyleInfo name="Parcial 1-style" showColumnStripes="0" showFirstColumn="1" showLastColumn="1" showRowStripes="1"/>
</table>
</file>

<file path=xl/tables/table3.xml><?xml version="1.0" encoding="utf-8"?>
<table xmlns="http://schemas.openxmlformats.org/spreadsheetml/2006/main" headerRowCount="0" ref="A1:S32" displayName="Table_3" name="Table_3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Parti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3.57"/>
    <col customWidth="1" min="7" max="7" width="14.29"/>
    <col customWidth="1" min="8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</row>
    <row r="8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2" t="s">
        <v>29</v>
      </c>
      <c r="H8" s="1" t="s">
        <v>30</v>
      </c>
      <c r="I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G9" s="2" t="s">
        <v>37</v>
      </c>
      <c r="H9" s="1" t="s">
        <v>38</v>
      </c>
      <c r="I9" s="1" t="s">
        <v>39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  <c r="G10" s="2" t="s">
        <v>46</v>
      </c>
      <c r="H10" s="1" t="s">
        <v>47</v>
      </c>
      <c r="I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G11" s="2" t="s">
        <v>54</v>
      </c>
      <c r="H11" s="1" t="s">
        <v>55</v>
      </c>
      <c r="I11" s="1" t="s">
        <v>56</v>
      </c>
    </row>
    <row r="12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2" t="s">
        <v>63</v>
      </c>
      <c r="H12" s="1" t="s">
        <v>64</v>
      </c>
      <c r="I12" s="1" t="s">
        <v>64</v>
      </c>
    </row>
    <row r="1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62</v>
      </c>
      <c r="G13" s="2" t="s">
        <v>70</v>
      </c>
      <c r="H13" s="1" t="s">
        <v>71</v>
      </c>
      <c r="I13" s="1" t="s">
        <v>72</v>
      </c>
    </row>
    <row r="14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2" t="s">
        <v>79</v>
      </c>
      <c r="H14" s="1" t="s">
        <v>80</v>
      </c>
    </row>
    <row r="1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2" t="s">
        <v>87</v>
      </c>
      <c r="H15" s="1" t="s">
        <v>88</v>
      </c>
      <c r="I15" s="1" t="s">
        <v>89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  <c r="G16" s="2" t="s">
        <v>96</v>
      </c>
      <c r="H16" s="1" t="s">
        <v>97</v>
      </c>
      <c r="I16" s="1" t="s">
        <v>98</v>
      </c>
    </row>
    <row r="17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103</v>
      </c>
      <c r="G17" s="2" t="s">
        <v>104</v>
      </c>
      <c r="H17" s="1" t="s">
        <v>105</v>
      </c>
      <c r="I17" s="1" t="s">
        <v>106</v>
      </c>
    </row>
    <row r="18">
      <c r="A18" s="1" t="s">
        <v>107</v>
      </c>
      <c r="B18" s="1" t="s">
        <v>108</v>
      </c>
      <c r="C18" s="1" t="s">
        <v>109</v>
      </c>
      <c r="D18" s="1" t="s">
        <v>110</v>
      </c>
      <c r="E18" s="1" t="s">
        <v>111</v>
      </c>
      <c r="F18" s="1" t="s">
        <v>112</v>
      </c>
      <c r="G18" s="2" t="s">
        <v>113</v>
      </c>
      <c r="H18" s="1" t="s">
        <v>114</v>
      </c>
    </row>
    <row r="19">
      <c r="A19" s="1" t="s">
        <v>115</v>
      </c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120</v>
      </c>
      <c r="G19" s="2" t="s">
        <v>121</v>
      </c>
      <c r="H19" s="1" t="s">
        <v>122</v>
      </c>
      <c r="I19" s="1" t="s">
        <v>123</v>
      </c>
    </row>
    <row r="20">
      <c r="A20" s="1" t="s">
        <v>124</v>
      </c>
      <c r="B20" s="1" t="s">
        <v>125</v>
      </c>
      <c r="C20" s="1" t="s">
        <v>126</v>
      </c>
      <c r="D20" s="1" t="s">
        <v>127</v>
      </c>
      <c r="E20" s="1" t="s">
        <v>94</v>
      </c>
      <c r="F20" s="1" t="s">
        <v>128</v>
      </c>
      <c r="G20" s="2" t="s">
        <v>129</v>
      </c>
      <c r="H20" s="1" t="s">
        <v>130</v>
      </c>
      <c r="I20" s="1" t="s">
        <v>131</v>
      </c>
    </row>
    <row r="21" ht="15.75" customHeight="1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2" t="s">
        <v>138</v>
      </c>
      <c r="H21" s="1" t="s">
        <v>139</v>
      </c>
    </row>
    <row r="22" ht="15.75" customHeight="1">
      <c r="A22" s="1" t="s">
        <v>140</v>
      </c>
      <c r="B22" s="1" t="s">
        <v>141</v>
      </c>
      <c r="C22" s="1" t="s">
        <v>142</v>
      </c>
      <c r="D22" s="1" t="s">
        <v>143</v>
      </c>
      <c r="E22" s="1" t="s">
        <v>44</v>
      </c>
      <c r="G22" s="2" t="s">
        <v>144</v>
      </c>
      <c r="H22" s="1" t="s">
        <v>145</v>
      </c>
      <c r="I22" s="1" t="s">
        <v>146</v>
      </c>
    </row>
    <row r="23" ht="15.75" customHeight="1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111</v>
      </c>
      <c r="G23" s="2" t="s">
        <v>152</v>
      </c>
      <c r="H23" s="1" t="s">
        <v>153</v>
      </c>
      <c r="I23" s="1" t="s">
        <v>154</v>
      </c>
    </row>
    <row r="24" ht="15.75" customHeight="1">
      <c r="A24" s="1" t="s">
        <v>155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160</v>
      </c>
      <c r="G24" s="2" t="s">
        <v>161</v>
      </c>
      <c r="H24" s="1" t="s">
        <v>162</v>
      </c>
      <c r="I24" s="1" t="s">
        <v>163</v>
      </c>
    </row>
    <row r="25" ht="15.75" customHeight="1">
      <c r="A25" s="1" t="s">
        <v>164</v>
      </c>
      <c r="B25" s="1" t="s">
        <v>165</v>
      </c>
      <c r="C25" s="1" t="s">
        <v>166</v>
      </c>
      <c r="D25" s="1" t="s">
        <v>167</v>
      </c>
      <c r="E25" s="1" t="s">
        <v>168</v>
      </c>
      <c r="F25" s="1" t="s">
        <v>169</v>
      </c>
      <c r="G25" s="2" t="s">
        <v>170</v>
      </c>
      <c r="H25" s="1" t="s">
        <v>171</v>
      </c>
      <c r="I25" s="1" t="s">
        <v>172</v>
      </c>
    </row>
    <row r="26" ht="15.75" customHeight="1">
      <c r="A26" s="1" t="s">
        <v>173</v>
      </c>
      <c r="B26" s="1" t="s">
        <v>174</v>
      </c>
      <c r="C26" s="1" t="s">
        <v>175</v>
      </c>
      <c r="D26" s="1" t="s">
        <v>176</v>
      </c>
      <c r="E26" s="1" t="s">
        <v>177</v>
      </c>
      <c r="G26" s="2" t="s">
        <v>178</v>
      </c>
      <c r="H26" s="1" t="s">
        <v>179</v>
      </c>
      <c r="I26" s="1" t="s">
        <v>180</v>
      </c>
    </row>
    <row r="27" ht="15.75" customHeight="1">
      <c r="A27" s="1" t="s">
        <v>181</v>
      </c>
      <c r="B27" s="1" t="s">
        <v>182</v>
      </c>
      <c r="C27" s="1" t="s">
        <v>183</v>
      </c>
      <c r="D27" s="1" t="s">
        <v>184</v>
      </c>
      <c r="E27" s="1" t="s">
        <v>185</v>
      </c>
      <c r="F27" s="1" t="s">
        <v>186</v>
      </c>
      <c r="G27" s="2" t="s">
        <v>187</v>
      </c>
      <c r="H27" s="1" t="s">
        <v>188</v>
      </c>
      <c r="I27" s="1" t="s">
        <v>189</v>
      </c>
    </row>
    <row r="28" ht="15.75" customHeight="1">
      <c r="A28" s="1" t="s">
        <v>190</v>
      </c>
      <c r="B28" s="1" t="s">
        <v>191</v>
      </c>
      <c r="C28" s="1" t="s">
        <v>192</v>
      </c>
      <c r="D28" s="1" t="s">
        <v>193</v>
      </c>
      <c r="E28" s="1" t="s">
        <v>194</v>
      </c>
      <c r="F28" s="1" t="s">
        <v>62</v>
      </c>
      <c r="G28" s="2" t="s">
        <v>195</v>
      </c>
      <c r="H28" s="1" t="s">
        <v>196</v>
      </c>
      <c r="I28" s="1" t="s">
        <v>197</v>
      </c>
    </row>
    <row r="29" ht="15.75" customHeight="1">
      <c r="A29" s="1" t="s">
        <v>198</v>
      </c>
      <c r="B29" s="1" t="s">
        <v>199</v>
      </c>
      <c r="C29" s="1" t="s">
        <v>200</v>
      </c>
      <c r="D29" s="1" t="s">
        <v>201</v>
      </c>
      <c r="E29" s="1" t="s">
        <v>202</v>
      </c>
      <c r="F29" s="1" t="s">
        <v>203</v>
      </c>
      <c r="G29" s="2" t="s">
        <v>204</v>
      </c>
      <c r="H29" s="1" t="s">
        <v>205</v>
      </c>
    </row>
    <row r="30" ht="15.75" customHeight="1">
      <c r="A30" s="1" t="s">
        <v>206</v>
      </c>
      <c r="B30" s="1" t="s">
        <v>207</v>
      </c>
      <c r="C30" s="1" t="s">
        <v>208</v>
      </c>
      <c r="D30" s="1" t="s">
        <v>209</v>
      </c>
      <c r="E30" s="1" t="s">
        <v>210</v>
      </c>
      <c r="F30" s="1" t="s">
        <v>28</v>
      </c>
      <c r="G30" s="2" t="s">
        <v>211</v>
      </c>
      <c r="H30" s="1" t="s">
        <v>212</v>
      </c>
      <c r="I30" s="1" t="s">
        <v>213</v>
      </c>
    </row>
    <row r="31" ht="15.75" customHeight="1">
      <c r="A31" s="1" t="s">
        <v>214</v>
      </c>
      <c r="B31" s="1" t="s">
        <v>215</v>
      </c>
      <c r="C31" s="1" t="s">
        <v>216</v>
      </c>
      <c r="D31" s="1" t="s">
        <v>217</v>
      </c>
      <c r="E31" s="1" t="s">
        <v>112</v>
      </c>
      <c r="F31" s="1" t="s">
        <v>218</v>
      </c>
      <c r="G31" s="2" t="s">
        <v>219</v>
      </c>
      <c r="H31" s="1" t="s">
        <v>220</v>
      </c>
      <c r="I31" s="1" t="s">
        <v>221</v>
      </c>
    </row>
    <row r="32" ht="15.75" customHeight="1">
      <c r="A32" s="1" t="s">
        <v>222</v>
      </c>
      <c r="B32" s="1" t="s">
        <v>223</v>
      </c>
      <c r="C32" s="1" t="s">
        <v>224</v>
      </c>
      <c r="D32" s="1" t="s">
        <v>225</v>
      </c>
      <c r="E32" s="1" t="s">
        <v>226</v>
      </c>
      <c r="F32" s="1" t="s">
        <v>227</v>
      </c>
      <c r="G32" s="2" t="s">
        <v>228</v>
      </c>
      <c r="H32" s="1" t="s">
        <v>229</v>
      </c>
      <c r="I32" s="1" t="s">
        <v>230</v>
      </c>
    </row>
    <row r="33" ht="15.75" customHeight="1">
      <c r="A33" s="1" t="s">
        <v>231</v>
      </c>
      <c r="B33" s="1" t="s">
        <v>232</v>
      </c>
      <c r="C33" s="1" t="s">
        <v>233</v>
      </c>
      <c r="D33" s="1" t="s">
        <v>234</v>
      </c>
      <c r="E33" s="1" t="s">
        <v>235</v>
      </c>
      <c r="G33" s="2" t="s">
        <v>236</v>
      </c>
      <c r="H33" s="1" t="s">
        <v>237</v>
      </c>
      <c r="I33" s="1" t="s">
        <v>238</v>
      </c>
    </row>
    <row r="34" ht="15.75" customHeight="1">
      <c r="A34" s="1" t="s">
        <v>239</v>
      </c>
      <c r="B34" s="1" t="s">
        <v>240</v>
      </c>
      <c r="C34" s="1" t="s">
        <v>241</v>
      </c>
      <c r="D34" s="1" t="s">
        <v>242</v>
      </c>
      <c r="E34" s="1" t="s">
        <v>243</v>
      </c>
      <c r="F34" s="1" t="s">
        <v>244</v>
      </c>
      <c r="G34" s="2" t="s">
        <v>245</v>
      </c>
      <c r="H34" s="1" t="s">
        <v>246</v>
      </c>
      <c r="I34" s="1" t="s">
        <v>247</v>
      </c>
    </row>
    <row r="35" ht="15.75" customHeight="1">
      <c r="A35" s="1" t="s">
        <v>248</v>
      </c>
      <c r="B35" s="1" t="s">
        <v>249</v>
      </c>
      <c r="C35" s="1" t="s">
        <v>250</v>
      </c>
      <c r="D35" s="1" t="s">
        <v>251</v>
      </c>
      <c r="E35" s="1" t="s">
        <v>252</v>
      </c>
      <c r="F35" s="1" t="s">
        <v>253</v>
      </c>
      <c r="G35" s="2" t="s">
        <v>254</v>
      </c>
      <c r="H35" s="1" t="s">
        <v>255</v>
      </c>
      <c r="I35" s="1" t="s">
        <v>256</v>
      </c>
    </row>
    <row r="36" ht="15.75" customHeight="1">
      <c r="A36" s="1" t="s">
        <v>257</v>
      </c>
      <c r="B36" s="1" t="s">
        <v>258</v>
      </c>
      <c r="C36" s="1" t="s">
        <v>259</v>
      </c>
      <c r="D36" s="1" t="s">
        <v>260</v>
      </c>
      <c r="E36" s="1" t="s">
        <v>61</v>
      </c>
      <c r="F36" s="1" t="s">
        <v>62</v>
      </c>
      <c r="G36" s="2" t="s">
        <v>261</v>
      </c>
      <c r="H36" s="1" t="s">
        <v>262</v>
      </c>
      <c r="I36" s="1" t="s">
        <v>263</v>
      </c>
    </row>
    <row r="37" ht="15.75" customHeight="1">
      <c r="A37" s="1" t="s">
        <v>264</v>
      </c>
      <c r="B37" s="1" t="s">
        <v>265</v>
      </c>
      <c r="C37" s="1" t="s">
        <v>266</v>
      </c>
      <c r="D37" s="1" t="s">
        <v>267</v>
      </c>
      <c r="E37" s="1" t="s">
        <v>268</v>
      </c>
      <c r="F37" s="1" t="s">
        <v>269</v>
      </c>
      <c r="G37" s="2" t="s">
        <v>270</v>
      </c>
      <c r="H37" s="1" t="s">
        <v>271</v>
      </c>
      <c r="I37" s="1" t="s">
        <v>272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57"/>
    <col customWidth="1" min="2" max="2" width="10.57"/>
    <col customWidth="1" min="3" max="3" width="10.29"/>
    <col customWidth="1" hidden="1" min="4" max="4" width="18.0"/>
    <col customWidth="1" min="5" max="5" width="10.29"/>
    <col customWidth="1" min="6" max="6" width="9.14"/>
    <col customWidth="1" min="7" max="7" width="7.86"/>
    <col customWidth="1" min="8" max="8" width="8.43"/>
    <col customWidth="1" min="9" max="9" width="7.86"/>
    <col customWidth="1" min="10" max="10" width="8.86"/>
    <col customWidth="1" min="11" max="11" width="8.43"/>
    <col customWidth="1" min="12" max="12" width="6.71"/>
    <col customWidth="1" min="13" max="14" width="9.0"/>
    <col customWidth="1" min="15" max="15" width="6.14"/>
    <col customWidth="1" min="16" max="16" width="6.71"/>
    <col customWidth="1" min="17" max="17" width="6.29"/>
  </cols>
  <sheetData>
    <row r="1">
      <c r="A1" s="3" t="s">
        <v>14</v>
      </c>
      <c r="B1" s="3" t="s">
        <v>16</v>
      </c>
      <c r="C1" s="3" t="s">
        <v>17</v>
      </c>
      <c r="D1" s="3" t="s">
        <v>19</v>
      </c>
      <c r="E1" s="3" t="s">
        <v>273</v>
      </c>
      <c r="F1" s="4" t="s">
        <v>274</v>
      </c>
      <c r="G1" s="4" t="s">
        <v>275</v>
      </c>
      <c r="H1" s="4" t="s">
        <v>276</v>
      </c>
      <c r="I1" s="4" t="s">
        <v>277</v>
      </c>
      <c r="J1" s="4" t="s">
        <v>278</v>
      </c>
      <c r="K1" s="4" t="s">
        <v>279</v>
      </c>
      <c r="L1" s="3" t="s">
        <v>280</v>
      </c>
      <c r="M1" s="4" t="s">
        <v>281</v>
      </c>
      <c r="N1" s="3" t="s">
        <v>282</v>
      </c>
      <c r="O1" s="4" t="s">
        <v>283</v>
      </c>
      <c r="P1" s="4" t="s">
        <v>284</v>
      </c>
      <c r="Q1" s="4" t="s">
        <v>285</v>
      </c>
    </row>
    <row r="2">
      <c r="A2" s="5">
        <v>2.8410856E7</v>
      </c>
      <c r="B2" s="5" t="s">
        <v>26</v>
      </c>
      <c r="C2" s="5" t="s">
        <v>27</v>
      </c>
      <c r="D2" s="2" t="s">
        <v>29</v>
      </c>
      <c r="E2" s="6"/>
      <c r="F2" s="7">
        <f>VLOOKUP(left(D2,len(D2)-1),'Eval. Cont.'!$A$2:$Q$31,17,False)</f>
        <v>6.559285714</v>
      </c>
      <c r="G2" s="8">
        <f>'Quiz 1'!G3/2</f>
        <v>0</v>
      </c>
      <c r="H2" s="9">
        <f>ifna(VLOOKUP(value(A2),'Parcial 1'!$A$2:$H$28,8,FALSE),"")</f>
        <v>0</v>
      </c>
      <c r="I2" s="8" t="str">
        <f>if('Quiz 2'!K3&lt;&gt;"",'Quiz 2'!K3/2,"")</f>
        <v/>
      </c>
      <c r="J2" s="7" t="str">
        <f>ifna(vlookup(value(A2),Proyecto!$A$3:$AA$23,27,false),"")</f>
        <v/>
      </c>
      <c r="K2" s="9" t="str">
        <f>ifna(VLOOKUP(value(A2),'Parcial 2'!$A$2:$G$21,7,FALSE),"")</f>
        <v/>
      </c>
      <c r="L2" s="10" t="str">
        <f>ifna(VLOOKUP(left(D2,len(D2)-1),Xtra!$C$6:$N$53,12,false),"")</f>
        <v/>
      </c>
      <c r="M2" s="11">
        <f t="shared" ref="M2:M5" si="1">sum(F2:L2)</f>
        <v>6.559285714</v>
      </c>
      <c r="N2" s="12">
        <f t="shared" ref="N2:N31" si="2">M2/5</f>
        <v>1.311857143</v>
      </c>
      <c r="O2" s="13">
        <f>Partic!S2/(counta(Partic!D$1:S$1)-1)</f>
        <v>0.06666666667</v>
      </c>
      <c r="P2" s="13">
        <f>VLOOKUP(left(D2,len(D2)-1),Tareas!$A$2:$Q$31,17,False)</f>
        <v>0.2142857143</v>
      </c>
      <c r="Q2" s="14">
        <f t="shared" ref="Q2:Q22" si="3">if(E2="Retirado","R",N2+max(O2:P2))</f>
        <v>1.526142857</v>
      </c>
    </row>
    <row r="3">
      <c r="A3" s="5">
        <v>3.0849611E7</v>
      </c>
      <c r="B3" s="5" t="s">
        <v>35</v>
      </c>
      <c r="C3" s="5" t="s">
        <v>36</v>
      </c>
      <c r="D3" s="2" t="s">
        <v>37</v>
      </c>
      <c r="E3" s="4"/>
      <c r="F3" s="7">
        <f>VLOOKUP(left(D3,len(D3)-1),'Eval. Cont.'!$A$2:$Q$31,17,False)</f>
        <v>12.23785714</v>
      </c>
      <c r="G3" s="8">
        <f>'Quiz 1'!G4/2</f>
        <v>0.625</v>
      </c>
      <c r="H3" s="9">
        <f>ifna(VLOOKUP(value(A3),'Parcial 1'!$A$2:$H$28,8,FALSE),"")</f>
        <v>9.5</v>
      </c>
      <c r="I3" s="8" t="str">
        <f>if('Quiz 2'!K4&lt;&gt;"",'Quiz 2'!K4/2,"")</f>
        <v/>
      </c>
      <c r="J3" s="7">
        <f>ifna(vlookup(value(A3),Proyecto!$A$3:$AA$23,27,false),"")</f>
        <v>24.5</v>
      </c>
      <c r="K3" s="9">
        <f>ifna(VLOOKUP(value(A3),'Parcial 2'!$A$2:$G$21,7,FALSE),"")</f>
        <v>16</v>
      </c>
      <c r="L3" s="10" t="str">
        <f>ifna(VLOOKUP(left(D3,len(D3)-1),Xtra!$C$6:$N$53,12,false),"")</f>
        <v/>
      </c>
      <c r="M3" s="11">
        <f t="shared" si="1"/>
        <v>62.86285714</v>
      </c>
      <c r="N3" s="12">
        <f t="shared" si="2"/>
        <v>12.57257143</v>
      </c>
      <c r="O3" s="13">
        <f>Partic!S3/(counta(Partic!D$1:S$1)-1)</f>
        <v>0.2</v>
      </c>
      <c r="P3" s="13">
        <f>VLOOKUP(left(D3,len(D3)-1),Tareas!$A$2:$Q$31,17,False)</f>
        <v>0.2857142857</v>
      </c>
      <c r="Q3" s="14">
        <f t="shared" si="3"/>
        <v>12.85828571</v>
      </c>
    </row>
    <row r="4">
      <c r="A4" s="5">
        <v>2.9666935E7</v>
      </c>
      <c r="B4" s="5" t="s">
        <v>43</v>
      </c>
      <c r="C4" s="5" t="s">
        <v>44</v>
      </c>
      <c r="D4" s="2" t="s">
        <v>46</v>
      </c>
      <c r="E4" s="6"/>
      <c r="F4" s="7">
        <f>VLOOKUP(left(D4,len(D4)-1),'Eval. Cont.'!$A$2:$Q$31,17,False)</f>
        <v>17.42857143</v>
      </c>
      <c r="G4" s="8">
        <f>'Quiz 1'!G5/2</f>
        <v>2</v>
      </c>
      <c r="H4" s="9">
        <f>ifna(VLOOKUP(value(A4),'Parcial 1'!$A$2:$H$28,8,FALSE),"")</f>
        <v>12</v>
      </c>
      <c r="I4" s="8">
        <f>if('Quiz 2'!K5&lt;&gt;"",'Quiz 2'!K5/2,"")</f>
        <v>3.125</v>
      </c>
      <c r="J4" s="7">
        <f>ifna(vlookup(value(A4),Proyecto!$A$3:$AA$23,27,false),"")</f>
        <v>21.5</v>
      </c>
      <c r="K4" s="9">
        <f>ifna(VLOOKUP(value(A4),'Parcial 2'!$A$2:$G$21,7,FALSE),"")</f>
        <v>16</v>
      </c>
      <c r="L4" s="10">
        <f>ifna(VLOOKUP(left(D4,len(D4)-1),Xtra!$C$6:$N$53,12,false),"")</f>
        <v>4</v>
      </c>
      <c r="M4" s="11">
        <f t="shared" si="1"/>
        <v>76.05357143</v>
      </c>
      <c r="N4" s="12">
        <f t="shared" si="2"/>
        <v>15.21071429</v>
      </c>
      <c r="O4" s="13">
        <f>Partic!S4/(counta(Partic!D$1:S$1)-1)</f>
        <v>1.333333333</v>
      </c>
      <c r="P4" s="13">
        <f>VLOOKUP(left(D4,len(D4)-1),Tareas!$A$2:$Q$31,17,False)</f>
        <v>0.2142857143</v>
      </c>
      <c r="Q4" s="14">
        <f t="shared" si="3"/>
        <v>16.54404762</v>
      </c>
    </row>
    <row r="5">
      <c r="A5" s="5">
        <v>3.0765878E7</v>
      </c>
      <c r="B5" s="5" t="s">
        <v>52</v>
      </c>
      <c r="C5" s="5" t="s">
        <v>53</v>
      </c>
      <c r="D5" s="2" t="s">
        <v>54</v>
      </c>
      <c r="E5" s="6" t="s">
        <v>286</v>
      </c>
      <c r="F5" s="7">
        <f>VLOOKUP(left(D5,len(D5)-1),'Eval. Cont.'!$A$2:$Q$31,17,False)</f>
        <v>13.82142857</v>
      </c>
      <c r="G5" s="8">
        <f>'Quiz 1'!G6/2</f>
        <v>0</v>
      </c>
      <c r="H5" s="9">
        <f>ifna(VLOOKUP(value(A5),'Parcial 1'!$A$2:$H$28,8,FALSE),"")</f>
        <v>11.5</v>
      </c>
      <c r="I5" s="8" t="str">
        <f>if('Quiz 2'!K6&lt;&gt;"",'Quiz 2'!K6/2,"")</f>
        <v/>
      </c>
      <c r="J5" s="7" t="str">
        <f>ifna(vlookup(value(A5),Proyecto!$A$3:$AA$23,27,false),"")</f>
        <v/>
      </c>
      <c r="K5" s="9" t="str">
        <f>ifna(VLOOKUP(value(A5),'Parcial 2'!$A$2:$G$21,7,FALSE),"")</f>
        <v/>
      </c>
      <c r="L5" s="10" t="str">
        <f>ifna(VLOOKUP(left(D5,len(D5)-1),Xtra!$C$6:$N$53,12,false),"")</f>
        <v/>
      </c>
      <c r="M5" s="11">
        <f t="shared" si="1"/>
        <v>25.32142857</v>
      </c>
      <c r="N5" s="12">
        <f t="shared" si="2"/>
        <v>5.064285714</v>
      </c>
      <c r="O5" s="13">
        <f>Partic!S5/(counta(Partic!D$1:S$1)-1)</f>
        <v>0.2666666667</v>
      </c>
      <c r="P5" s="13">
        <f>VLOOKUP(left(D5,len(D5)-1),Tareas!$A$2:$Q$31,17,False)</f>
        <v>0.3571428571</v>
      </c>
      <c r="Q5" s="14" t="str">
        <f t="shared" si="3"/>
        <v>R</v>
      </c>
    </row>
    <row r="6">
      <c r="A6" s="5">
        <v>3.2729082E7</v>
      </c>
      <c r="B6" s="5" t="s">
        <v>60</v>
      </c>
      <c r="C6" s="5" t="s">
        <v>61</v>
      </c>
      <c r="D6" s="2" t="s">
        <v>63</v>
      </c>
      <c r="E6" s="6"/>
      <c r="F6" s="7">
        <f>VLOOKUP(left(D6,len(D6)-1),'Eval. Cont.'!$A$2:$Q$31,17,False)</f>
        <v>12.23785714</v>
      </c>
      <c r="G6" s="8">
        <f>'Quiz 1'!G7/2</f>
        <v>0</v>
      </c>
      <c r="H6" s="9">
        <f>ifna(VLOOKUP(value(A6),'Parcial 1'!$A$2:$H$28,8,FALSE),"")</f>
        <v>6</v>
      </c>
      <c r="I6" s="8">
        <f>if('Quiz 2'!K7&lt;&gt;"",'Quiz 2'!K7/2,"")</f>
        <v>7</v>
      </c>
      <c r="J6" s="7">
        <v>0.0</v>
      </c>
      <c r="K6" s="9" t="str">
        <f>ifna(VLOOKUP(value(A6),'Parcial 2'!$A$2:$G$21,7,FALSE),"")</f>
        <v/>
      </c>
      <c r="L6" s="10" t="str">
        <f>ifna(VLOOKUP(left(D6,len(D6)-1),Xtra!$C$6:$N$53,12,false),"")</f>
        <v/>
      </c>
      <c r="M6" s="11">
        <v>0.0</v>
      </c>
      <c r="N6" s="12">
        <f t="shared" si="2"/>
        <v>0</v>
      </c>
      <c r="O6" s="13">
        <f>Partic!S6/(counta(Partic!D$1:S$1)-1)</f>
        <v>0.1333333333</v>
      </c>
      <c r="P6" s="13">
        <f>VLOOKUP(left(D6,len(D6)-1),Tareas!$A$2:$Q$31,17,False)</f>
        <v>0.07142857143</v>
      </c>
      <c r="Q6" s="14">
        <f t="shared" si="3"/>
        <v>0.1333333333</v>
      </c>
    </row>
    <row r="7">
      <c r="A7" s="5">
        <v>3.1071592E7</v>
      </c>
      <c r="B7" s="5" t="s">
        <v>68</v>
      </c>
      <c r="C7" s="5" t="s">
        <v>69</v>
      </c>
      <c r="D7" s="2" t="s">
        <v>70</v>
      </c>
      <c r="E7" s="6"/>
      <c r="F7" s="7">
        <f>VLOOKUP(left(D7,len(D7)-1),'Eval. Cont.'!$A$2:$Q$31,17,False)</f>
        <v>14.73785714</v>
      </c>
      <c r="G7" s="8">
        <f>'Quiz 1'!G8/2</f>
        <v>5.25</v>
      </c>
      <c r="H7" s="9">
        <f>ifna(VLOOKUP(value(A7),'Parcial 1'!$A$2:$H$28,8,FALSE),"")</f>
        <v>17</v>
      </c>
      <c r="I7" s="8">
        <f>if('Quiz 2'!K8&lt;&gt;"",'Quiz 2'!K8/2,"")</f>
        <v>4</v>
      </c>
      <c r="J7" s="15">
        <v>0.0</v>
      </c>
      <c r="K7" s="9">
        <f>ifna(VLOOKUP(value(A7),'Parcial 2'!$A$2:$G$21,7,FALSE),"")</f>
        <v>13</v>
      </c>
      <c r="L7" s="10">
        <f>ifna(VLOOKUP(left(D7,len(D7)-1),Xtra!$C$6:$N$53,12,false),"")</f>
        <v>4</v>
      </c>
      <c r="M7" s="11">
        <f t="shared" ref="M7:M31" si="4">sum(F7:L7)</f>
        <v>57.98785714</v>
      </c>
      <c r="N7" s="12">
        <f t="shared" si="2"/>
        <v>11.59757143</v>
      </c>
      <c r="O7" s="13">
        <f>Partic!S7/(counta(Partic!D$1:S$1)-1)</f>
        <v>0.5333333333</v>
      </c>
      <c r="P7" s="13">
        <f>VLOOKUP(left(D7,len(D7)-1),Tareas!$A$2:$Q$31,17,False)</f>
        <v>0.2857142857</v>
      </c>
      <c r="Q7" s="14">
        <f t="shared" si="3"/>
        <v>12.13090476</v>
      </c>
    </row>
    <row r="8">
      <c r="A8" s="5">
        <v>3.249131E7</v>
      </c>
      <c r="B8" s="5" t="s">
        <v>76</v>
      </c>
      <c r="C8" s="5" t="s">
        <v>77</v>
      </c>
      <c r="D8" s="2" t="s">
        <v>79</v>
      </c>
      <c r="E8" s="4"/>
      <c r="F8" s="7">
        <f>VLOOKUP(left(D8,len(D8)-1),'Eval. Cont.'!$A$2:$Q$31,17,False)</f>
        <v>11.5</v>
      </c>
      <c r="G8" s="8">
        <f>'Quiz 1'!G9/2</f>
        <v>0</v>
      </c>
      <c r="H8" s="9">
        <f>ifna(VLOOKUP(value(A8),'Parcial 1'!$A$2:$H$28,8,FALSE),"")</f>
        <v>7</v>
      </c>
      <c r="I8" s="8">
        <f>if('Quiz 2'!K9&lt;&gt;"",'Quiz 2'!K9/2,"")</f>
        <v>4</v>
      </c>
      <c r="J8" s="16">
        <f>ifna(vlookup(value(A8),Proyecto!$A$3:$AA$23,27,false),"")</f>
        <v>11.25</v>
      </c>
      <c r="K8" s="9">
        <f>ifna(VLOOKUP(value(A8),'Parcial 2'!$A$2:$G$21,7,FALSE),"")</f>
        <v>7</v>
      </c>
      <c r="L8" s="10">
        <f>ifna(VLOOKUP(left(D8,len(D8)-1),Xtra!$C$6:$N$53,12,false),"")</f>
        <v>4.75</v>
      </c>
      <c r="M8" s="11">
        <f t="shared" si="4"/>
        <v>45.5</v>
      </c>
      <c r="N8" s="12">
        <f t="shared" si="2"/>
        <v>9.1</v>
      </c>
      <c r="O8" s="13">
        <f>Partic!S8/(counta(Partic!D$1:S$1)-1)</f>
        <v>0</v>
      </c>
      <c r="P8" s="13">
        <f>VLOOKUP(left(D8,len(D8)-1),Tareas!$A$2:$Q$31,17,False)</f>
        <v>0.6428571429</v>
      </c>
      <c r="Q8" s="14">
        <f t="shared" si="3"/>
        <v>9.742857143</v>
      </c>
    </row>
    <row r="9">
      <c r="A9" s="5">
        <v>3.1988236E7</v>
      </c>
      <c r="B9" s="5" t="s">
        <v>84</v>
      </c>
      <c r="C9" s="5" t="s">
        <v>85</v>
      </c>
      <c r="D9" s="2" t="s">
        <v>87</v>
      </c>
      <c r="E9" s="4"/>
      <c r="F9" s="7">
        <f>VLOOKUP(left(D9,len(D9)-1),'Eval. Cont.'!$A$2:$Q$31,17,False)</f>
        <v>12.82857143</v>
      </c>
      <c r="G9" s="8">
        <f>'Quiz 1'!G10/2</f>
        <v>2</v>
      </c>
      <c r="H9" s="9">
        <f>ifna(VLOOKUP(value(A9),'Parcial 1'!$A$2:$H$28,8,FALSE),"")</f>
        <v>13</v>
      </c>
      <c r="I9" s="8" t="str">
        <f>if('Quiz 2'!K10&lt;&gt;"",'Quiz 2'!K10/2,"")</f>
        <v/>
      </c>
      <c r="J9" s="16">
        <f>ifna(vlookup(value(A9),Proyecto!$A$3:$AA$23,27,false),"")</f>
        <v>9.75</v>
      </c>
      <c r="K9" s="9">
        <f>ifna(VLOOKUP(value(A9),'Parcial 2'!$A$2:$G$21,7,FALSE),"")</f>
        <v>12</v>
      </c>
      <c r="L9" s="10" t="str">
        <f>ifna(VLOOKUP(left(D9,len(D9)-1),Xtra!$C$6:$N$53,12,false),"")</f>
        <v/>
      </c>
      <c r="M9" s="11">
        <f t="shared" si="4"/>
        <v>49.57857143</v>
      </c>
      <c r="N9" s="12">
        <f t="shared" si="2"/>
        <v>9.915714286</v>
      </c>
      <c r="O9" s="13">
        <f>Partic!S9/(counta(Partic!D$1:S$1)-1)</f>
        <v>0.06666666667</v>
      </c>
      <c r="P9" s="13">
        <f>VLOOKUP(left(D9,len(D9)-1),Tareas!$A$2:$Q$31,17,False)</f>
        <v>0.2142857143</v>
      </c>
      <c r="Q9" s="14">
        <f t="shared" si="3"/>
        <v>10.13</v>
      </c>
    </row>
    <row r="10">
      <c r="A10" s="5">
        <v>3.1112818E7</v>
      </c>
      <c r="B10" s="5" t="s">
        <v>93</v>
      </c>
      <c r="C10" s="5" t="s">
        <v>94</v>
      </c>
      <c r="D10" s="2" t="s">
        <v>96</v>
      </c>
      <c r="E10" s="6" t="s">
        <v>286</v>
      </c>
      <c r="F10" s="7">
        <f>VLOOKUP(left(D10,len(D10)-1),'Eval. Cont.'!$A$2:$Q$31,17,False)</f>
        <v>15.18571429</v>
      </c>
      <c r="G10" s="8">
        <f>'Quiz 1'!G11/2</f>
        <v>0</v>
      </c>
      <c r="H10" s="9">
        <f>ifna(VLOOKUP(value(A10),'Parcial 1'!$A$2:$H$28,8,FALSE),"")</f>
        <v>0</v>
      </c>
      <c r="I10" s="8" t="str">
        <f>if('Quiz 2'!K11&lt;&gt;"",'Quiz 2'!K11/2,"")</f>
        <v/>
      </c>
      <c r="J10" s="7" t="str">
        <f>ifna(vlookup(value(A10),Proyecto!$A$3:$AA$23,27,false),"")</f>
        <v/>
      </c>
      <c r="K10" s="9" t="str">
        <f>ifna(VLOOKUP(value(A10),'Parcial 2'!$A$2:$G$21,7,FALSE),"")</f>
        <v/>
      </c>
      <c r="L10" s="10" t="str">
        <f>ifna(VLOOKUP(left(D10,len(D10)-1),Xtra!$C$6:$N$53,12,false),"")</f>
        <v/>
      </c>
      <c r="M10" s="11">
        <f t="shared" si="4"/>
        <v>15.18571429</v>
      </c>
      <c r="N10" s="12">
        <f t="shared" si="2"/>
        <v>3.037142857</v>
      </c>
      <c r="O10" s="13">
        <f>Partic!S10/(counta(Partic!D$1:S$1)-1)</f>
        <v>0.4666666667</v>
      </c>
      <c r="P10" s="13">
        <f>VLOOKUP(left(D10,len(D10)-1),Tareas!$A$2:$Q$31,17,False)</f>
        <v>0.5714285714</v>
      </c>
      <c r="Q10" s="14" t="str">
        <f t="shared" si="3"/>
        <v>R</v>
      </c>
    </row>
    <row r="11">
      <c r="A11" s="5">
        <v>3.0030485E7</v>
      </c>
      <c r="B11" s="5" t="s">
        <v>102</v>
      </c>
      <c r="C11" s="5" t="s">
        <v>103</v>
      </c>
      <c r="D11" s="2" t="s">
        <v>104</v>
      </c>
      <c r="E11" s="4"/>
      <c r="F11" s="7">
        <f>VLOOKUP(left(D11,len(D11)-1),'Eval. Cont.'!$A$2:$Q$31,17,False)</f>
        <v>17.32142857</v>
      </c>
      <c r="G11" s="8">
        <f>'Quiz 1'!G12/2</f>
        <v>1.75</v>
      </c>
      <c r="H11" s="9">
        <f>ifna(VLOOKUP(value(A11),'Parcial 1'!$A$2:$H$28,8,FALSE),"")</f>
        <v>18</v>
      </c>
      <c r="I11" s="8">
        <f>if('Quiz 2'!K12&lt;&gt;"",'Quiz 2'!K12/2,"")</f>
        <v>2</v>
      </c>
      <c r="J11" s="7">
        <f>ifna(vlookup(value(A11),Proyecto!$A$3:$AA$23,27,false),"")</f>
        <v>15.5</v>
      </c>
      <c r="K11" s="9">
        <f>ifna(VLOOKUP(value(A11),'Parcial 2'!$A$2:$G$21,7,FALSE),"")</f>
        <v>11</v>
      </c>
      <c r="L11" s="10" t="str">
        <f>ifna(VLOOKUP(left(D11,len(D11)-1),Xtra!$C$6:$N$53,12,false),"")</f>
        <v/>
      </c>
      <c r="M11" s="11">
        <f t="shared" si="4"/>
        <v>65.57142857</v>
      </c>
      <c r="N11" s="12">
        <f t="shared" si="2"/>
        <v>13.11428571</v>
      </c>
      <c r="O11" s="13">
        <f>Partic!S11/(counta(Partic!D$1:S$1)-1)</f>
        <v>0.1333333333</v>
      </c>
      <c r="P11" s="13">
        <f>VLOOKUP(left(D11,len(D11)-1),Tareas!$A$2:$Q$31,17,False)</f>
        <v>0.2142857143</v>
      </c>
      <c r="Q11" s="14">
        <f t="shared" si="3"/>
        <v>13.32857143</v>
      </c>
    </row>
    <row r="12">
      <c r="A12" s="5">
        <v>3.0793086E7</v>
      </c>
      <c r="B12" s="5" t="s">
        <v>110</v>
      </c>
      <c r="C12" s="5" t="s">
        <v>111</v>
      </c>
      <c r="D12" s="2" t="s">
        <v>113</v>
      </c>
      <c r="E12" s="6" t="s">
        <v>286</v>
      </c>
      <c r="F12" s="7">
        <f>VLOOKUP(left(D12,len(D12)-1),'Eval. Cont.'!$A$2:$Q$31,17,False)</f>
        <v>2.5</v>
      </c>
      <c r="G12" s="8">
        <f>'Quiz 1'!G13/2</f>
        <v>0</v>
      </c>
      <c r="H12" s="9" t="str">
        <f>ifna(VLOOKUP(value(A12),'Parcial 1'!$A$2:$H$28,8,FALSE),"")</f>
        <v/>
      </c>
      <c r="I12" s="8" t="str">
        <f>if('Quiz 2'!K13&lt;&gt;"",'Quiz 2'!K13/2,"")</f>
        <v/>
      </c>
      <c r="J12" s="7" t="str">
        <f>ifna(vlookup(value(A12),Proyecto!$A$3:$AA$23,27,false),"")</f>
        <v/>
      </c>
      <c r="K12" s="9" t="str">
        <f>ifna(VLOOKUP(value(A12),'Parcial 2'!$A$2:$G$21,7,FALSE),"")</f>
        <v/>
      </c>
      <c r="L12" s="10" t="str">
        <f>ifna(VLOOKUP(left(D12,len(D12)-1),Xtra!$C$6:$N$53,12,false),"")</f>
        <v/>
      </c>
      <c r="M12" s="11">
        <f t="shared" si="4"/>
        <v>2.5</v>
      </c>
      <c r="N12" s="12">
        <f t="shared" si="2"/>
        <v>0.5</v>
      </c>
      <c r="O12" s="13">
        <f>Partic!S12/(counta(Partic!D$1:S$1)-1)</f>
        <v>0</v>
      </c>
      <c r="P12" s="13">
        <f>VLOOKUP(left(D12,len(D12)-1),Tareas!$A$2:$Q$31,17,False)</f>
        <v>0</v>
      </c>
      <c r="Q12" s="14" t="str">
        <f t="shared" si="3"/>
        <v>R</v>
      </c>
    </row>
    <row r="13">
      <c r="A13" s="5">
        <v>3.2242412E7</v>
      </c>
      <c r="B13" s="5" t="s">
        <v>118</v>
      </c>
      <c r="C13" s="5" t="s">
        <v>119</v>
      </c>
      <c r="D13" s="2" t="s">
        <v>121</v>
      </c>
      <c r="E13" s="6"/>
      <c r="F13" s="7">
        <f>VLOOKUP(left(D13,len(D13)-1),'Eval. Cont.'!$A$2:$Q$31,17,False)</f>
        <v>15.69071429</v>
      </c>
      <c r="G13" s="8">
        <f>'Quiz 1'!G14/2</f>
        <v>0</v>
      </c>
      <c r="H13" s="9">
        <f>ifna(VLOOKUP(value(A13),'Parcial 1'!$A$2:$H$28,8,FALSE),"")</f>
        <v>8</v>
      </c>
      <c r="I13" s="8">
        <f>if('Quiz 2'!K14&lt;&gt;"",'Quiz 2'!K14/2,"")</f>
        <v>1.5</v>
      </c>
      <c r="J13" s="16">
        <f>ifna(vlookup(value(A13),Proyecto!$A$3:$AA$23,27,false),"")</f>
        <v>11.25</v>
      </c>
      <c r="K13" s="9">
        <f>ifna(VLOOKUP(value(A13),'Parcial 2'!$A$2:$G$21,7,FALSE),"")</f>
        <v>11</v>
      </c>
      <c r="L13" s="10">
        <f>ifna(VLOOKUP(left(D13,len(D13)-1),Xtra!$C$6:$N$53,12,false),"")</f>
        <v>7.75</v>
      </c>
      <c r="M13" s="11">
        <f t="shared" si="4"/>
        <v>55.19071429</v>
      </c>
      <c r="N13" s="12">
        <f t="shared" si="2"/>
        <v>11.03814286</v>
      </c>
      <c r="O13" s="13">
        <f>Partic!S13/(counta(Partic!D$1:S$1)-1)</f>
        <v>0.5333333333</v>
      </c>
      <c r="P13" s="13">
        <f>VLOOKUP(left(D13,len(D13)-1),Tareas!$A$2:$Q$31,17,False)</f>
        <v>0.1428571429</v>
      </c>
      <c r="Q13" s="14">
        <f t="shared" si="3"/>
        <v>11.57147619</v>
      </c>
    </row>
    <row r="14">
      <c r="A14" s="5">
        <v>3.0598031E7</v>
      </c>
      <c r="B14" s="5" t="s">
        <v>127</v>
      </c>
      <c r="C14" s="5" t="s">
        <v>94</v>
      </c>
      <c r="D14" s="2" t="s">
        <v>129</v>
      </c>
      <c r="E14" s="4"/>
      <c r="F14" s="7">
        <f>VLOOKUP(left(D14,len(D14)-1),'Eval. Cont.'!$A$2:$Q$31,17,False)</f>
        <v>16.10214286</v>
      </c>
      <c r="G14" s="8">
        <f>'Quiz 1'!G15/2</f>
        <v>0</v>
      </c>
      <c r="H14" s="9">
        <f>ifna(VLOOKUP(value(A14),'Parcial 1'!$A$2:$H$28,8,FALSE),"")</f>
        <v>6</v>
      </c>
      <c r="I14" s="8" t="str">
        <f>if('Quiz 2'!K15&lt;&gt;"",'Quiz 2'!K15/2,"")</f>
        <v/>
      </c>
      <c r="J14" s="7">
        <f>ifna(vlookup(value(A14),Proyecto!$A$3:$AA$23,27,false),"")</f>
        <v>23.15</v>
      </c>
      <c r="K14" s="9">
        <f>ifna(VLOOKUP(value(A14),'Parcial 2'!$A$2:$G$21,7,FALSE),"")</f>
        <v>6</v>
      </c>
      <c r="L14" s="10">
        <f>ifna(VLOOKUP(left(D14,len(D14)-1),Xtra!$C$6:$N$53,12,false),"")</f>
        <v>0</v>
      </c>
      <c r="M14" s="11">
        <f t="shared" si="4"/>
        <v>51.25214286</v>
      </c>
      <c r="N14" s="12">
        <f t="shared" si="2"/>
        <v>10.25042857</v>
      </c>
      <c r="O14" s="13">
        <f>Partic!S14/(counta(Partic!D$1:S$1)-1)</f>
        <v>0.6</v>
      </c>
      <c r="P14" s="13">
        <f>VLOOKUP(left(D14,len(D14)-1),Tareas!$A$2:$Q$31,17,False)</f>
        <v>0.7142857143</v>
      </c>
      <c r="Q14" s="14">
        <f t="shared" si="3"/>
        <v>10.96471429</v>
      </c>
    </row>
    <row r="15">
      <c r="A15" s="5">
        <v>3.1852058E7</v>
      </c>
      <c r="B15" s="5" t="s">
        <v>135</v>
      </c>
      <c r="C15" s="5" t="s">
        <v>136</v>
      </c>
      <c r="D15" s="2" t="s">
        <v>138</v>
      </c>
      <c r="E15" s="4"/>
      <c r="F15" s="7">
        <f>VLOOKUP(left(D15,len(D15)-1),'Eval. Cont.'!$A$2:$Q$31,17,False)</f>
        <v>18.35714286</v>
      </c>
      <c r="G15" s="8">
        <f>'Quiz 1'!G16/2</f>
        <v>1</v>
      </c>
      <c r="H15" s="9">
        <f>ifna(VLOOKUP(value(A15),'Parcial 1'!$A$2:$H$28,8,FALSE),"")</f>
        <v>13</v>
      </c>
      <c r="I15" s="8">
        <f>if('Quiz 2'!K16&lt;&gt;"",'Quiz 2'!K16/2,"")</f>
        <v>4.5</v>
      </c>
      <c r="J15" s="7">
        <f>ifna(vlookup(value(A15),Proyecto!$A$3:$AA$23,27,false),"")</f>
        <v>26.4</v>
      </c>
      <c r="K15" s="9">
        <f>ifna(VLOOKUP(value(A15),'Parcial 2'!$A$2:$G$21,7,FALSE),"")</f>
        <v>11</v>
      </c>
      <c r="L15" s="10">
        <f>ifna(VLOOKUP(left(D15,len(D15)-1),Xtra!$C$6:$N$53,12,false),"")</f>
        <v>5.5</v>
      </c>
      <c r="M15" s="11">
        <f t="shared" si="4"/>
        <v>79.75714286</v>
      </c>
      <c r="N15" s="12">
        <f t="shared" si="2"/>
        <v>15.95142857</v>
      </c>
      <c r="O15" s="13">
        <f>Partic!S15/(counta(Partic!D$1:S$1)-1)</f>
        <v>0.8666666667</v>
      </c>
      <c r="P15" s="13">
        <f>VLOOKUP(left(D15,len(D15)-1),Tareas!$A$2:$Q$31,17,False)</f>
        <v>0.2857142857</v>
      </c>
      <c r="Q15" s="14">
        <f t="shared" si="3"/>
        <v>16.81809524</v>
      </c>
    </row>
    <row r="16">
      <c r="A16" s="5">
        <v>3.0114012E7</v>
      </c>
      <c r="B16" s="5" t="s">
        <v>143</v>
      </c>
      <c r="C16" s="5" t="s">
        <v>44</v>
      </c>
      <c r="D16" s="2" t="s">
        <v>144</v>
      </c>
      <c r="E16" s="6"/>
      <c r="F16" s="7">
        <f>VLOOKUP(left(D16,len(D16)-1),'Eval. Cont.'!$A$2:$Q$31,17,False)</f>
        <v>16.905</v>
      </c>
      <c r="G16" s="8">
        <f>'Quiz 1'!G17/2</f>
        <v>5.25</v>
      </c>
      <c r="H16" s="9">
        <f>ifna(VLOOKUP(value(A16),'Parcial 1'!$A$2:$H$28,8,FALSE),"")</f>
        <v>14</v>
      </c>
      <c r="I16" s="8">
        <f>if('Quiz 2'!K17&lt;&gt;"",'Quiz 2'!K17/2,"")</f>
        <v>0.75</v>
      </c>
      <c r="J16" s="7">
        <f>ifna(vlookup(value(A16),Proyecto!$A$3:$AA$23,27,false),"")</f>
        <v>16.75</v>
      </c>
      <c r="K16" s="9">
        <f>ifna(VLOOKUP(value(A16),'Parcial 2'!$A$2:$G$21,7,FALSE),"")</f>
        <v>13</v>
      </c>
      <c r="L16" s="10" t="str">
        <f>ifna(VLOOKUP(left(D16,len(D16)-1),Xtra!$C$6:$N$53,12,false),"")</f>
        <v/>
      </c>
      <c r="M16" s="11">
        <f t="shared" si="4"/>
        <v>66.655</v>
      </c>
      <c r="N16" s="12">
        <f t="shared" si="2"/>
        <v>13.331</v>
      </c>
      <c r="O16" s="13">
        <f>Partic!S16/(counta(Partic!D$1:S$1)-1)</f>
        <v>0.6666666667</v>
      </c>
      <c r="P16" s="13">
        <f>VLOOKUP(left(D16,len(D16)-1),Tareas!$A$2:$Q$31,17,False)</f>
        <v>0.2142857143</v>
      </c>
      <c r="Q16" s="14">
        <f t="shared" si="3"/>
        <v>13.99766667</v>
      </c>
    </row>
    <row r="17">
      <c r="A17" s="5">
        <v>2.6954417E7</v>
      </c>
      <c r="B17" s="5" t="s">
        <v>150</v>
      </c>
      <c r="C17" s="5" t="s">
        <v>151</v>
      </c>
      <c r="D17" s="2" t="s">
        <v>152</v>
      </c>
      <c r="E17" s="6" t="s">
        <v>286</v>
      </c>
      <c r="F17" s="7">
        <f>VLOOKUP(left(D17,len(D17)-1),'Eval. Cont.'!$A$2:$Q$31,17,False)</f>
        <v>6.464285714</v>
      </c>
      <c r="G17" s="8">
        <f>'Quiz 1'!G18/2</f>
        <v>0</v>
      </c>
      <c r="H17" s="9" t="str">
        <f>ifna(VLOOKUP(value(A17),'Parcial 1'!$A$2:$H$28,8,FALSE),"")</f>
        <v/>
      </c>
      <c r="I17" s="8" t="str">
        <f>if('Quiz 2'!K18&lt;&gt;"",'Quiz 2'!K18/2,"")</f>
        <v/>
      </c>
      <c r="J17" s="7" t="str">
        <f>ifna(vlookup(value(A17),Proyecto!$A$3:$AA$23,27,false),"")</f>
        <v/>
      </c>
      <c r="K17" s="9" t="str">
        <f>ifna(VLOOKUP(value(A17),'Parcial 2'!$A$2:$G$21,7,FALSE),"")</f>
        <v/>
      </c>
      <c r="L17" s="10" t="str">
        <f>ifna(VLOOKUP(left(D17,len(D17)-1),Xtra!$C$6:$N$53,12,false),"")</f>
        <v/>
      </c>
      <c r="M17" s="11">
        <f t="shared" si="4"/>
        <v>6.464285714</v>
      </c>
      <c r="N17" s="12">
        <f t="shared" si="2"/>
        <v>1.292857143</v>
      </c>
      <c r="O17" s="13">
        <f>Partic!S17/(counta(Partic!D$1:S$1)-1)</f>
        <v>0</v>
      </c>
      <c r="P17" s="13">
        <f>VLOOKUP(left(D17,len(D17)-1),Tareas!$A$2:$Q$31,17,False)</f>
        <v>0.07142857143</v>
      </c>
      <c r="Q17" s="14" t="str">
        <f t="shared" si="3"/>
        <v>R</v>
      </c>
    </row>
    <row r="18">
      <c r="A18" s="5">
        <v>3.1448943E7</v>
      </c>
      <c r="B18" s="5" t="s">
        <v>158</v>
      </c>
      <c r="C18" s="5" t="s">
        <v>159</v>
      </c>
      <c r="D18" s="2" t="s">
        <v>161</v>
      </c>
      <c r="E18" s="6" t="s">
        <v>286</v>
      </c>
      <c r="F18" s="7">
        <f>VLOOKUP(left(D18,len(D18)-1),'Eval. Cont.'!$A$2:$Q$31,17,False)</f>
        <v>0</v>
      </c>
      <c r="G18" s="8">
        <f>'Quiz 1'!G19/2</f>
        <v>0</v>
      </c>
      <c r="H18" s="9">
        <f>ifna(VLOOKUP(value(A18),'Parcial 1'!$A$2:$H$28,8,FALSE),"")</f>
        <v>6</v>
      </c>
      <c r="I18" s="8" t="str">
        <f>if('Quiz 2'!K19&lt;&gt;"",'Quiz 2'!K19/2,"")</f>
        <v/>
      </c>
      <c r="J18" s="7" t="str">
        <f>ifna(vlookup(value(A18),Proyecto!$A$3:$AA$23,27,false),"")</f>
        <v/>
      </c>
      <c r="K18" s="9" t="str">
        <f>ifna(VLOOKUP(value(A18),'Parcial 2'!$A$2:$G$21,7,FALSE),"")</f>
        <v/>
      </c>
      <c r="L18" s="10" t="str">
        <f>ifna(VLOOKUP(left(D18,len(D18)-1),Xtra!$C$6:$N$53,12,false),"")</f>
        <v/>
      </c>
      <c r="M18" s="11">
        <f t="shared" si="4"/>
        <v>6</v>
      </c>
      <c r="N18" s="12">
        <f t="shared" si="2"/>
        <v>1.2</v>
      </c>
      <c r="O18" s="13">
        <f>Partic!S18/(counta(Partic!D$1:S$1)-1)</f>
        <v>0.3333333333</v>
      </c>
      <c r="P18" s="13">
        <f>VLOOKUP(left(D18,len(D18)-1),Tareas!$A$2:$Q$31,17,False)</f>
        <v>0.07142857143</v>
      </c>
      <c r="Q18" s="14" t="str">
        <f t="shared" si="3"/>
        <v>R</v>
      </c>
    </row>
    <row r="19">
      <c r="A19" s="5">
        <v>3.1423E7</v>
      </c>
      <c r="B19" s="5" t="s">
        <v>167</v>
      </c>
      <c r="C19" s="5" t="s">
        <v>168</v>
      </c>
      <c r="D19" s="2" t="s">
        <v>170</v>
      </c>
      <c r="E19" s="4"/>
      <c r="F19" s="7">
        <f>VLOOKUP(left(D19,len(D19)-1),'Eval. Cont.'!$A$2:$Q$31,17,False)</f>
        <v>14.46428571</v>
      </c>
      <c r="G19" s="8">
        <f>'Quiz 1'!G20/2</f>
        <v>0.5</v>
      </c>
      <c r="H19" s="9">
        <f>ifna(VLOOKUP(value(A19),'Parcial 1'!$A$2:$H$28,8,FALSE),"")</f>
        <v>7</v>
      </c>
      <c r="I19" s="8">
        <f>if('Quiz 2'!K20&lt;&gt;"",'Quiz 2'!K20/2,"")</f>
        <v>1.25</v>
      </c>
      <c r="J19" s="16">
        <f>ifna(vlookup(value(A19),Proyecto!$A$3:$AA$23,27,false),"")</f>
        <v>2.5</v>
      </c>
      <c r="K19" s="9">
        <f>ifna(VLOOKUP(value(A19),'Parcial 2'!$A$2:$G$21,7,FALSE),"")</f>
        <v>11</v>
      </c>
      <c r="L19" s="10" t="str">
        <f>ifna(VLOOKUP(left(D19,len(D19)-1),Xtra!$C$6:$N$53,12,false),"")</f>
        <v/>
      </c>
      <c r="M19" s="11">
        <f t="shared" si="4"/>
        <v>36.71428571</v>
      </c>
      <c r="N19" s="12">
        <f t="shared" si="2"/>
        <v>7.342857143</v>
      </c>
      <c r="O19" s="13">
        <f>Partic!S19/(counta(Partic!D$1:S$1)-1)</f>
        <v>0.2</v>
      </c>
      <c r="P19" s="13">
        <f>VLOOKUP(left(D19,len(D19)-1),Tareas!$A$2:$Q$31,17,False)</f>
        <v>0.07142857143</v>
      </c>
      <c r="Q19" s="14">
        <f t="shared" si="3"/>
        <v>7.542857143</v>
      </c>
    </row>
    <row r="20">
      <c r="A20" s="5">
        <v>3.1046285E7</v>
      </c>
      <c r="B20" s="5" t="s">
        <v>176</v>
      </c>
      <c r="C20" s="5" t="s">
        <v>177</v>
      </c>
      <c r="D20" s="2" t="s">
        <v>178</v>
      </c>
      <c r="E20" s="6" t="s">
        <v>286</v>
      </c>
      <c r="F20" s="7">
        <f>VLOOKUP(left(D20,len(D20)-1),'Eval. Cont.'!$A$2:$Q$31,17,False)</f>
        <v>2.690714286</v>
      </c>
      <c r="G20" s="8">
        <f>'Quiz 1'!G21/2</f>
        <v>0</v>
      </c>
      <c r="H20" s="9">
        <f>ifna(VLOOKUP(value(A20),'Parcial 1'!$A$2:$H$28,8,FALSE),"")</f>
        <v>5</v>
      </c>
      <c r="I20" s="8" t="str">
        <f>if('Quiz 2'!K21&lt;&gt;"",'Quiz 2'!K21/2,"")</f>
        <v/>
      </c>
      <c r="J20" s="7" t="str">
        <f>ifna(vlookup(value(A20),Proyecto!$A$3:$AA$23,27,false),"")</f>
        <v/>
      </c>
      <c r="K20" s="9" t="str">
        <f>ifna(VLOOKUP(value(A20),'Parcial 2'!$A$2:$G$21,7,FALSE),"")</f>
        <v/>
      </c>
      <c r="L20" s="10" t="str">
        <f>ifna(VLOOKUP(left(D20,len(D20)-1),Xtra!$C$6:$N$53,12,false),"")</f>
        <v/>
      </c>
      <c r="M20" s="11">
        <f t="shared" si="4"/>
        <v>7.690714286</v>
      </c>
      <c r="N20" s="12">
        <f t="shared" si="2"/>
        <v>1.538142857</v>
      </c>
      <c r="O20" s="13">
        <f>Partic!S20/(counta(Partic!D$1:S$1)-1)</f>
        <v>0.06666666667</v>
      </c>
      <c r="P20" s="13">
        <f>VLOOKUP(left(D20,len(D20)-1),Tareas!$A$2:$Q$31,17,False)</f>
        <v>0</v>
      </c>
      <c r="Q20" s="14" t="str">
        <f t="shared" si="3"/>
        <v>R</v>
      </c>
    </row>
    <row r="21">
      <c r="A21" s="5">
        <v>3.1255343E7</v>
      </c>
      <c r="B21" s="5" t="s">
        <v>184</v>
      </c>
      <c r="C21" s="5" t="s">
        <v>185</v>
      </c>
      <c r="D21" s="2" t="s">
        <v>187</v>
      </c>
      <c r="E21" s="4"/>
      <c r="F21" s="7">
        <f>VLOOKUP(left(D21,len(D21)-1),'Eval. Cont.'!$A$2:$Q$31,17,False)</f>
        <v>18.05428571</v>
      </c>
      <c r="G21" s="8">
        <f>'Quiz 1'!G22/2</f>
        <v>3.25</v>
      </c>
      <c r="H21" s="9">
        <f>ifna(VLOOKUP(value(A21),'Parcial 1'!$A$2:$H$28,8,FALSE),"")</f>
        <v>7</v>
      </c>
      <c r="I21" s="8">
        <f>if('Quiz 2'!K22&lt;&gt;"",'Quiz 2'!K22/2,"")</f>
        <v>3.25</v>
      </c>
      <c r="J21" s="7">
        <f>ifna(vlookup(value(A21),Proyecto!$A$3:$AA$23,27,false),"")</f>
        <v>12.75</v>
      </c>
      <c r="K21" s="9">
        <f>ifna(VLOOKUP(value(A21),'Parcial 2'!$A$2:$G$21,7,FALSE),"")</f>
        <v>10</v>
      </c>
      <c r="L21" s="10" t="str">
        <f>ifna(VLOOKUP(left(D21,len(D21)-1),Xtra!$C$6:$N$53,12,false),"")</f>
        <v/>
      </c>
      <c r="M21" s="11">
        <f t="shared" si="4"/>
        <v>54.30428571</v>
      </c>
      <c r="N21" s="12">
        <f t="shared" si="2"/>
        <v>10.86085714</v>
      </c>
      <c r="O21" s="13">
        <f>Partic!S21/(counta(Partic!D$1:S$1)-1)</f>
        <v>0.2</v>
      </c>
      <c r="P21" s="13">
        <f>VLOOKUP(left(D21,len(D21)-1),Tareas!$A$2:$Q$31,17,False)</f>
        <v>0.07142857143</v>
      </c>
      <c r="Q21" s="14">
        <f t="shared" si="3"/>
        <v>11.06085714</v>
      </c>
    </row>
    <row r="22">
      <c r="A22" s="5">
        <v>3.2401366E7</v>
      </c>
      <c r="B22" s="5" t="s">
        <v>193</v>
      </c>
      <c r="C22" s="5" t="s">
        <v>194</v>
      </c>
      <c r="D22" s="2" t="s">
        <v>195</v>
      </c>
      <c r="E22" s="4"/>
      <c r="F22" s="7">
        <f>VLOOKUP(left(D22,len(D22)-1),'Eval. Cont.'!$A$2:$Q$31,17,False)</f>
        <v>14.88071429</v>
      </c>
      <c r="G22" s="8">
        <f>'Quiz 1'!G23/2</f>
        <v>8</v>
      </c>
      <c r="H22" s="9">
        <f>ifna(VLOOKUP(value(A22),'Parcial 1'!$A$2:$H$28,8,FALSE),"")</f>
        <v>16</v>
      </c>
      <c r="I22" s="8">
        <f>if('Quiz 2'!K23&lt;&gt;"",'Quiz 2'!K23/2,"")</f>
        <v>1.875</v>
      </c>
      <c r="J22" s="7">
        <f>ifna(vlookup(value(A22),Proyecto!$A$3:$AA$23,27,false),"")</f>
        <v>8</v>
      </c>
      <c r="K22" s="9">
        <f>ifna(VLOOKUP(value(A22),'Parcial 2'!$A$2:$G$21,7,FALSE),"")</f>
        <v>14</v>
      </c>
      <c r="L22" s="10" t="str">
        <f>ifna(VLOOKUP(left(D22,len(D22)-1),Xtra!$C$6:$N$53,12,false),"")</f>
        <v/>
      </c>
      <c r="M22" s="11">
        <f t="shared" si="4"/>
        <v>62.75571429</v>
      </c>
      <c r="N22" s="12">
        <f t="shared" si="2"/>
        <v>12.55114286</v>
      </c>
      <c r="O22" s="13">
        <f>Partic!S22/(counta(Partic!D$1:S$1)-1)</f>
        <v>0.1333333333</v>
      </c>
      <c r="P22" s="13">
        <f>VLOOKUP(left(D22,len(D22)-1),Tareas!$A$2:$Q$31,17,False)</f>
        <v>0.5</v>
      </c>
      <c r="Q22" s="14">
        <f t="shared" si="3"/>
        <v>13.05114286</v>
      </c>
    </row>
    <row r="23">
      <c r="A23" s="5">
        <v>3.2121917E7</v>
      </c>
      <c r="B23" s="5" t="s">
        <v>201</v>
      </c>
      <c r="C23" s="5" t="s">
        <v>202</v>
      </c>
      <c r="D23" s="2" t="s">
        <v>204</v>
      </c>
      <c r="E23" s="4"/>
      <c r="F23" s="7">
        <f>VLOOKUP(left(D23,len(D23)-1),'Eval. Cont.'!$A$2:$Q$31,17,False)</f>
        <v>17.05928571</v>
      </c>
      <c r="G23" s="8">
        <f>'Quiz 1'!G24/2</f>
        <v>6.5</v>
      </c>
      <c r="H23" s="9">
        <f>ifna(VLOOKUP(value(A23),'Parcial 1'!$A$2:$H$28,8,FALSE),"")</f>
        <v>18</v>
      </c>
      <c r="I23" s="8">
        <f>if('Quiz 2'!K24&lt;&gt;"",'Quiz 2'!K24/2,"")</f>
        <v>4.5</v>
      </c>
      <c r="J23" s="7">
        <f>ifna(vlookup(value(A23),Proyecto!$A$3:$AA$23,27,false),"")</f>
        <v>24.45</v>
      </c>
      <c r="K23" s="9">
        <f>ifna(VLOOKUP(value(A23),'Parcial 2'!$A$2:$G$21,7,FALSE),"")</f>
        <v>16</v>
      </c>
      <c r="L23" s="10" t="str">
        <f>ifna(VLOOKUP(left(D23,len(D23)-1),Xtra!$C$6:$N$53,12,false),"")</f>
        <v/>
      </c>
      <c r="M23" s="11">
        <f t="shared" si="4"/>
        <v>86.50928571</v>
      </c>
      <c r="N23" s="12">
        <f t="shared" si="2"/>
        <v>17.30185714</v>
      </c>
      <c r="O23" s="13">
        <f>Partic!S23/(counta(Partic!D$1:S$1)-1)</f>
        <v>1.133333333</v>
      </c>
      <c r="P23" s="13">
        <f>VLOOKUP(left(D23,len(D23)-1),Tareas!$A$2:$Q$31,17,False)</f>
        <v>0.4285714286</v>
      </c>
      <c r="Q23" s="17">
        <v>19.0</v>
      </c>
    </row>
    <row r="24">
      <c r="A24" s="5">
        <v>3.3921124E7</v>
      </c>
      <c r="B24" s="5" t="s">
        <v>209</v>
      </c>
      <c r="C24" s="5" t="s">
        <v>210</v>
      </c>
      <c r="D24" s="2" t="s">
        <v>211</v>
      </c>
      <c r="E24" s="4"/>
      <c r="F24" s="7">
        <f>VLOOKUP(left(D24,len(D24)-1),'Eval. Cont.'!$A$2:$Q$31,17,False)</f>
        <v>15.73857143</v>
      </c>
      <c r="G24" s="8">
        <f>'Quiz 1'!G25/2</f>
        <v>0.5</v>
      </c>
      <c r="H24" s="9">
        <f>ifna(VLOOKUP(value(A24),'Parcial 1'!$A$2:$H$28,8,FALSE),"")</f>
        <v>8</v>
      </c>
      <c r="I24" s="8">
        <f>if('Quiz 2'!K25&lt;&gt;"",'Quiz 2'!K25/2,"")</f>
        <v>3.625</v>
      </c>
      <c r="J24" s="7">
        <f>ifna(vlookup(value(A24),Proyecto!$A$3:$AA$23,27,false),"")</f>
        <v>10.25</v>
      </c>
      <c r="K24" s="9">
        <f>ifna(VLOOKUP(value(A24),'Parcial 2'!$A$2:$G$21,7,FALSE),"")</f>
        <v>6</v>
      </c>
      <c r="L24" s="10" t="str">
        <f>ifna(VLOOKUP(left(D24,len(D24)-1),Xtra!$C$6:$N$53,12,false),"")</f>
        <v/>
      </c>
      <c r="M24" s="11">
        <f t="shared" si="4"/>
        <v>44.11357143</v>
      </c>
      <c r="N24" s="12">
        <f t="shared" si="2"/>
        <v>8.822714286</v>
      </c>
      <c r="O24" s="13">
        <f>Partic!S24/(counta(Partic!D$1:S$1)-1)</f>
        <v>0.2</v>
      </c>
      <c r="P24" s="13">
        <f>VLOOKUP(left(D24,len(D24)-1),Tareas!$A$2:$Q$31,17,False)</f>
        <v>0.2142857143</v>
      </c>
      <c r="Q24" s="14">
        <f t="shared" ref="Q24:Q31" si="5">if(E24="Retirado","R",N24+max(O24:P24))</f>
        <v>9.037</v>
      </c>
    </row>
    <row r="25">
      <c r="A25" s="5">
        <v>3.170391E7</v>
      </c>
      <c r="B25" s="5" t="s">
        <v>217</v>
      </c>
      <c r="C25" s="5" t="s">
        <v>112</v>
      </c>
      <c r="D25" s="2" t="s">
        <v>219</v>
      </c>
      <c r="E25" s="6"/>
      <c r="F25" s="7">
        <f>VLOOKUP(left(D25,len(D25)-1),'Eval. Cont.'!$A$2:$Q$31,17,False)</f>
        <v>16.46428571</v>
      </c>
      <c r="G25" s="8">
        <f>'Quiz 1'!G26/2</f>
        <v>0</v>
      </c>
      <c r="H25" s="9">
        <f>ifna(VLOOKUP(value(A25),'Parcial 1'!$A$2:$H$28,8,FALSE),"")</f>
        <v>8</v>
      </c>
      <c r="I25" s="8">
        <f>if('Quiz 2'!K26&lt;&gt;"",'Quiz 2'!K26/2,"")</f>
        <v>0.75</v>
      </c>
      <c r="J25" s="7">
        <f>ifna(vlookup(value(A25),Proyecto!$A$3:$AA$23,27,false),"")</f>
        <v>18</v>
      </c>
      <c r="K25" s="9">
        <f>ifna(VLOOKUP(value(A25),'Parcial 2'!$A$2:$G$21,7,FALSE),"")</f>
        <v>12</v>
      </c>
      <c r="L25" s="10" t="str">
        <f>ifna(VLOOKUP(left(D25,len(D25)-1),Xtra!$C$6:$N$53,12,false),"")</f>
        <v/>
      </c>
      <c r="M25" s="11">
        <f t="shared" si="4"/>
        <v>55.21428571</v>
      </c>
      <c r="N25" s="12">
        <f t="shared" si="2"/>
        <v>11.04285714</v>
      </c>
      <c r="O25" s="13">
        <f>Partic!S25/(counta(Partic!D$1:S$1)-1)</f>
        <v>0.2</v>
      </c>
      <c r="P25" s="13">
        <f>VLOOKUP(left(D25,len(D25)-1),Tareas!$A$2:$Q$31,17,False)</f>
        <v>0.1428571429</v>
      </c>
      <c r="Q25" s="14">
        <f t="shared" si="5"/>
        <v>11.24285714</v>
      </c>
    </row>
    <row r="26">
      <c r="A26" s="5">
        <v>3.212211E7</v>
      </c>
      <c r="B26" s="5" t="s">
        <v>225</v>
      </c>
      <c r="C26" s="5" t="s">
        <v>226</v>
      </c>
      <c r="D26" s="2" t="s">
        <v>228</v>
      </c>
      <c r="E26" s="4"/>
      <c r="F26" s="7">
        <f>VLOOKUP(left(D26,len(D26)-1),'Eval. Cont.'!$A$2:$Q$31,17,False)</f>
        <v>12.345</v>
      </c>
      <c r="G26" s="8">
        <f>'Quiz 1'!G27/2</f>
        <v>2.75</v>
      </c>
      <c r="H26" s="9">
        <f>ifna(VLOOKUP(value(A26),'Parcial 1'!$A$2:$H$28,8,FALSE),"")</f>
        <v>15</v>
      </c>
      <c r="I26" s="8">
        <f>if('Quiz 2'!K27&lt;&gt;"",'Quiz 2'!K27/2,"")</f>
        <v>2.875</v>
      </c>
      <c r="J26" s="7">
        <f>ifna(vlookup(value(A26),Proyecto!$A$3:$AA$23,27,false),"")</f>
        <v>10.75</v>
      </c>
      <c r="K26" s="9">
        <f>ifna(VLOOKUP(value(A26),'Parcial 2'!$A$2:$G$21,7,FALSE),"")</f>
        <v>12</v>
      </c>
      <c r="L26" s="10" t="str">
        <f>ifna(VLOOKUP(left(D26,len(D26)-1),Xtra!$C$6:$N$53,12,false),"")</f>
        <v/>
      </c>
      <c r="M26" s="11">
        <f t="shared" si="4"/>
        <v>55.72</v>
      </c>
      <c r="N26" s="12">
        <f t="shared" si="2"/>
        <v>11.144</v>
      </c>
      <c r="O26" s="13">
        <f>Partic!S26/(counta(Partic!D$1:S$1)-1)</f>
        <v>0.6666666667</v>
      </c>
      <c r="P26" s="13">
        <f>VLOOKUP(left(D26,len(D26)-1),Tareas!$A$2:$Q$31,17,False)</f>
        <v>0.2142857143</v>
      </c>
      <c r="Q26" s="14">
        <f t="shared" si="5"/>
        <v>11.81066667</v>
      </c>
    </row>
    <row r="27">
      <c r="A27" s="5">
        <v>3.0720123E7</v>
      </c>
      <c r="B27" s="5" t="s">
        <v>234</v>
      </c>
      <c r="C27" s="5" t="s">
        <v>235</v>
      </c>
      <c r="D27" s="2" t="s">
        <v>236</v>
      </c>
      <c r="E27" s="4"/>
      <c r="F27" s="7">
        <f>VLOOKUP(left(D27,len(D27)-1),'Eval. Cont.'!$A$2:$Q$31,17,False)</f>
        <v>14.51214286</v>
      </c>
      <c r="G27" s="8">
        <f>'Quiz 1'!G28/2</f>
        <v>5</v>
      </c>
      <c r="H27" s="9">
        <f>ifna(VLOOKUP(value(A27),'Parcial 1'!$A$2:$H$28,8,FALSE),"")</f>
        <v>0</v>
      </c>
      <c r="I27" s="8">
        <f>if('Quiz 2'!K28&lt;&gt;"",'Quiz 2'!K28/2,"")</f>
        <v>5.875</v>
      </c>
      <c r="J27" s="7" t="str">
        <f>ifna(vlookup(value(A27),Proyecto!$A$3:$AA$23,27,false),"")</f>
        <v/>
      </c>
      <c r="K27" s="9" t="str">
        <f>ifna(VLOOKUP(value(A27),'Parcial 2'!$A$2:$G$21,7,FALSE),"")</f>
        <v/>
      </c>
      <c r="L27" s="10" t="str">
        <f>ifna(VLOOKUP(left(D27,len(D27)-1),Xtra!$C$6:$N$53,12,false),"")</f>
        <v/>
      </c>
      <c r="M27" s="11">
        <f t="shared" si="4"/>
        <v>25.38714286</v>
      </c>
      <c r="N27" s="12">
        <f t="shared" si="2"/>
        <v>5.077428571</v>
      </c>
      <c r="O27" s="13">
        <f>Partic!S27/(counta(Partic!D$1:S$1)-1)</f>
        <v>0</v>
      </c>
      <c r="P27" s="13">
        <f>VLOOKUP(left(D27,len(D27)-1),Tareas!$A$2:$Q$31,17,False)</f>
        <v>0.1428571429</v>
      </c>
      <c r="Q27" s="14">
        <f t="shared" si="5"/>
        <v>5.220285714</v>
      </c>
    </row>
    <row r="28">
      <c r="A28" s="5">
        <v>2.9895575E7</v>
      </c>
      <c r="B28" s="5" t="s">
        <v>242</v>
      </c>
      <c r="C28" s="5" t="s">
        <v>243</v>
      </c>
      <c r="D28" s="2" t="s">
        <v>245</v>
      </c>
      <c r="E28" s="6"/>
      <c r="F28" s="7">
        <f>VLOOKUP(left(D28,len(D28)-1),'Eval. Cont.'!$A$2:$Q$31,17,False)</f>
        <v>15.07142857</v>
      </c>
      <c r="G28" s="8">
        <f>'Quiz 1'!G29/2</f>
        <v>4.5</v>
      </c>
      <c r="H28" s="9">
        <f>ifna(VLOOKUP(value(A28),'Parcial 1'!$A$2:$H$28,8,FALSE),"")</f>
        <v>16</v>
      </c>
      <c r="I28" s="8" t="str">
        <f>if('Quiz 2'!K29&lt;&gt;"",'Quiz 2'!K29/2,"")</f>
        <v/>
      </c>
      <c r="J28" s="7">
        <f>ifna(vlookup(value(A28),Proyecto!$A$3:$AA$23,27,false),"")</f>
        <v>9</v>
      </c>
      <c r="K28" s="9">
        <f>ifna(VLOOKUP(value(A28),'Parcial 2'!$A$2:$G$21,7,FALSE),"")</f>
        <v>16</v>
      </c>
      <c r="L28" s="10" t="str">
        <f>ifna(VLOOKUP(left(D28,len(D28)-1),Xtra!$C$6:$N$53,12,false),"")</f>
        <v/>
      </c>
      <c r="M28" s="11">
        <f t="shared" si="4"/>
        <v>60.57142857</v>
      </c>
      <c r="N28" s="12">
        <f t="shared" si="2"/>
        <v>12.11428571</v>
      </c>
      <c r="O28" s="13">
        <f>Partic!S28/(counta(Partic!D$1:S$1)-1)</f>
        <v>0.7333333333</v>
      </c>
      <c r="P28" s="13">
        <f>VLOOKUP(left(D28,len(D28)-1),Tareas!$A$2:$Q$31,17,False)</f>
        <v>0.5</v>
      </c>
      <c r="Q28" s="14">
        <f t="shared" si="5"/>
        <v>12.84761905</v>
      </c>
    </row>
    <row r="29">
      <c r="A29" s="5">
        <v>3.161522E7</v>
      </c>
      <c r="B29" s="5" t="s">
        <v>251</v>
      </c>
      <c r="C29" s="5" t="s">
        <v>252</v>
      </c>
      <c r="D29" s="2" t="s">
        <v>254</v>
      </c>
      <c r="E29" s="6" t="s">
        <v>286</v>
      </c>
      <c r="F29" s="7">
        <f>VLOOKUP(left(D29,len(D29)-1),'Eval. Cont.'!$A$2:$Q$31,17,False)</f>
        <v>1.285714286</v>
      </c>
      <c r="G29" s="8">
        <f>'Quiz 1'!G30/2</f>
        <v>0</v>
      </c>
      <c r="H29" s="9" t="str">
        <f>ifna(VLOOKUP(value(A29),'Parcial 1'!$A$2:$H$28,8,FALSE),"")</f>
        <v/>
      </c>
      <c r="I29" s="8">
        <f>if('Quiz 2'!K30&lt;&gt;"",'Quiz 2'!K30/2,"")</f>
        <v>1.75</v>
      </c>
      <c r="J29" s="7" t="str">
        <f>ifna(vlookup(value(A29),Proyecto!$A$3:$AA$23,27,false),"")</f>
        <v/>
      </c>
      <c r="K29" s="9" t="str">
        <f>ifna(VLOOKUP(value(A29),'Parcial 2'!$A$2:$G$21,7,FALSE),"")</f>
        <v/>
      </c>
      <c r="L29" s="10" t="str">
        <f>ifna(VLOOKUP(left(D29,len(D29)-1),Xtra!$C$6:$N$53,12,false),"")</f>
        <v/>
      </c>
      <c r="M29" s="11">
        <f t="shared" si="4"/>
        <v>3.035714286</v>
      </c>
      <c r="N29" s="12">
        <f t="shared" si="2"/>
        <v>0.6071428571</v>
      </c>
      <c r="O29" s="13">
        <f>Partic!S29/(counta(Partic!D$1:S$1)-1)</f>
        <v>0</v>
      </c>
      <c r="P29" s="13">
        <f>VLOOKUP(left(D29,len(D29)-1),Tareas!$A$2:$Q$31,17,False)</f>
        <v>0.1428571429</v>
      </c>
      <c r="Q29" s="14" t="str">
        <f t="shared" si="5"/>
        <v>R</v>
      </c>
    </row>
    <row r="30">
      <c r="A30" s="5">
        <v>3.0022208E7</v>
      </c>
      <c r="B30" s="5" t="s">
        <v>260</v>
      </c>
      <c r="C30" s="5" t="s">
        <v>61</v>
      </c>
      <c r="D30" s="2" t="s">
        <v>261</v>
      </c>
      <c r="E30" s="4"/>
      <c r="F30" s="7">
        <f>VLOOKUP(left(D30,len(D30)-1),'Eval. Cont.'!$A$2:$Q$31,17,False)</f>
        <v>13.17857143</v>
      </c>
      <c r="G30" s="8">
        <f>'Quiz 1'!G31/2</f>
        <v>0.25</v>
      </c>
      <c r="H30" s="9">
        <f>ifna(VLOOKUP(value(A30),'Parcial 1'!$A$2:$H$28,8,FALSE),"")</f>
        <v>9</v>
      </c>
      <c r="I30" s="8">
        <f>if('Quiz 2'!K31&lt;&gt;"",'Quiz 2'!K31/2,"")</f>
        <v>3.375</v>
      </c>
      <c r="J30" s="7">
        <f>ifna(vlookup(value(A30),Proyecto!$A$3:$AA$23,27,false),"")</f>
        <v>13</v>
      </c>
      <c r="K30" s="9">
        <f>ifna(VLOOKUP(value(A30),'Parcial 2'!$A$2:$G$21,7,FALSE),"")</f>
        <v>11</v>
      </c>
      <c r="L30" s="10">
        <f>ifna(VLOOKUP(left(D30,len(D30)-1),Xtra!$C$6:$N$53,12,false),"")</f>
        <v>4</v>
      </c>
      <c r="M30" s="11">
        <f t="shared" si="4"/>
        <v>53.80357143</v>
      </c>
      <c r="N30" s="12">
        <f t="shared" si="2"/>
        <v>10.76071429</v>
      </c>
      <c r="O30" s="13">
        <f>Partic!S30/(counta(Partic!D$1:S$1)-1)</f>
        <v>0.3333333333</v>
      </c>
      <c r="P30" s="13">
        <f>VLOOKUP(left(D30,len(D30)-1),Tareas!$A$2:$Q$31,17,False)</f>
        <v>0.2857142857</v>
      </c>
      <c r="Q30" s="14">
        <f t="shared" si="5"/>
        <v>11.09404762</v>
      </c>
    </row>
    <row r="31">
      <c r="A31" s="5">
        <v>3.1963201E7</v>
      </c>
      <c r="B31" s="5" t="s">
        <v>267</v>
      </c>
      <c r="C31" s="5" t="s">
        <v>268</v>
      </c>
      <c r="D31" s="2" t="s">
        <v>270</v>
      </c>
      <c r="E31" s="4"/>
      <c r="F31" s="7">
        <f>VLOOKUP(left(D31,len(D31)-1),'Eval. Cont.'!$A$2:$Q$31,17,False)</f>
        <v>18.58357143</v>
      </c>
      <c r="G31" s="8">
        <f>'Quiz 1'!G32/2</f>
        <v>1</v>
      </c>
      <c r="H31" s="9">
        <f>ifna(VLOOKUP(value(A31),'Parcial 1'!$A$2:$H$28,8,FALSE),"")</f>
        <v>15</v>
      </c>
      <c r="I31" s="8">
        <f>if('Quiz 2'!K32&lt;&gt;"",'Quiz 2'!K32/2,"")</f>
        <v>2</v>
      </c>
      <c r="J31" s="7">
        <f>ifna(vlookup(value(A31),Proyecto!$A$3:$AA$23,27,false),"")</f>
        <v>16.75</v>
      </c>
      <c r="K31" s="9">
        <f>ifna(VLOOKUP(value(A31),'Parcial 2'!$A$2:$G$21,7,FALSE),"")</f>
        <v>10</v>
      </c>
      <c r="L31" s="10" t="str">
        <f>ifna(VLOOKUP(left(D31,len(D31)-1),Xtra!$C$6:$N$53,12,false),"")</f>
        <v/>
      </c>
      <c r="M31" s="11">
        <f t="shared" si="4"/>
        <v>63.33357143</v>
      </c>
      <c r="N31" s="12">
        <f t="shared" si="2"/>
        <v>12.66671429</v>
      </c>
      <c r="O31" s="13">
        <f>Partic!S31/(counta(Partic!D$1:S$1)-1)</f>
        <v>0.1333333333</v>
      </c>
      <c r="P31" s="13">
        <f>VLOOKUP(left(D31,len(D31)-1),Tareas!$A$2:$Q$31,17,False)</f>
        <v>0.07142857143</v>
      </c>
      <c r="Q31" s="14">
        <f t="shared" si="5"/>
        <v>12.80004762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2.71"/>
    <col customWidth="1" min="3" max="3" width="10.86"/>
    <col customWidth="1" min="4" max="5" width="12.71"/>
    <col customWidth="1" min="6" max="6" width="13.86"/>
    <col customWidth="1" min="7" max="7" width="16.0"/>
  </cols>
  <sheetData>
    <row r="1">
      <c r="A1" s="18" t="s">
        <v>17</v>
      </c>
      <c r="B1" s="19" t="s">
        <v>287</v>
      </c>
      <c r="C1" s="19" t="s">
        <v>288</v>
      </c>
      <c r="D1" s="19" t="s">
        <v>289</v>
      </c>
      <c r="E1" s="19" t="s">
        <v>290</v>
      </c>
      <c r="F1" s="20" t="s">
        <v>291</v>
      </c>
      <c r="G1" s="18" t="s">
        <v>292</v>
      </c>
    </row>
    <row r="2">
      <c r="A2" s="21"/>
      <c r="B2" s="22" t="s">
        <v>293</v>
      </c>
      <c r="C2" s="22" t="s">
        <v>294</v>
      </c>
      <c r="D2" s="22" t="s">
        <v>293</v>
      </c>
      <c r="E2" s="22" t="s">
        <v>293</v>
      </c>
      <c r="F2" s="23" t="s">
        <v>293</v>
      </c>
      <c r="G2" s="21"/>
    </row>
    <row r="3">
      <c r="A3" s="24" t="s">
        <v>295</v>
      </c>
      <c r="B3" s="25"/>
      <c r="C3" s="25"/>
      <c r="D3" s="25"/>
      <c r="E3" s="25"/>
      <c r="F3" s="26"/>
      <c r="G3" s="27"/>
    </row>
    <row r="4">
      <c r="A4" s="28" t="s">
        <v>296</v>
      </c>
      <c r="B4" s="25">
        <v>0.0</v>
      </c>
      <c r="C4" s="25">
        <v>0.0</v>
      </c>
      <c r="D4" s="25">
        <v>0.0</v>
      </c>
      <c r="E4" s="25">
        <v>0.0</v>
      </c>
      <c r="F4" s="26">
        <v>1.25</v>
      </c>
      <c r="G4" s="27">
        <v>1.25</v>
      </c>
    </row>
    <row r="5">
      <c r="A5" s="28" t="s">
        <v>297</v>
      </c>
      <c r="B5" s="25">
        <v>0.0</v>
      </c>
      <c r="C5" s="25">
        <v>2.5</v>
      </c>
      <c r="D5" s="25">
        <v>0.0</v>
      </c>
      <c r="E5" s="25">
        <v>1.0</v>
      </c>
      <c r="F5" s="26">
        <v>0.5</v>
      </c>
      <c r="G5" s="27">
        <v>4.0</v>
      </c>
    </row>
    <row r="6">
      <c r="A6" s="28" t="s">
        <v>298</v>
      </c>
      <c r="B6" s="25">
        <v>0.0</v>
      </c>
      <c r="C6" s="25">
        <v>0.0</v>
      </c>
      <c r="D6" s="25">
        <v>0.0</v>
      </c>
      <c r="E6" s="25">
        <v>0.0</v>
      </c>
      <c r="F6" s="26">
        <v>0.0</v>
      </c>
      <c r="G6" s="27">
        <v>0.0</v>
      </c>
    </row>
    <row r="7">
      <c r="A7" s="28" t="s">
        <v>299</v>
      </c>
      <c r="B7" s="25">
        <v>0.0</v>
      </c>
      <c r="C7" s="25">
        <v>0.0</v>
      </c>
      <c r="D7" s="25">
        <v>0.0</v>
      </c>
      <c r="E7" s="25">
        <v>0.0</v>
      </c>
      <c r="F7" s="26">
        <v>0.0</v>
      </c>
      <c r="G7" s="27">
        <v>0.0</v>
      </c>
    </row>
    <row r="8">
      <c r="A8" s="28" t="s">
        <v>300</v>
      </c>
      <c r="B8" s="25">
        <v>5.0</v>
      </c>
      <c r="C8" s="25">
        <v>1.5</v>
      </c>
      <c r="D8" s="25">
        <v>2.0</v>
      </c>
      <c r="E8" s="25">
        <v>2.0</v>
      </c>
      <c r="F8" s="26">
        <v>0.0</v>
      </c>
      <c r="G8" s="27">
        <v>10.5</v>
      </c>
    </row>
    <row r="9">
      <c r="A9" s="28" t="s">
        <v>301</v>
      </c>
      <c r="B9" s="25">
        <v>0.0</v>
      </c>
      <c r="C9" s="25">
        <v>0.0</v>
      </c>
      <c r="D9" s="25">
        <v>0.0</v>
      </c>
      <c r="E9" s="25">
        <v>0.0</v>
      </c>
      <c r="F9" s="26">
        <v>0.0</v>
      </c>
      <c r="G9" s="27">
        <v>0.0</v>
      </c>
    </row>
    <row r="10">
      <c r="A10" s="28" t="s">
        <v>302</v>
      </c>
      <c r="B10" s="25">
        <v>0.0</v>
      </c>
      <c r="C10" s="25">
        <v>0.0</v>
      </c>
      <c r="D10" s="25">
        <v>0.0</v>
      </c>
      <c r="E10" s="25">
        <v>2.0</v>
      </c>
      <c r="F10" s="26">
        <v>2.0</v>
      </c>
      <c r="G10" s="27">
        <v>4.0</v>
      </c>
    </row>
    <row r="11">
      <c r="A11" s="28" t="s">
        <v>303</v>
      </c>
      <c r="B11" s="25">
        <v>0.0</v>
      </c>
      <c r="C11" s="25">
        <v>0.0</v>
      </c>
      <c r="D11" s="25">
        <v>0.0</v>
      </c>
      <c r="E11" s="25">
        <v>0.0</v>
      </c>
      <c r="F11" s="29">
        <v>0.0</v>
      </c>
      <c r="G11" s="27">
        <v>0.0</v>
      </c>
    </row>
    <row r="12">
      <c r="A12" s="28" t="s">
        <v>304</v>
      </c>
      <c r="B12" s="25">
        <v>2.0</v>
      </c>
      <c r="C12" s="25">
        <v>0.0</v>
      </c>
      <c r="D12" s="25">
        <v>0.0</v>
      </c>
      <c r="E12" s="25">
        <v>0.0</v>
      </c>
      <c r="F12" s="26">
        <v>1.5</v>
      </c>
      <c r="G12" s="27">
        <v>3.5</v>
      </c>
    </row>
    <row r="14">
      <c r="A14" s="28" t="s">
        <v>305</v>
      </c>
      <c r="B14" s="25">
        <v>0.0</v>
      </c>
      <c r="C14" s="25">
        <v>0.0</v>
      </c>
      <c r="D14" s="25">
        <v>0.0</v>
      </c>
      <c r="E14" s="25">
        <v>0.0</v>
      </c>
      <c r="F14" s="26">
        <v>0.0</v>
      </c>
      <c r="G14" s="27">
        <v>0.0</v>
      </c>
    </row>
    <row r="15">
      <c r="A15" s="28" t="s">
        <v>306</v>
      </c>
      <c r="B15" s="25">
        <v>0.0</v>
      </c>
      <c r="C15" s="25">
        <v>0.0</v>
      </c>
      <c r="D15" s="25">
        <v>0.0</v>
      </c>
      <c r="E15" s="25">
        <v>0.0</v>
      </c>
      <c r="F15" s="26">
        <v>0.0</v>
      </c>
      <c r="G15" s="27">
        <v>0.0</v>
      </c>
    </row>
    <row r="16">
      <c r="A16" s="28" t="s">
        <v>307</v>
      </c>
      <c r="B16" s="25">
        <v>0.0</v>
      </c>
      <c r="C16" s="25">
        <v>0.0</v>
      </c>
      <c r="D16" s="25">
        <v>0.0</v>
      </c>
      <c r="E16" s="25">
        <v>1.0</v>
      </c>
      <c r="F16" s="26">
        <v>1.0</v>
      </c>
      <c r="G16" s="27">
        <v>2.0</v>
      </c>
    </row>
    <row r="17">
      <c r="A17" s="28" t="s">
        <v>308</v>
      </c>
      <c r="B17" s="25">
        <v>3.0</v>
      </c>
      <c r="C17" s="25">
        <v>3.5</v>
      </c>
      <c r="D17" s="25">
        <v>0.0</v>
      </c>
      <c r="E17" s="25">
        <v>2.0</v>
      </c>
      <c r="F17" s="26">
        <v>2.0</v>
      </c>
      <c r="G17" s="27">
        <v>10.5</v>
      </c>
    </row>
    <row r="19">
      <c r="A19" s="28" t="s">
        <v>309</v>
      </c>
      <c r="B19" s="25">
        <v>0.0</v>
      </c>
      <c r="C19" s="25">
        <v>0.0</v>
      </c>
      <c r="D19" s="25">
        <v>0.0</v>
      </c>
      <c r="E19" s="25">
        <v>0.0</v>
      </c>
      <c r="F19" s="26">
        <v>0.0</v>
      </c>
      <c r="G19" s="27">
        <v>0.0</v>
      </c>
    </row>
    <row r="20">
      <c r="A20" s="28" t="s">
        <v>310</v>
      </c>
      <c r="B20" s="25">
        <v>0.0</v>
      </c>
      <c r="C20" s="25">
        <v>0.0</v>
      </c>
      <c r="D20" s="25">
        <v>0.0</v>
      </c>
      <c r="E20" s="25">
        <v>0.0</v>
      </c>
      <c r="F20" s="26">
        <v>1.0</v>
      </c>
      <c r="G20" s="27">
        <v>1.0</v>
      </c>
    </row>
    <row r="22">
      <c r="A22" s="28" t="s">
        <v>311</v>
      </c>
      <c r="B22" s="25">
        <v>0.0</v>
      </c>
      <c r="C22" s="25">
        <v>5.5</v>
      </c>
      <c r="D22" s="25">
        <v>0.0</v>
      </c>
      <c r="E22" s="25">
        <v>0.0</v>
      </c>
      <c r="F22" s="26">
        <v>1.0</v>
      </c>
      <c r="G22" s="27">
        <v>6.5</v>
      </c>
    </row>
    <row r="23">
      <c r="A23" s="28" t="s">
        <v>312</v>
      </c>
      <c r="B23" s="25">
        <v>5.0</v>
      </c>
      <c r="C23" s="25">
        <v>6.5</v>
      </c>
      <c r="D23" s="25">
        <v>0.0</v>
      </c>
      <c r="E23" s="25">
        <v>2.0</v>
      </c>
      <c r="F23" s="26">
        <v>2.5</v>
      </c>
      <c r="G23" s="27">
        <v>16.0</v>
      </c>
    </row>
    <row r="24">
      <c r="A24" s="28" t="s">
        <v>313</v>
      </c>
      <c r="B24" s="25">
        <v>3.0</v>
      </c>
      <c r="C24" s="25">
        <v>4.0</v>
      </c>
      <c r="D24" s="25">
        <v>4.0</v>
      </c>
      <c r="E24" s="25">
        <v>2.0</v>
      </c>
      <c r="F24" s="26">
        <v>0.0</v>
      </c>
      <c r="G24" s="27">
        <v>13.0</v>
      </c>
    </row>
    <row r="25">
      <c r="A25" s="28" t="s">
        <v>314</v>
      </c>
      <c r="B25" s="25">
        <v>0.0</v>
      </c>
      <c r="C25" s="25">
        <v>0.0</v>
      </c>
      <c r="D25" s="25">
        <v>0.0</v>
      </c>
      <c r="E25" s="25">
        <v>1.0</v>
      </c>
      <c r="F25" s="26">
        <v>0.0</v>
      </c>
      <c r="G25" s="27">
        <v>1.0</v>
      </c>
    </row>
    <row r="26">
      <c r="A26" s="28" t="s">
        <v>315</v>
      </c>
      <c r="B26" s="25">
        <v>0.0</v>
      </c>
      <c r="C26" s="25">
        <v>0.0</v>
      </c>
      <c r="D26" s="25">
        <v>0.0</v>
      </c>
      <c r="E26" s="25">
        <v>0.0</v>
      </c>
      <c r="F26" s="26">
        <v>0.0</v>
      </c>
      <c r="G26" s="27">
        <v>0.0</v>
      </c>
    </row>
    <row r="27">
      <c r="A27" s="28" t="s">
        <v>316</v>
      </c>
      <c r="B27" s="25">
        <v>4.0</v>
      </c>
      <c r="C27" s="25">
        <v>0.0</v>
      </c>
      <c r="D27" s="25">
        <v>0.0</v>
      </c>
      <c r="E27" s="25">
        <v>1.5</v>
      </c>
      <c r="F27" s="26">
        <v>0.0</v>
      </c>
      <c r="G27" s="27">
        <v>5.5</v>
      </c>
    </row>
    <row r="28">
      <c r="A28" s="28" t="s">
        <v>317</v>
      </c>
      <c r="B28" s="25">
        <v>0.0</v>
      </c>
      <c r="C28" s="25">
        <v>7.5</v>
      </c>
      <c r="D28" s="25">
        <v>2.5</v>
      </c>
      <c r="E28" s="25">
        <v>0.0</v>
      </c>
      <c r="F28" s="26">
        <v>0.0</v>
      </c>
      <c r="G28" s="27">
        <v>10.0</v>
      </c>
    </row>
    <row r="29">
      <c r="A29" s="28" t="s">
        <v>318</v>
      </c>
      <c r="B29" s="25">
        <v>3.0</v>
      </c>
      <c r="C29" s="25">
        <v>2.0</v>
      </c>
      <c r="D29" s="25">
        <v>0.0</v>
      </c>
      <c r="E29" s="25">
        <v>2.0</v>
      </c>
      <c r="F29" s="26">
        <v>2.0</v>
      </c>
      <c r="G29" s="27">
        <v>9.0</v>
      </c>
    </row>
    <row r="31">
      <c r="A31" s="28" t="s">
        <v>319</v>
      </c>
      <c r="B31" s="25">
        <v>0.0</v>
      </c>
      <c r="C31" s="25">
        <v>0.0</v>
      </c>
      <c r="D31" s="25">
        <v>0.0</v>
      </c>
      <c r="E31" s="25">
        <v>0.5</v>
      </c>
      <c r="F31" s="26">
        <v>0.0</v>
      </c>
      <c r="G31" s="27">
        <v>0.5</v>
      </c>
    </row>
    <row r="32">
      <c r="A32" s="28" t="s">
        <v>320</v>
      </c>
      <c r="B32" s="25">
        <v>0.0</v>
      </c>
      <c r="C32" s="25">
        <v>1.0</v>
      </c>
      <c r="D32" s="25">
        <v>0.0</v>
      </c>
      <c r="E32" s="25">
        <v>0.0</v>
      </c>
      <c r="F32" s="26">
        <v>1.0</v>
      </c>
      <c r="G32" s="27">
        <v>2.0</v>
      </c>
    </row>
  </sheetData>
  <mergeCells count="2">
    <mergeCell ref="A1:A2"/>
    <mergeCell ref="G1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0.43"/>
    <col customWidth="1" min="3" max="3" width="13.43"/>
    <col customWidth="1" min="4" max="4" width="4.14"/>
    <col customWidth="1" min="5" max="5" width="5.57"/>
    <col customWidth="1" min="6" max="6" width="8.43"/>
    <col customWidth="1" min="7" max="7" width="10.14"/>
    <col customWidth="1" min="8" max="8" width="5.43"/>
  </cols>
  <sheetData>
    <row r="1">
      <c r="A1" s="30" t="s">
        <v>14</v>
      </c>
      <c r="B1" s="31" t="s">
        <v>16</v>
      </c>
      <c r="C1" s="31" t="s">
        <v>17</v>
      </c>
      <c r="D1" s="31" t="s">
        <v>321</v>
      </c>
      <c r="E1" s="31" t="s">
        <v>322</v>
      </c>
      <c r="F1" s="31" t="s">
        <v>323</v>
      </c>
      <c r="G1" s="31" t="s">
        <v>324</v>
      </c>
      <c r="H1" s="32" t="s">
        <v>281</v>
      </c>
    </row>
    <row r="2">
      <c r="A2" s="33">
        <v>3.1046285E7</v>
      </c>
      <c r="B2" s="34" t="s">
        <v>176</v>
      </c>
      <c r="C2" s="34" t="s">
        <v>177</v>
      </c>
      <c r="D2" s="35">
        <v>2.0</v>
      </c>
      <c r="E2" s="35">
        <v>3.0</v>
      </c>
      <c r="F2" s="36"/>
      <c r="G2" s="36"/>
      <c r="H2" s="37">
        <f t="shared" ref="H2:H8" si="1">SUM(D2:G2)</f>
        <v>5</v>
      </c>
    </row>
    <row r="3">
      <c r="A3" s="33">
        <v>3.0598031E7</v>
      </c>
      <c r="B3" s="38" t="s">
        <v>127</v>
      </c>
      <c r="C3" s="38" t="s">
        <v>94</v>
      </c>
      <c r="D3" s="39">
        <v>3.0</v>
      </c>
      <c r="E3" s="35">
        <v>3.0</v>
      </c>
      <c r="F3" s="35">
        <v>0.0</v>
      </c>
      <c r="G3" s="36"/>
      <c r="H3" s="37">
        <f t="shared" si="1"/>
        <v>6</v>
      </c>
    </row>
    <row r="4">
      <c r="A4" s="33">
        <v>2.9895575E7</v>
      </c>
      <c r="B4" s="38" t="s">
        <v>242</v>
      </c>
      <c r="C4" s="38" t="s">
        <v>243</v>
      </c>
      <c r="D4" s="39">
        <v>3.0</v>
      </c>
      <c r="E4" s="35">
        <v>3.0</v>
      </c>
      <c r="F4" s="35">
        <v>5.0</v>
      </c>
      <c r="G4" s="35">
        <v>5.0</v>
      </c>
      <c r="H4" s="37">
        <f t="shared" si="1"/>
        <v>16</v>
      </c>
    </row>
    <row r="5">
      <c r="A5" s="33">
        <v>3.2121917E7</v>
      </c>
      <c r="B5" s="38" t="s">
        <v>201</v>
      </c>
      <c r="C5" s="38" t="s">
        <v>202</v>
      </c>
      <c r="D5" s="39">
        <v>2.0</v>
      </c>
      <c r="E5" s="35">
        <v>3.0</v>
      </c>
      <c r="F5" s="35">
        <v>6.0</v>
      </c>
      <c r="G5" s="35">
        <v>7.0</v>
      </c>
      <c r="H5" s="37">
        <f t="shared" si="1"/>
        <v>18</v>
      </c>
    </row>
    <row r="6">
      <c r="A6" s="33">
        <v>3.1448943E7</v>
      </c>
      <c r="B6" s="38" t="s">
        <v>158</v>
      </c>
      <c r="C6" s="38" t="s">
        <v>159</v>
      </c>
      <c r="D6" s="39">
        <v>3.0</v>
      </c>
      <c r="E6" s="35">
        <v>3.0</v>
      </c>
      <c r="F6" s="35">
        <v>0.0</v>
      </c>
      <c r="G6" s="36"/>
      <c r="H6" s="37">
        <f t="shared" si="1"/>
        <v>6</v>
      </c>
    </row>
    <row r="7">
      <c r="A7" s="33">
        <v>2.9666935E7</v>
      </c>
      <c r="B7" s="38" t="s">
        <v>43</v>
      </c>
      <c r="C7" s="38" t="s">
        <v>44</v>
      </c>
      <c r="D7" s="39">
        <v>2.0</v>
      </c>
      <c r="E7" s="35">
        <v>3.0</v>
      </c>
      <c r="F7" s="35">
        <v>5.0</v>
      </c>
      <c r="G7" s="35">
        <v>2.0</v>
      </c>
      <c r="H7" s="37">
        <f t="shared" si="1"/>
        <v>12</v>
      </c>
    </row>
    <row r="8">
      <c r="A8" s="33">
        <v>3.0765878E7</v>
      </c>
      <c r="B8" s="38" t="s">
        <v>52</v>
      </c>
      <c r="C8" s="38" t="s">
        <v>53</v>
      </c>
      <c r="D8" s="39">
        <v>2.0</v>
      </c>
      <c r="E8" s="35">
        <v>3.0</v>
      </c>
      <c r="F8" s="35">
        <v>4.5</v>
      </c>
      <c r="G8" s="35">
        <v>2.0</v>
      </c>
      <c r="H8" s="37">
        <f t="shared" si="1"/>
        <v>11.5</v>
      </c>
    </row>
    <row r="9">
      <c r="A9" s="33">
        <v>2.8410856E7</v>
      </c>
      <c r="B9" s="38" t="s">
        <v>26</v>
      </c>
      <c r="C9" s="38" t="s">
        <v>27</v>
      </c>
      <c r="D9" s="39">
        <v>2.0</v>
      </c>
      <c r="E9" s="35">
        <v>3.0</v>
      </c>
      <c r="F9" s="36"/>
      <c r="G9" s="36"/>
      <c r="H9" s="37">
        <v>0.0</v>
      </c>
    </row>
    <row r="10">
      <c r="A10" s="33">
        <v>3.1112818E7</v>
      </c>
      <c r="B10" s="38" t="s">
        <v>93</v>
      </c>
      <c r="C10" s="38" t="s">
        <v>94</v>
      </c>
      <c r="D10" s="39">
        <v>2.0</v>
      </c>
      <c r="E10" s="35">
        <v>3.0</v>
      </c>
      <c r="F10" s="35">
        <v>4.5</v>
      </c>
      <c r="G10" s="36"/>
      <c r="H10" s="37">
        <v>0.0</v>
      </c>
    </row>
    <row r="11">
      <c r="A11" s="33">
        <v>3.0849611E7</v>
      </c>
      <c r="B11" s="38" t="s">
        <v>35</v>
      </c>
      <c r="C11" s="38" t="s">
        <v>36</v>
      </c>
      <c r="D11" s="39">
        <v>2.0</v>
      </c>
      <c r="E11" s="35">
        <v>3.0</v>
      </c>
      <c r="F11" s="35">
        <v>4.5</v>
      </c>
      <c r="G11" s="36"/>
      <c r="H11" s="37">
        <f t="shared" ref="H11:H16" si="2">SUM(D11:G11)</f>
        <v>9.5</v>
      </c>
    </row>
    <row r="12">
      <c r="A12" s="33">
        <v>3.170391E7</v>
      </c>
      <c r="B12" s="38" t="s">
        <v>217</v>
      </c>
      <c r="C12" s="38" t="s">
        <v>112</v>
      </c>
      <c r="D12" s="39">
        <v>4.0</v>
      </c>
      <c r="E12" s="35">
        <v>3.0</v>
      </c>
      <c r="F12" s="35">
        <v>1.0</v>
      </c>
      <c r="G12" s="35">
        <v>0.0</v>
      </c>
      <c r="H12" s="37">
        <f t="shared" si="2"/>
        <v>8</v>
      </c>
    </row>
    <row r="13">
      <c r="A13" s="33">
        <v>3.1988236E7</v>
      </c>
      <c r="B13" s="38" t="s">
        <v>84</v>
      </c>
      <c r="C13" s="38" t="s">
        <v>85</v>
      </c>
      <c r="D13" s="39">
        <v>4.0</v>
      </c>
      <c r="E13" s="35">
        <v>3.0</v>
      </c>
      <c r="F13" s="35">
        <v>6.0</v>
      </c>
      <c r="G13" s="35">
        <v>0.0</v>
      </c>
      <c r="H13" s="37">
        <f t="shared" si="2"/>
        <v>13</v>
      </c>
    </row>
    <row r="14">
      <c r="A14" s="33">
        <v>3.2242412E7</v>
      </c>
      <c r="B14" s="38" t="s">
        <v>118</v>
      </c>
      <c r="C14" s="38" t="s">
        <v>119</v>
      </c>
      <c r="D14" s="39">
        <v>2.0</v>
      </c>
      <c r="E14" s="35">
        <v>3.0</v>
      </c>
      <c r="F14" s="35">
        <v>3.0</v>
      </c>
      <c r="G14" s="35">
        <v>0.0</v>
      </c>
      <c r="H14" s="37">
        <f t="shared" si="2"/>
        <v>8</v>
      </c>
    </row>
    <row r="15">
      <c r="A15" s="33">
        <v>3.212211E7</v>
      </c>
      <c r="B15" s="38" t="s">
        <v>225</v>
      </c>
      <c r="C15" s="38" t="s">
        <v>226</v>
      </c>
      <c r="D15" s="39">
        <v>2.0</v>
      </c>
      <c r="E15" s="35">
        <v>3.0</v>
      </c>
      <c r="F15" s="35">
        <v>4.0</v>
      </c>
      <c r="G15" s="35">
        <v>6.0</v>
      </c>
      <c r="H15" s="37">
        <f t="shared" si="2"/>
        <v>15</v>
      </c>
    </row>
    <row r="16">
      <c r="A16" s="33">
        <v>3.3921124E7</v>
      </c>
      <c r="B16" s="38" t="s">
        <v>209</v>
      </c>
      <c r="C16" s="38" t="s">
        <v>210</v>
      </c>
      <c r="D16" s="39">
        <v>2.0</v>
      </c>
      <c r="E16" s="35">
        <v>3.0</v>
      </c>
      <c r="F16" s="35">
        <v>2.0</v>
      </c>
      <c r="G16" s="35">
        <v>1.0</v>
      </c>
      <c r="H16" s="37">
        <f t="shared" si="2"/>
        <v>8</v>
      </c>
    </row>
    <row r="17">
      <c r="A17" s="33">
        <v>3.0720123E7</v>
      </c>
      <c r="B17" s="38" t="s">
        <v>234</v>
      </c>
      <c r="C17" s="38" t="s">
        <v>235</v>
      </c>
      <c r="D17" s="39">
        <v>3.0</v>
      </c>
      <c r="E17" s="35">
        <v>3.0</v>
      </c>
      <c r="F17" s="35">
        <v>6.0</v>
      </c>
      <c r="G17" s="36"/>
      <c r="H17" s="37">
        <v>0.0</v>
      </c>
    </row>
    <row r="18">
      <c r="A18" s="33">
        <v>3.0022208E7</v>
      </c>
      <c r="B18" s="38" t="s">
        <v>260</v>
      </c>
      <c r="C18" s="38" t="s">
        <v>61</v>
      </c>
      <c r="D18" s="39">
        <v>3.0</v>
      </c>
      <c r="E18" s="35">
        <v>3.0</v>
      </c>
      <c r="F18" s="35">
        <v>2.0</v>
      </c>
      <c r="G18" s="35">
        <v>1.0</v>
      </c>
      <c r="H18" s="37">
        <f t="shared" ref="H18:H28" si="3">SUM(D18:G18)</f>
        <v>9</v>
      </c>
    </row>
    <row r="19">
      <c r="A19" s="33">
        <v>3.2729082E7</v>
      </c>
      <c r="B19" s="38" t="s">
        <v>60</v>
      </c>
      <c r="C19" s="38" t="s">
        <v>61</v>
      </c>
      <c r="D19" s="39">
        <v>3.0</v>
      </c>
      <c r="E19" s="35">
        <v>3.0</v>
      </c>
      <c r="F19" s="36"/>
      <c r="G19" s="36"/>
      <c r="H19" s="37">
        <f t="shared" si="3"/>
        <v>6</v>
      </c>
    </row>
    <row r="20">
      <c r="A20" s="33">
        <v>3.0030485E7</v>
      </c>
      <c r="B20" s="38" t="s">
        <v>102</v>
      </c>
      <c r="C20" s="38" t="s">
        <v>103</v>
      </c>
      <c r="D20" s="39">
        <v>3.0</v>
      </c>
      <c r="E20" s="35">
        <v>3.0</v>
      </c>
      <c r="F20" s="35">
        <v>5.0</v>
      </c>
      <c r="G20" s="35">
        <v>7.0</v>
      </c>
      <c r="H20" s="37">
        <f t="shared" si="3"/>
        <v>18</v>
      </c>
    </row>
    <row r="21">
      <c r="A21" s="33">
        <v>3.1071592E7</v>
      </c>
      <c r="B21" s="38" t="s">
        <v>68</v>
      </c>
      <c r="C21" s="38" t="s">
        <v>69</v>
      </c>
      <c r="D21" s="39">
        <v>2.0</v>
      </c>
      <c r="E21" s="35">
        <v>3.0</v>
      </c>
      <c r="F21" s="35">
        <v>6.0</v>
      </c>
      <c r="G21" s="35">
        <v>6.0</v>
      </c>
      <c r="H21" s="37">
        <f t="shared" si="3"/>
        <v>17</v>
      </c>
    </row>
    <row r="22">
      <c r="A22" s="33">
        <v>3.1852058E7</v>
      </c>
      <c r="B22" s="38" t="s">
        <v>135</v>
      </c>
      <c r="C22" s="38" t="s">
        <v>136</v>
      </c>
      <c r="D22" s="39">
        <v>2.0</v>
      </c>
      <c r="E22" s="35">
        <v>3.0</v>
      </c>
      <c r="F22" s="35">
        <v>6.0</v>
      </c>
      <c r="G22" s="35">
        <v>2.0</v>
      </c>
      <c r="H22" s="37">
        <f t="shared" si="3"/>
        <v>13</v>
      </c>
    </row>
    <row r="23">
      <c r="A23" s="33">
        <v>3.2401366E7</v>
      </c>
      <c r="B23" s="38" t="s">
        <v>193</v>
      </c>
      <c r="C23" s="38" t="s">
        <v>325</v>
      </c>
      <c r="D23" s="39">
        <v>3.0</v>
      </c>
      <c r="E23" s="35">
        <v>3.0</v>
      </c>
      <c r="F23" s="35">
        <v>6.0</v>
      </c>
      <c r="G23" s="35">
        <v>4.0</v>
      </c>
      <c r="H23" s="37">
        <f t="shared" si="3"/>
        <v>16</v>
      </c>
    </row>
    <row r="24">
      <c r="A24" s="33">
        <v>3.1255343E7</v>
      </c>
      <c r="B24" s="38" t="s">
        <v>184</v>
      </c>
      <c r="C24" s="38" t="s">
        <v>185</v>
      </c>
      <c r="D24" s="39">
        <v>4.0</v>
      </c>
      <c r="E24" s="35">
        <v>3.0</v>
      </c>
      <c r="F24" s="35">
        <v>0.0</v>
      </c>
      <c r="G24" s="36"/>
      <c r="H24" s="37">
        <f t="shared" si="3"/>
        <v>7</v>
      </c>
    </row>
    <row r="25">
      <c r="A25" s="33">
        <v>3.0114012E7</v>
      </c>
      <c r="B25" s="38" t="s">
        <v>143</v>
      </c>
      <c r="C25" s="38" t="s">
        <v>44</v>
      </c>
      <c r="D25" s="39">
        <v>4.0</v>
      </c>
      <c r="E25" s="35">
        <v>3.0</v>
      </c>
      <c r="F25" s="35">
        <v>3.0</v>
      </c>
      <c r="G25" s="35">
        <v>4.0</v>
      </c>
      <c r="H25" s="37">
        <f t="shared" si="3"/>
        <v>14</v>
      </c>
    </row>
    <row r="26">
      <c r="A26" s="33">
        <v>3.1963201E7</v>
      </c>
      <c r="B26" s="38" t="s">
        <v>267</v>
      </c>
      <c r="C26" s="38" t="s">
        <v>268</v>
      </c>
      <c r="D26" s="39">
        <v>3.0</v>
      </c>
      <c r="E26" s="35">
        <v>3.0</v>
      </c>
      <c r="F26" s="35">
        <v>5.0</v>
      </c>
      <c r="G26" s="35">
        <v>4.0</v>
      </c>
      <c r="H26" s="37">
        <f t="shared" si="3"/>
        <v>15</v>
      </c>
    </row>
    <row r="27">
      <c r="A27" s="33">
        <v>3.1423E7</v>
      </c>
      <c r="B27" s="38" t="s">
        <v>167</v>
      </c>
      <c r="C27" s="38" t="s">
        <v>168</v>
      </c>
      <c r="D27" s="39">
        <v>3.0</v>
      </c>
      <c r="E27" s="35">
        <v>3.0</v>
      </c>
      <c r="F27" s="35">
        <v>1.0</v>
      </c>
      <c r="G27" s="35">
        <v>0.0</v>
      </c>
      <c r="H27" s="37">
        <f t="shared" si="3"/>
        <v>7</v>
      </c>
    </row>
    <row r="28">
      <c r="A28" s="40">
        <v>3.249131E7</v>
      </c>
      <c r="B28" s="41" t="s">
        <v>76</v>
      </c>
      <c r="C28" s="41" t="s">
        <v>77</v>
      </c>
      <c r="D28" s="42">
        <v>4.0</v>
      </c>
      <c r="E28" s="43">
        <v>3.0</v>
      </c>
      <c r="F28" s="43">
        <v>0.0</v>
      </c>
      <c r="G28" s="43">
        <v>0.0</v>
      </c>
      <c r="H28" s="37">
        <f t="shared" si="3"/>
        <v>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8.14"/>
    <col customWidth="1" min="3" max="3" width="12.86"/>
    <col customWidth="1" min="4" max="4" width="13.86"/>
    <col customWidth="1" min="5" max="5" width="5.86"/>
    <col customWidth="1" min="6" max="6" width="7.0"/>
    <col customWidth="1" min="7" max="7" width="9.86"/>
    <col customWidth="1" min="8" max="8" width="5.71"/>
    <col customWidth="1" min="9" max="9" width="8.14"/>
    <col customWidth="1" min="10" max="10" width="10.43"/>
    <col customWidth="1" min="11" max="11" width="8.86"/>
  </cols>
  <sheetData>
    <row r="1">
      <c r="A1" s="44" t="s">
        <v>17</v>
      </c>
      <c r="B1" s="45" t="s">
        <v>326</v>
      </c>
      <c r="C1" s="46"/>
      <c r="D1" s="46"/>
      <c r="E1" s="46"/>
      <c r="F1" s="46"/>
      <c r="G1" s="46"/>
      <c r="H1" s="47"/>
      <c r="I1" s="48" t="s">
        <v>291</v>
      </c>
      <c r="J1" s="49"/>
      <c r="K1" s="50" t="s">
        <v>292</v>
      </c>
    </row>
    <row r="2">
      <c r="A2" s="51"/>
      <c r="B2" s="52" t="s">
        <v>327</v>
      </c>
      <c r="C2" s="53" t="s">
        <v>328</v>
      </c>
      <c r="D2" s="53" t="s">
        <v>329</v>
      </c>
      <c r="E2" s="53" t="s">
        <v>330</v>
      </c>
      <c r="F2" s="53" t="s">
        <v>331</v>
      </c>
      <c r="G2" s="53" t="s">
        <v>332</v>
      </c>
      <c r="H2" s="53" t="s">
        <v>333</v>
      </c>
      <c r="I2" s="54" t="s">
        <v>334</v>
      </c>
      <c r="J2" s="54" t="s">
        <v>335</v>
      </c>
      <c r="K2" s="55"/>
    </row>
    <row r="4">
      <c r="A4" s="56"/>
      <c r="B4" s="57"/>
      <c r="C4" s="57"/>
      <c r="D4" s="57"/>
      <c r="E4" s="57"/>
      <c r="F4" s="57"/>
      <c r="G4" s="57"/>
      <c r="H4" s="57"/>
      <c r="I4" s="57"/>
      <c r="J4" s="57"/>
      <c r="K4" s="58"/>
    </row>
    <row r="5">
      <c r="A5" s="56" t="s">
        <v>297</v>
      </c>
      <c r="B5" s="59">
        <v>5.5</v>
      </c>
      <c r="C5" s="60">
        <v>0.0</v>
      </c>
      <c r="D5" s="60">
        <v>0.0</v>
      </c>
      <c r="E5" s="60">
        <v>0.0</v>
      </c>
      <c r="F5" s="60">
        <v>0.5</v>
      </c>
      <c r="G5" s="60">
        <v>0.25</v>
      </c>
      <c r="H5" s="60">
        <v>0.0</v>
      </c>
      <c r="I5" s="60">
        <v>0.0</v>
      </c>
      <c r="J5" s="60">
        <v>0.0</v>
      </c>
      <c r="K5" s="61">
        <f>SUM(B5:J5)</f>
        <v>6.25</v>
      </c>
    </row>
    <row r="6">
      <c r="A6" s="56"/>
      <c r="B6" s="57"/>
      <c r="C6" s="57"/>
      <c r="D6" s="57"/>
      <c r="E6" s="57"/>
      <c r="F6" s="57"/>
      <c r="G6" s="57"/>
      <c r="H6" s="57"/>
      <c r="I6" s="57"/>
      <c r="J6" s="57"/>
      <c r="K6" s="61"/>
    </row>
    <row r="7">
      <c r="A7" s="56" t="s">
        <v>299</v>
      </c>
      <c r="B7" s="59">
        <v>5.5</v>
      </c>
      <c r="C7" s="60">
        <v>4.0</v>
      </c>
      <c r="D7" s="60">
        <v>0.0</v>
      </c>
      <c r="E7" s="60">
        <v>0.5</v>
      </c>
      <c r="F7" s="60">
        <v>1.0</v>
      </c>
      <c r="G7" s="60">
        <v>1.0</v>
      </c>
      <c r="H7" s="62">
        <v>2.0</v>
      </c>
      <c r="I7" s="63">
        <v>0.0</v>
      </c>
      <c r="J7" s="63">
        <v>0.0</v>
      </c>
      <c r="K7" s="61">
        <f t="shared" ref="K7:K9" si="1">SUM(B7:J7)</f>
        <v>14</v>
      </c>
    </row>
    <row r="8">
      <c r="A8" s="56" t="s">
        <v>300</v>
      </c>
      <c r="B8" s="59">
        <v>4.75</v>
      </c>
      <c r="C8" s="60">
        <v>0.0</v>
      </c>
      <c r="D8" s="60">
        <v>0.0</v>
      </c>
      <c r="E8" s="60">
        <v>1.5</v>
      </c>
      <c r="F8" s="60">
        <v>0.5</v>
      </c>
      <c r="G8" s="60">
        <v>0.25</v>
      </c>
      <c r="H8" s="60">
        <v>1.0</v>
      </c>
      <c r="I8" s="60">
        <v>0.0</v>
      </c>
      <c r="J8" s="60">
        <v>0.0</v>
      </c>
      <c r="K8" s="61">
        <f t="shared" si="1"/>
        <v>8</v>
      </c>
    </row>
    <row r="9">
      <c r="A9" s="56" t="s">
        <v>336</v>
      </c>
      <c r="B9" s="59">
        <v>4.0</v>
      </c>
      <c r="C9" s="60">
        <v>2.0</v>
      </c>
      <c r="D9" s="60">
        <v>0.0</v>
      </c>
      <c r="E9" s="60">
        <v>0.0</v>
      </c>
      <c r="F9" s="60">
        <v>1.0</v>
      </c>
      <c r="G9" s="60">
        <v>1.0</v>
      </c>
      <c r="H9" s="60">
        <v>0.0</v>
      </c>
      <c r="I9" s="60">
        <v>0.0</v>
      </c>
      <c r="J9" s="60">
        <v>0.0</v>
      </c>
      <c r="K9" s="61">
        <f t="shared" si="1"/>
        <v>8</v>
      </c>
    </row>
    <row r="10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61"/>
    </row>
    <row r="11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61"/>
    </row>
    <row r="12">
      <c r="A12" s="56" t="s">
        <v>304</v>
      </c>
      <c r="B12" s="59">
        <v>4.0</v>
      </c>
      <c r="C12" s="60">
        <v>0.0</v>
      </c>
      <c r="D12" s="60">
        <v>0.0</v>
      </c>
      <c r="E12" s="60">
        <v>0.0</v>
      </c>
      <c r="F12" s="60">
        <v>0.0</v>
      </c>
      <c r="G12" s="60">
        <v>0.0</v>
      </c>
      <c r="H12" s="62">
        <v>0.0</v>
      </c>
      <c r="I12" s="63">
        <v>0.0</v>
      </c>
      <c r="J12" s="63">
        <v>0.0</v>
      </c>
      <c r="K12" s="61">
        <f>SUM(B12:J12)</f>
        <v>4</v>
      </c>
    </row>
    <row r="14">
      <c r="A14" s="56" t="s">
        <v>305</v>
      </c>
      <c r="B14" s="59">
        <v>3.0</v>
      </c>
      <c r="C14" s="60">
        <v>0.0</v>
      </c>
      <c r="D14" s="60">
        <v>0.0</v>
      </c>
      <c r="E14" s="60">
        <v>0.0</v>
      </c>
      <c r="F14" s="60">
        <v>0.0</v>
      </c>
      <c r="G14" s="60">
        <v>0.0</v>
      </c>
      <c r="H14" s="62">
        <v>0.0</v>
      </c>
      <c r="I14" s="63">
        <v>0.0</v>
      </c>
      <c r="J14" s="63">
        <v>0.0</v>
      </c>
      <c r="K14" s="61">
        <f>SUM(B14:J14)</f>
        <v>3</v>
      </c>
    </row>
    <row r="15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61"/>
    </row>
    <row r="16">
      <c r="A16" s="56" t="s">
        <v>337</v>
      </c>
      <c r="B16" s="59">
        <v>4.0</v>
      </c>
      <c r="C16" s="60">
        <v>2.0</v>
      </c>
      <c r="D16" s="60">
        <v>0.0</v>
      </c>
      <c r="E16" s="60">
        <v>1.0</v>
      </c>
      <c r="F16" s="60">
        <v>1.0</v>
      </c>
      <c r="G16" s="60">
        <v>1.0</v>
      </c>
      <c r="H16" s="60">
        <v>0.0</v>
      </c>
      <c r="I16" s="60">
        <v>0.0</v>
      </c>
      <c r="J16" s="60">
        <v>0.0</v>
      </c>
      <c r="K16" s="61">
        <f t="shared" ref="K16:K17" si="2">SUM(B16:J16)</f>
        <v>9</v>
      </c>
    </row>
    <row r="17">
      <c r="A17" s="56" t="s">
        <v>308</v>
      </c>
      <c r="B17" s="59">
        <v>1.5</v>
      </c>
      <c r="C17" s="57">
        <v>0.0</v>
      </c>
      <c r="D17" s="57">
        <v>0.0</v>
      </c>
      <c r="E17" s="57">
        <v>0.0</v>
      </c>
      <c r="F17" s="57">
        <v>0.0</v>
      </c>
      <c r="G17" s="57">
        <v>0.0</v>
      </c>
      <c r="H17" s="57">
        <v>0.0</v>
      </c>
      <c r="I17" s="57">
        <v>0.0</v>
      </c>
      <c r="J17" s="57">
        <v>0.0</v>
      </c>
      <c r="K17" s="61">
        <f t="shared" si="2"/>
        <v>1.5</v>
      </c>
    </row>
    <row r="19">
      <c r="A19" s="56" t="s">
        <v>309</v>
      </c>
      <c r="B19" s="57"/>
      <c r="C19" s="57"/>
      <c r="D19" s="57"/>
      <c r="E19" s="57"/>
      <c r="F19" s="57"/>
      <c r="G19" s="57"/>
      <c r="H19" s="57"/>
      <c r="I19" s="57"/>
      <c r="J19" s="57"/>
      <c r="K19" s="61"/>
    </row>
    <row r="20">
      <c r="A20" s="56" t="s">
        <v>310</v>
      </c>
      <c r="B20" s="59">
        <v>1.0</v>
      </c>
      <c r="C20" s="60">
        <v>0.0</v>
      </c>
      <c r="D20" s="60">
        <v>0.0</v>
      </c>
      <c r="E20" s="60">
        <v>0.0</v>
      </c>
      <c r="F20" s="60">
        <v>1.0</v>
      </c>
      <c r="G20" s="60">
        <v>0.5</v>
      </c>
      <c r="H20" s="62">
        <v>0.0</v>
      </c>
      <c r="I20" s="63">
        <v>0.0</v>
      </c>
      <c r="J20" s="63">
        <v>0.0</v>
      </c>
      <c r="K20" s="61">
        <f>SUM(B20:J20)</f>
        <v>2.5</v>
      </c>
    </row>
    <row r="22">
      <c r="A22" s="56" t="s">
        <v>311</v>
      </c>
      <c r="B22" s="59">
        <v>2.0</v>
      </c>
      <c r="C22" s="60">
        <v>1.5</v>
      </c>
      <c r="D22" s="60">
        <v>0.0</v>
      </c>
      <c r="E22" s="60">
        <v>1.0</v>
      </c>
      <c r="F22" s="60">
        <v>0.0</v>
      </c>
      <c r="G22" s="60">
        <v>0.0</v>
      </c>
      <c r="H22" s="60">
        <v>2.0</v>
      </c>
      <c r="I22" s="60">
        <v>0.0</v>
      </c>
      <c r="J22" s="60">
        <v>0.0</v>
      </c>
      <c r="K22" s="61">
        <f t="shared" ref="K22:K28" si="3">SUM(B22:J22)</f>
        <v>6.5</v>
      </c>
    </row>
    <row r="23">
      <c r="A23" s="56" t="s">
        <v>312</v>
      </c>
      <c r="B23" s="59">
        <v>2.5</v>
      </c>
      <c r="C23" s="60">
        <v>0.0</v>
      </c>
      <c r="D23" s="60">
        <v>0.0</v>
      </c>
      <c r="E23" s="60">
        <v>0.0</v>
      </c>
      <c r="F23" s="60">
        <v>0.0</v>
      </c>
      <c r="G23" s="60">
        <v>0.0</v>
      </c>
      <c r="H23" s="62">
        <v>0.0</v>
      </c>
      <c r="I23" s="63">
        <v>0.0</v>
      </c>
      <c r="J23" s="63">
        <v>1.25</v>
      </c>
      <c r="K23" s="61">
        <f t="shared" si="3"/>
        <v>3.75</v>
      </c>
    </row>
    <row r="24">
      <c r="A24" s="56" t="s">
        <v>313</v>
      </c>
      <c r="B24" s="59">
        <v>4.0</v>
      </c>
      <c r="C24" s="60">
        <v>4.0</v>
      </c>
      <c r="D24" s="60">
        <v>0.0</v>
      </c>
      <c r="E24" s="60">
        <v>0.0</v>
      </c>
      <c r="F24" s="60">
        <v>0.5</v>
      </c>
      <c r="G24" s="60">
        <v>0.5</v>
      </c>
      <c r="H24" s="60">
        <v>0.0</v>
      </c>
      <c r="I24" s="60">
        <v>0.0</v>
      </c>
      <c r="J24" s="60">
        <v>0.0</v>
      </c>
      <c r="K24" s="61">
        <f t="shared" si="3"/>
        <v>9</v>
      </c>
    </row>
    <row r="25">
      <c r="A25" s="56" t="s">
        <v>314</v>
      </c>
      <c r="B25" s="59">
        <v>5.0</v>
      </c>
      <c r="C25" s="60">
        <v>1.5</v>
      </c>
      <c r="D25" s="60">
        <v>0.0</v>
      </c>
      <c r="E25" s="60">
        <v>0.0</v>
      </c>
      <c r="F25" s="60">
        <v>0.25</v>
      </c>
      <c r="G25" s="60">
        <v>0.5</v>
      </c>
      <c r="H25" s="62">
        <v>0.0</v>
      </c>
      <c r="I25" s="63">
        <v>0.0</v>
      </c>
      <c r="J25" s="63">
        <v>0.0</v>
      </c>
      <c r="K25" s="61">
        <f t="shared" si="3"/>
        <v>7.25</v>
      </c>
    </row>
    <row r="26">
      <c r="A26" s="56" t="s">
        <v>315</v>
      </c>
      <c r="B26" s="59">
        <v>1.5</v>
      </c>
      <c r="C26" s="60">
        <v>0.0</v>
      </c>
      <c r="D26" s="60">
        <v>0.0</v>
      </c>
      <c r="E26" s="60">
        <v>0.0</v>
      </c>
      <c r="F26" s="60">
        <v>0.0</v>
      </c>
      <c r="G26" s="60">
        <v>0.0</v>
      </c>
      <c r="H26" s="62">
        <v>0.0</v>
      </c>
      <c r="I26" s="63">
        <v>0.0</v>
      </c>
      <c r="J26" s="59">
        <v>0.0</v>
      </c>
      <c r="K26" s="61">
        <f t="shared" si="3"/>
        <v>1.5</v>
      </c>
    </row>
    <row r="27">
      <c r="A27" s="56" t="s">
        <v>316</v>
      </c>
      <c r="B27" s="59">
        <v>4.75</v>
      </c>
      <c r="C27" s="60">
        <v>0.0</v>
      </c>
      <c r="D27" s="60">
        <v>0.0</v>
      </c>
      <c r="E27" s="60">
        <v>0.0</v>
      </c>
      <c r="F27" s="60">
        <v>0.5</v>
      </c>
      <c r="G27" s="60">
        <v>0.5</v>
      </c>
      <c r="H27" s="62">
        <v>0.0</v>
      </c>
      <c r="I27" s="63">
        <v>0.0</v>
      </c>
      <c r="J27" s="63">
        <v>0.0</v>
      </c>
      <c r="K27" s="61">
        <f t="shared" si="3"/>
        <v>5.75</v>
      </c>
    </row>
    <row r="28">
      <c r="A28" s="56" t="s">
        <v>317</v>
      </c>
      <c r="B28" s="59">
        <v>5.75</v>
      </c>
      <c r="C28" s="60">
        <v>2.0</v>
      </c>
      <c r="D28" s="60">
        <v>1.0</v>
      </c>
      <c r="E28" s="60">
        <v>1.0</v>
      </c>
      <c r="F28" s="60">
        <v>1.0</v>
      </c>
      <c r="G28" s="60">
        <v>1.0</v>
      </c>
      <c r="H28" s="62">
        <v>0.0</v>
      </c>
      <c r="I28" s="63">
        <v>0.0</v>
      </c>
      <c r="J28" s="63">
        <v>0.0</v>
      </c>
      <c r="K28" s="61">
        <f t="shared" si="3"/>
        <v>11.75</v>
      </c>
    </row>
    <row r="30">
      <c r="A30" s="56" t="s">
        <v>318</v>
      </c>
      <c r="B30" s="59">
        <v>3.5</v>
      </c>
      <c r="C30" s="60">
        <v>0.0</v>
      </c>
      <c r="D30" s="60">
        <v>0.0</v>
      </c>
      <c r="E30" s="60">
        <v>0.0</v>
      </c>
      <c r="F30" s="60">
        <v>0.0</v>
      </c>
      <c r="G30" s="60">
        <v>0.0</v>
      </c>
      <c r="H30" s="62">
        <v>0.0</v>
      </c>
      <c r="I30" s="63">
        <v>0.0</v>
      </c>
      <c r="J30" s="59">
        <v>0.0</v>
      </c>
      <c r="K30" s="61">
        <f t="shared" ref="K30:K32" si="4">SUM(B30:J30)</f>
        <v>3.5</v>
      </c>
    </row>
    <row r="31">
      <c r="A31" s="56" t="s">
        <v>319</v>
      </c>
      <c r="B31" s="59">
        <v>5.5</v>
      </c>
      <c r="C31" s="59">
        <v>0.5</v>
      </c>
      <c r="D31" s="59">
        <v>0.0</v>
      </c>
      <c r="E31" s="59">
        <v>0.0</v>
      </c>
      <c r="F31" s="59">
        <v>0.5</v>
      </c>
      <c r="G31" s="59">
        <v>0.25</v>
      </c>
      <c r="H31" s="59">
        <v>0.0</v>
      </c>
      <c r="I31" s="59">
        <v>0.0</v>
      </c>
      <c r="J31" s="59">
        <v>0.0</v>
      </c>
      <c r="K31" s="61">
        <f t="shared" si="4"/>
        <v>6.75</v>
      </c>
    </row>
    <row r="32">
      <c r="A32" s="56" t="s">
        <v>320</v>
      </c>
      <c r="B32" s="59">
        <v>4.0</v>
      </c>
      <c r="C32" s="59">
        <v>0.0</v>
      </c>
      <c r="D32" s="59">
        <v>0.0</v>
      </c>
      <c r="E32" s="59">
        <v>0.0</v>
      </c>
      <c r="F32" s="59">
        <v>0.0</v>
      </c>
      <c r="G32" s="59">
        <v>0.0</v>
      </c>
      <c r="H32" s="59">
        <v>0.0</v>
      </c>
      <c r="I32" s="59">
        <v>0.0</v>
      </c>
      <c r="J32" s="59">
        <v>0.0</v>
      </c>
      <c r="K32" s="61">
        <f t="shared" si="4"/>
        <v>4</v>
      </c>
    </row>
  </sheetData>
  <mergeCells count="4">
    <mergeCell ref="A1:A2"/>
    <mergeCell ref="B1:H1"/>
    <mergeCell ref="I1:J1"/>
    <mergeCell ref="K1:K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7.0"/>
    <col customWidth="1" min="3" max="3" width="4.14"/>
    <col customWidth="1" min="4" max="4" width="5.57"/>
    <col customWidth="1" min="5" max="5" width="7.14"/>
    <col customWidth="1" min="6" max="6" width="10.14"/>
    <col customWidth="1" min="7" max="7" width="6.29"/>
  </cols>
  <sheetData>
    <row r="1">
      <c r="A1" s="64" t="s">
        <v>338</v>
      </c>
      <c r="B1" s="65" t="s">
        <v>339</v>
      </c>
      <c r="C1" s="65" t="s">
        <v>321</v>
      </c>
      <c r="D1" s="65" t="s">
        <v>322</v>
      </c>
      <c r="E1" s="65" t="s">
        <v>340</v>
      </c>
      <c r="F1" s="65" t="s">
        <v>324</v>
      </c>
      <c r="G1" s="65" t="s">
        <v>281</v>
      </c>
    </row>
    <row r="2">
      <c r="A2" s="66">
        <v>3.0598031E7</v>
      </c>
      <c r="B2" s="67" t="s">
        <v>341</v>
      </c>
      <c r="C2" s="68">
        <v>3.0</v>
      </c>
      <c r="D2" s="68">
        <v>2.0</v>
      </c>
      <c r="E2" s="68">
        <v>0.0</v>
      </c>
      <c r="F2" s="68">
        <v>1.0</v>
      </c>
      <c r="G2" s="69">
        <v>6.0</v>
      </c>
    </row>
    <row r="3">
      <c r="A3" s="70">
        <v>3.1423E7</v>
      </c>
      <c r="B3" s="71" t="s">
        <v>310</v>
      </c>
      <c r="C3" s="72">
        <v>4.0</v>
      </c>
      <c r="D3" s="72">
        <v>2.0</v>
      </c>
      <c r="E3" s="72">
        <v>3.0</v>
      </c>
      <c r="F3" s="72">
        <v>2.0</v>
      </c>
      <c r="G3" s="73">
        <v>11.0</v>
      </c>
    </row>
    <row r="4">
      <c r="A4" s="74">
        <v>3.0114012E7</v>
      </c>
      <c r="B4" s="67" t="s">
        <v>308</v>
      </c>
      <c r="C4" s="68">
        <v>4.0</v>
      </c>
      <c r="D4" s="68">
        <v>3.0</v>
      </c>
      <c r="E4" s="68">
        <v>3.0</v>
      </c>
      <c r="F4" s="68">
        <v>3.0</v>
      </c>
      <c r="G4" s="69">
        <v>13.0</v>
      </c>
    </row>
    <row r="5">
      <c r="A5" s="70">
        <v>3.2121917E7</v>
      </c>
      <c r="B5" s="71" t="s">
        <v>342</v>
      </c>
      <c r="C5" s="72">
        <v>2.0</v>
      </c>
      <c r="D5" s="72">
        <v>3.0</v>
      </c>
      <c r="E5" s="72">
        <v>3.0</v>
      </c>
      <c r="F5" s="72">
        <v>8.0</v>
      </c>
      <c r="G5" s="73">
        <v>16.0</v>
      </c>
    </row>
    <row r="6">
      <c r="A6" s="74">
        <v>2.9666935E7</v>
      </c>
      <c r="B6" s="67" t="s">
        <v>297</v>
      </c>
      <c r="C6" s="68">
        <v>3.0</v>
      </c>
      <c r="D6" s="68">
        <v>2.0</v>
      </c>
      <c r="E6" s="68">
        <v>3.0</v>
      </c>
      <c r="F6" s="68">
        <v>8.0</v>
      </c>
      <c r="G6" s="69">
        <v>16.0</v>
      </c>
    </row>
    <row r="7">
      <c r="A7" s="70">
        <v>3.2242412E7</v>
      </c>
      <c r="B7" s="71" t="s">
        <v>305</v>
      </c>
      <c r="C7" s="72">
        <v>4.0</v>
      </c>
      <c r="D7" s="72">
        <v>3.0</v>
      </c>
      <c r="E7" s="72">
        <v>3.0</v>
      </c>
      <c r="F7" s="72">
        <v>1.0</v>
      </c>
      <c r="G7" s="73">
        <v>11.0</v>
      </c>
    </row>
    <row r="8">
      <c r="A8" s="74">
        <v>3.3921124E7</v>
      </c>
      <c r="B8" s="67" t="s">
        <v>343</v>
      </c>
      <c r="C8" s="68">
        <v>1.0</v>
      </c>
      <c r="D8" s="68">
        <v>1.0</v>
      </c>
      <c r="E8" s="68">
        <v>3.0</v>
      </c>
      <c r="F8" s="68">
        <v>1.0</v>
      </c>
      <c r="G8" s="69">
        <v>6.0</v>
      </c>
    </row>
    <row r="9">
      <c r="A9" s="70">
        <v>3.1255343E7</v>
      </c>
      <c r="B9" s="71" t="s">
        <v>311</v>
      </c>
      <c r="C9" s="72">
        <v>4.0</v>
      </c>
      <c r="D9" s="72">
        <v>2.0</v>
      </c>
      <c r="E9" s="72">
        <v>3.0</v>
      </c>
      <c r="F9" s="72">
        <v>1.0</v>
      </c>
      <c r="G9" s="73">
        <v>10.0</v>
      </c>
    </row>
    <row r="10">
      <c r="A10" s="74">
        <v>3.1963201E7</v>
      </c>
      <c r="B10" s="67" t="s">
        <v>320</v>
      </c>
      <c r="C10" s="68">
        <v>1.0</v>
      </c>
      <c r="D10" s="68">
        <v>1.0</v>
      </c>
      <c r="E10" s="68">
        <v>3.0</v>
      </c>
      <c r="F10" s="68">
        <v>5.0</v>
      </c>
      <c r="G10" s="69">
        <v>10.0</v>
      </c>
    </row>
    <row r="11">
      <c r="A11" s="70">
        <v>2.9895575E7</v>
      </c>
      <c r="B11" s="71" t="s">
        <v>318</v>
      </c>
      <c r="C11" s="72">
        <v>4.0</v>
      </c>
      <c r="D11" s="72">
        <v>3.0</v>
      </c>
      <c r="E11" s="72">
        <v>3.0</v>
      </c>
      <c r="F11" s="72">
        <v>6.0</v>
      </c>
      <c r="G11" s="73">
        <v>16.0</v>
      </c>
    </row>
    <row r="12">
      <c r="A12" s="74">
        <v>3.170391E7</v>
      </c>
      <c r="B12" s="67" t="s">
        <v>344</v>
      </c>
      <c r="C12" s="68">
        <v>4.0</v>
      </c>
      <c r="D12" s="68">
        <v>2.0</v>
      </c>
      <c r="E12" s="68">
        <v>3.0</v>
      </c>
      <c r="F12" s="68">
        <v>3.0</v>
      </c>
      <c r="G12" s="69">
        <v>12.0</v>
      </c>
    </row>
    <row r="13">
      <c r="A13" s="70">
        <v>3.1071592E7</v>
      </c>
      <c r="B13" s="71" t="s">
        <v>300</v>
      </c>
      <c r="C13" s="72">
        <v>3.0</v>
      </c>
      <c r="D13" s="72">
        <v>1.0</v>
      </c>
      <c r="E13" s="72">
        <v>3.0</v>
      </c>
      <c r="F13" s="72">
        <v>6.0</v>
      </c>
      <c r="G13" s="73">
        <v>13.0</v>
      </c>
    </row>
    <row r="14">
      <c r="A14" s="74">
        <v>3.0022208E7</v>
      </c>
      <c r="B14" s="67" t="s">
        <v>319</v>
      </c>
      <c r="C14" s="68">
        <v>2.0</v>
      </c>
      <c r="D14" s="68">
        <v>2.0</v>
      </c>
      <c r="E14" s="68">
        <v>3.0</v>
      </c>
      <c r="F14" s="68">
        <v>4.0</v>
      </c>
      <c r="G14" s="69">
        <v>11.0</v>
      </c>
    </row>
    <row r="15">
      <c r="A15" s="70">
        <v>3.249131E7</v>
      </c>
      <c r="B15" s="71" t="s">
        <v>336</v>
      </c>
      <c r="C15" s="72">
        <v>2.0</v>
      </c>
      <c r="D15" s="72">
        <v>1.0</v>
      </c>
      <c r="E15" s="72">
        <v>0.0</v>
      </c>
      <c r="F15" s="72">
        <v>4.0</v>
      </c>
      <c r="G15" s="73">
        <v>7.0</v>
      </c>
    </row>
    <row r="16">
      <c r="A16" s="74">
        <v>3.0030485E7</v>
      </c>
      <c r="B16" s="67" t="s">
        <v>345</v>
      </c>
      <c r="C16" s="68">
        <v>2.0</v>
      </c>
      <c r="D16" s="68">
        <v>3.0</v>
      </c>
      <c r="E16" s="68">
        <v>0.0</v>
      </c>
      <c r="F16" s="68">
        <v>6.0</v>
      </c>
      <c r="G16" s="69">
        <v>11.0</v>
      </c>
    </row>
    <row r="17">
      <c r="A17" s="70">
        <v>3.212211E7</v>
      </c>
      <c r="B17" s="71" t="s">
        <v>316</v>
      </c>
      <c r="C17" s="72">
        <v>3.0</v>
      </c>
      <c r="D17" s="72">
        <v>3.0</v>
      </c>
      <c r="E17" s="72">
        <v>3.0</v>
      </c>
      <c r="F17" s="72">
        <v>3.0</v>
      </c>
      <c r="G17" s="73">
        <v>12.0</v>
      </c>
    </row>
    <row r="18">
      <c r="A18" s="74">
        <v>3.1852058E7</v>
      </c>
      <c r="B18" s="67" t="s">
        <v>337</v>
      </c>
      <c r="C18" s="68">
        <v>4.0</v>
      </c>
      <c r="D18" s="68">
        <v>3.0</v>
      </c>
      <c r="E18" s="68">
        <v>1.0</v>
      </c>
      <c r="F18" s="68">
        <v>5.0</v>
      </c>
      <c r="G18" s="69">
        <v>11.0</v>
      </c>
    </row>
    <row r="19">
      <c r="A19" s="70">
        <v>3.2401366E7</v>
      </c>
      <c r="B19" s="71" t="s">
        <v>346</v>
      </c>
      <c r="C19" s="72">
        <v>4.0</v>
      </c>
      <c r="D19" s="72">
        <v>3.0</v>
      </c>
      <c r="E19" s="72">
        <v>3.0</v>
      </c>
      <c r="F19" s="72">
        <v>4.0</v>
      </c>
      <c r="G19" s="73">
        <v>14.0</v>
      </c>
    </row>
    <row r="20">
      <c r="A20" s="74">
        <v>3.0849611E7</v>
      </c>
      <c r="B20" s="67" t="s">
        <v>296</v>
      </c>
      <c r="C20" s="68">
        <v>4.0</v>
      </c>
      <c r="D20" s="68">
        <v>3.0</v>
      </c>
      <c r="E20" s="68">
        <v>3.0</v>
      </c>
      <c r="F20" s="68">
        <v>6.0</v>
      </c>
      <c r="G20" s="69">
        <f t="shared" ref="G20:G21" si="1">SUM(C20:F20)</f>
        <v>16</v>
      </c>
    </row>
    <row r="21">
      <c r="A21" s="70">
        <v>3.1988236E7</v>
      </c>
      <c r="B21" s="71" t="s">
        <v>302</v>
      </c>
      <c r="C21" s="72">
        <v>4.0</v>
      </c>
      <c r="D21" s="72">
        <v>1.5</v>
      </c>
      <c r="E21" s="72">
        <v>3.0</v>
      </c>
      <c r="F21" s="72">
        <v>3.5</v>
      </c>
      <c r="G21" s="73">
        <f t="shared" si="1"/>
        <v>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9.43"/>
    <col customWidth="1" min="3" max="4" width="8.29"/>
    <col customWidth="1" min="5" max="5" width="8.71"/>
    <col customWidth="1" min="6" max="6" width="6.0"/>
    <col customWidth="1" min="7" max="7" width="9.0"/>
    <col customWidth="1" min="8" max="8" width="8.29"/>
    <col customWidth="1" min="9" max="9" width="11.14"/>
    <col customWidth="1" min="10" max="10" width="7.43"/>
    <col customWidth="1" min="11" max="11" width="8.43"/>
    <col customWidth="1" min="12" max="13" width="8.29"/>
    <col customWidth="1" min="14" max="16" width="8.0"/>
    <col customWidth="1" min="17" max="17" width="6.71"/>
    <col customWidth="1" min="18" max="19" width="6.57"/>
    <col customWidth="1" min="20" max="20" width="5.86"/>
    <col customWidth="1" min="21" max="21" width="5.0"/>
    <col customWidth="1" min="22" max="22" width="6.57"/>
    <col customWidth="1" min="23" max="23" width="5.86"/>
    <col customWidth="1" min="24" max="24" width="5.0"/>
    <col customWidth="1" min="25" max="25" width="6.71"/>
    <col customWidth="1" min="26" max="26" width="5.43"/>
    <col customWidth="1" min="27" max="28" width="6.0"/>
  </cols>
  <sheetData>
    <row r="1">
      <c r="A1" s="75"/>
      <c r="B1" s="75"/>
      <c r="C1" s="75"/>
      <c r="D1" s="75"/>
      <c r="E1" s="75"/>
      <c r="F1" s="76" t="s">
        <v>347</v>
      </c>
      <c r="I1" s="77"/>
      <c r="J1" s="75"/>
      <c r="K1" s="76" t="s">
        <v>348</v>
      </c>
      <c r="M1" s="77"/>
      <c r="N1" s="78" t="s">
        <v>349</v>
      </c>
      <c r="Q1" s="76" t="s">
        <v>350</v>
      </c>
      <c r="S1" s="77"/>
      <c r="T1" s="78" t="s">
        <v>351</v>
      </c>
      <c r="W1" s="76" t="s">
        <v>352</v>
      </c>
      <c r="X1" s="77"/>
      <c r="Y1" s="78" t="s">
        <v>353</v>
      </c>
      <c r="Z1" s="77"/>
      <c r="AA1" s="79"/>
      <c r="AB1" s="79"/>
    </row>
    <row r="2">
      <c r="A2" s="80" t="s">
        <v>338</v>
      </c>
      <c r="B2" s="81" t="s">
        <v>354</v>
      </c>
      <c r="C2" s="81" t="s">
        <v>339</v>
      </c>
      <c r="D2" s="81" t="s">
        <v>355</v>
      </c>
      <c r="E2" s="81" t="s">
        <v>356</v>
      </c>
      <c r="F2" s="82" t="s">
        <v>357</v>
      </c>
      <c r="G2" s="81" t="s">
        <v>358</v>
      </c>
      <c r="H2" s="81" t="s">
        <v>359</v>
      </c>
      <c r="I2" s="83" t="s">
        <v>360</v>
      </c>
      <c r="J2" s="81" t="s">
        <v>361</v>
      </c>
      <c r="K2" s="82" t="s">
        <v>362</v>
      </c>
      <c r="L2" s="81" t="s">
        <v>363</v>
      </c>
      <c r="M2" s="83" t="s">
        <v>364</v>
      </c>
      <c r="N2" s="81" t="s">
        <v>365</v>
      </c>
      <c r="O2" s="81" t="s">
        <v>366</v>
      </c>
      <c r="P2" s="81" t="s">
        <v>367</v>
      </c>
      <c r="Q2" s="82" t="s">
        <v>368</v>
      </c>
      <c r="R2" s="81" t="s">
        <v>369</v>
      </c>
      <c r="S2" s="83" t="s">
        <v>370</v>
      </c>
      <c r="T2" s="81" t="s">
        <v>371</v>
      </c>
      <c r="U2" s="81" t="s">
        <v>372</v>
      </c>
      <c r="V2" s="81" t="s">
        <v>373</v>
      </c>
      <c r="W2" s="82" t="s">
        <v>374</v>
      </c>
      <c r="X2" s="83" t="s">
        <v>375</v>
      </c>
      <c r="Y2" s="82" t="s">
        <v>376</v>
      </c>
      <c r="Z2" s="83" t="s">
        <v>377</v>
      </c>
      <c r="AA2" s="84" t="s">
        <v>281</v>
      </c>
      <c r="AB2" s="85"/>
    </row>
    <row r="3">
      <c r="A3" s="86">
        <v>3.2121917E7</v>
      </c>
      <c r="B3" s="87" t="s">
        <v>201</v>
      </c>
      <c r="C3" s="87" t="s">
        <v>202</v>
      </c>
      <c r="D3" s="88">
        <v>4.0</v>
      </c>
      <c r="E3" s="88">
        <v>2.0</v>
      </c>
      <c r="F3" s="89">
        <v>2.0</v>
      </c>
      <c r="G3" s="90">
        <v>0.25</v>
      </c>
      <c r="H3" s="90">
        <v>0.5</v>
      </c>
      <c r="I3" s="91">
        <v>2.0</v>
      </c>
      <c r="J3" s="92">
        <v>2.0</v>
      </c>
      <c r="K3" s="93">
        <v>0.8</v>
      </c>
      <c r="L3" s="94">
        <v>2.0</v>
      </c>
      <c r="M3" s="95"/>
      <c r="N3" s="90">
        <v>1.0</v>
      </c>
      <c r="O3" s="94">
        <v>2.0</v>
      </c>
      <c r="P3" s="94">
        <v>3.0</v>
      </c>
      <c r="Q3" s="96">
        <v>0.9</v>
      </c>
      <c r="R3" s="94">
        <v>1.0</v>
      </c>
      <c r="S3" s="95"/>
      <c r="T3" s="94">
        <v>1.0</v>
      </c>
      <c r="U3" s="94">
        <v>2.0</v>
      </c>
      <c r="V3" s="97"/>
      <c r="W3" s="89">
        <v>1.0</v>
      </c>
      <c r="X3" s="98">
        <v>1.0</v>
      </c>
      <c r="Y3" s="89">
        <v>1.0</v>
      </c>
      <c r="Z3" s="98">
        <v>1.0</v>
      </c>
      <c r="AA3" s="99">
        <v>24.45</v>
      </c>
      <c r="AB3" s="100"/>
    </row>
    <row r="4">
      <c r="A4" s="101">
        <v>3.1852058E7</v>
      </c>
      <c r="B4" s="102" t="s">
        <v>135</v>
      </c>
      <c r="C4" s="102" t="s">
        <v>136</v>
      </c>
      <c r="D4" s="103">
        <v>13.0</v>
      </c>
      <c r="E4" s="103">
        <v>5.0</v>
      </c>
      <c r="F4" s="89">
        <v>2.0</v>
      </c>
      <c r="G4" s="90">
        <v>1.0</v>
      </c>
      <c r="H4" s="90">
        <v>1.5</v>
      </c>
      <c r="I4" s="91">
        <v>1.5</v>
      </c>
      <c r="J4" s="104">
        <v>1.7</v>
      </c>
      <c r="K4" s="89">
        <v>1.0</v>
      </c>
      <c r="L4" s="104">
        <v>1.9</v>
      </c>
      <c r="M4" s="105"/>
      <c r="N4" s="104">
        <v>1.0</v>
      </c>
      <c r="O4" s="104">
        <v>2.0</v>
      </c>
      <c r="P4" s="106"/>
      <c r="Q4" s="89">
        <v>1.0</v>
      </c>
      <c r="R4" s="104">
        <v>1.0</v>
      </c>
      <c r="S4" s="105"/>
      <c r="T4" s="104">
        <v>1.0</v>
      </c>
      <c r="U4" s="104">
        <v>1.8</v>
      </c>
      <c r="V4" s="92">
        <v>4.0</v>
      </c>
      <c r="W4" s="89">
        <v>1.0</v>
      </c>
      <c r="X4" s="107">
        <v>1.0</v>
      </c>
      <c r="Y4" s="108">
        <v>1.0</v>
      </c>
      <c r="Z4" s="107">
        <v>1.0</v>
      </c>
      <c r="AA4" s="109">
        <v>26.4</v>
      </c>
      <c r="AB4" s="100"/>
    </row>
    <row r="5">
      <c r="A5" s="101">
        <v>2.9666935E7</v>
      </c>
      <c r="B5" s="102" t="s">
        <v>43</v>
      </c>
      <c r="C5" s="102" t="s">
        <v>44</v>
      </c>
      <c r="D5" s="103">
        <v>6.0</v>
      </c>
      <c r="E5" s="103">
        <v>1.0</v>
      </c>
      <c r="F5" s="89">
        <v>2.0</v>
      </c>
      <c r="G5" s="90">
        <v>1.0</v>
      </c>
      <c r="H5" s="90">
        <v>1.0</v>
      </c>
      <c r="I5" s="91">
        <v>1.0</v>
      </c>
      <c r="J5" s="90">
        <v>2.0</v>
      </c>
      <c r="K5" s="89">
        <v>1.0</v>
      </c>
      <c r="L5" s="104">
        <v>1.8</v>
      </c>
      <c r="M5" s="105"/>
      <c r="N5" s="90">
        <v>1.0</v>
      </c>
      <c r="O5" s="104">
        <v>1.8</v>
      </c>
      <c r="P5" s="106"/>
      <c r="Q5" s="108">
        <v>0.25</v>
      </c>
      <c r="R5" s="104">
        <v>0.25</v>
      </c>
      <c r="S5" s="105"/>
      <c r="T5" s="104">
        <v>2.0</v>
      </c>
      <c r="U5" s="104">
        <v>1.9</v>
      </c>
      <c r="V5" s="104">
        <v>1.0</v>
      </c>
      <c r="W5" s="89">
        <v>1.0</v>
      </c>
      <c r="X5" s="107">
        <v>0.5</v>
      </c>
      <c r="Y5" s="96">
        <v>1.0</v>
      </c>
      <c r="Z5" s="110">
        <v>1.0</v>
      </c>
      <c r="AA5" s="109">
        <v>21.5</v>
      </c>
      <c r="AB5" s="100"/>
    </row>
    <row r="6">
      <c r="A6" s="101">
        <v>3.2401366E7</v>
      </c>
      <c r="B6" s="102" t="s">
        <v>193</v>
      </c>
      <c r="C6" s="102" t="s">
        <v>194</v>
      </c>
      <c r="D6" s="103">
        <v>11.0</v>
      </c>
      <c r="E6" s="103">
        <v>3.0</v>
      </c>
      <c r="F6" s="89">
        <v>1.5</v>
      </c>
      <c r="G6" s="90">
        <v>1.0</v>
      </c>
      <c r="H6" s="90">
        <v>1.0</v>
      </c>
      <c r="I6" s="91">
        <v>0.5</v>
      </c>
      <c r="J6" s="90">
        <v>1.5</v>
      </c>
      <c r="K6" s="108">
        <v>0.5</v>
      </c>
      <c r="L6" s="104">
        <v>0.0</v>
      </c>
      <c r="M6" s="105"/>
      <c r="N6" s="90">
        <v>1.0</v>
      </c>
      <c r="O6" s="104">
        <v>0.0</v>
      </c>
      <c r="P6" s="106"/>
      <c r="Q6" s="108">
        <v>0.0</v>
      </c>
      <c r="R6" s="104">
        <v>0.0</v>
      </c>
      <c r="S6" s="105"/>
      <c r="T6" s="104">
        <v>0.0</v>
      </c>
      <c r="U6" s="104">
        <v>0.0</v>
      </c>
      <c r="V6" s="106"/>
      <c r="W6" s="89">
        <v>1.0</v>
      </c>
      <c r="X6" s="107">
        <v>0.0</v>
      </c>
      <c r="Y6" s="108">
        <v>0.0</v>
      </c>
      <c r="Z6" s="107">
        <v>0.0</v>
      </c>
      <c r="AA6" s="109">
        <v>8.0</v>
      </c>
      <c r="AB6" s="100"/>
    </row>
    <row r="7">
      <c r="A7" s="86">
        <v>2.9895575E7</v>
      </c>
      <c r="B7" s="87" t="s">
        <v>242</v>
      </c>
      <c r="C7" s="87" t="s">
        <v>243</v>
      </c>
      <c r="D7" s="88">
        <v>2.0</v>
      </c>
      <c r="E7" s="88">
        <v>4.0</v>
      </c>
      <c r="F7" s="111">
        <v>45690.0</v>
      </c>
      <c r="G7" s="112">
        <v>45658.0</v>
      </c>
      <c r="H7" s="90" t="s">
        <v>378</v>
      </c>
      <c r="I7" s="91" t="s">
        <v>379</v>
      </c>
      <c r="J7" s="112">
        <v>45659.0</v>
      </c>
      <c r="K7" s="93" t="s">
        <v>380</v>
      </c>
      <c r="L7" s="113">
        <v>45659.0</v>
      </c>
      <c r="M7" s="95"/>
      <c r="N7" s="92" t="s">
        <v>381</v>
      </c>
      <c r="O7" s="94" t="s">
        <v>382</v>
      </c>
      <c r="P7" s="97"/>
      <c r="Q7" s="93" t="s">
        <v>383</v>
      </c>
      <c r="R7" s="94" t="s">
        <v>384</v>
      </c>
      <c r="S7" s="95"/>
      <c r="T7" s="94" t="s">
        <v>383</v>
      </c>
      <c r="U7" s="94" t="s">
        <v>382</v>
      </c>
      <c r="V7" s="97"/>
      <c r="W7" s="111">
        <v>45658.0</v>
      </c>
      <c r="X7" s="98" t="s">
        <v>383</v>
      </c>
      <c r="Y7" s="93" t="s">
        <v>381</v>
      </c>
      <c r="Z7" s="98" t="s">
        <v>384</v>
      </c>
      <c r="AA7" s="99">
        <v>9.0</v>
      </c>
      <c r="AB7" s="100"/>
    </row>
    <row r="8">
      <c r="A8" s="86">
        <v>3.1255343E7</v>
      </c>
      <c r="B8" s="87" t="s">
        <v>184</v>
      </c>
      <c r="C8" s="87" t="s">
        <v>185</v>
      </c>
      <c r="D8" s="88">
        <v>5.0</v>
      </c>
      <c r="E8" s="88">
        <v>6.0</v>
      </c>
      <c r="F8" s="89">
        <v>2.0</v>
      </c>
      <c r="G8" s="90">
        <v>0.0</v>
      </c>
      <c r="H8" s="90">
        <v>1.0</v>
      </c>
      <c r="I8" s="91">
        <v>1.5</v>
      </c>
      <c r="J8" s="90">
        <v>2.0</v>
      </c>
      <c r="K8" s="96">
        <v>0.75</v>
      </c>
      <c r="L8" s="94">
        <v>0.0</v>
      </c>
      <c r="M8" s="95"/>
      <c r="N8" s="92">
        <v>1.0</v>
      </c>
      <c r="O8" s="94">
        <v>0.0</v>
      </c>
      <c r="P8" s="94">
        <v>1.0</v>
      </c>
      <c r="Q8" s="93">
        <v>0.5</v>
      </c>
      <c r="R8" s="94">
        <v>0.0</v>
      </c>
      <c r="S8" s="95"/>
      <c r="T8" s="94">
        <v>1.0</v>
      </c>
      <c r="U8" s="94">
        <v>0.0</v>
      </c>
      <c r="V8" s="94">
        <v>1.0</v>
      </c>
      <c r="W8" s="93">
        <v>0.5</v>
      </c>
      <c r="X8" s="98">
        <v>0.0</v>
      </c>
      <c r="Y8" s="93">
        <v>0.5</v>
      </c>
      <c r="Z8" s="98">
        <v>0.0</v>
      </c>
      <c r="AA8" s="99">
        <v>12.75</v>
      </c>
      <c r="AB8" s="100"/>
    </row>
    <row r="9">
      <c r="A9" s="101">
        <v>3.0114012E7</v>
      </c>
      <c r="B9" s="102" t="s">
        <v>143</v>
      </c>
      <c r="C9" s="102" t="s">
        <v>44</v>
      </c>
      <c r="D9" s="103">
        <v>12.0</v>
      </c>
      <c r="E9" s="103">
        <v>7.0</v>
      </c>
      <c r="F9" s="89">
        <v>2.0</v>
      </c>
      <c r="G9" s="90">
        <v>1.0</v>
      </c>
      <c r="H9" s="90">
        <v>0.5</v>
      </c>
      <c r="I9" s="91">
        <v>0.5</v>
      </c>
      <c r="J9" s="104">
        <v>1.0</v>
      </c>
      <c r="K9" s="96">
        <v>0.75</v>
      </c>
      <c r="L9" s="92">
        <v>1.0</v>
      </c>
      <c r="M9" s="105"/>
      <c r="N9" s="90">
        <v>1.0</v>
      </c>
      <c r="O9" s="104">
        <v>1.75</v>
      </c>
      <c r="P9" s="106"/>
      <c r="Q9" s="108">
        <v>0.5</v>
      </c>
      <c r="R9" s="104">
        <v>0.5</v>
      </c>
      <c r="S9" s="105"/>
      <c r="T9" s="104">
        <v>0.75</v>
      </c>
      <c r="U9" s="104">
        <v>2.0</v>
      </c>
      <c r="V9" s="106"/>
      <c r="W9" s="108">
        <v>1.0</v>
      </c>
      <c r="X9" s="91">
        <v>1.0</v>
      </c>
      <c r="Y9" s="108">
        <v>0.5</v>
      </c>
      <c r="Z9" s="107">
        <v>1.0</v>
      </c>
      <c r="AA9" s="109">
        <v>16.75</v>
      </c>
      <c r="AB9" s="100"/>
    </row>
    <row r="10">
      <c r="A10" s="101">
        <v>3.0030485E7</v>
      </c>
      <c r="B10" s="102" t="s">
        <v>102</v>
      </c>
      <c r="C10" s="102" t="s">
        <v>103</v>
      </c>
      <c r="D10" s="103">
        <v>16.0</v>
      </c>
      <c r="E10" s="103">
        <v>9.0</v>
      </c>
      <c r="F10" s="89">
        <v>2.0</v>
      </c>
      <c r="G10" s="90">
        <v>1.0</v>
      </c>
      <c r="H10" s="90">
        <v>1.0</v>
      </c>
      <c r="I10" s="91">
        <v>1.0</v>
      </c>
      <c r="J10" s="104">
        <v>1.0</v>
      </c>
      <c r="K10" s="108">
        <v>0.75</v>
      </c>
      <c r="L10" s="90">
        <v>1.75</v>
      </c>
      <c r="M10" s="105"/>
      <c r="N10" s="104">
        <v>0.75</v>
      </c>
      <c r="O10" s="92">
        <v>1.5</v>
      </c>
      <c r="P10" s="106"/>
      <c r="Q10" s="104">
        <v>0.75</v>
      </c>
      <c r="R10" s="104">
        <v>0.0</v>
      </c>
      <c r="S10" s="107">
        <v>1.0</v>
      </c>
      <c r="T10" s="90">
        <v>0.0</v>
      </c>
      <c r="U10" s="90">
        <v>0.0</v>
      </c>
      <c r="V10" s="106"/>
      <c r="W10" s="96">
        <v>0.5</v>
      </c>
      <c r="X10" s="107">
        <v>1.0</v>
      </c>
      <c r="Y10" s="108">
        <v>1.0</v>
      </c>
      <c r="Z10" s="107">
        <v>0.5</v>
      </c>
      <c r="AA10" s="109">
        <v>15.5</v>
      </c>
      <c r="AB10" s="100"/>
    </row>
    <row r="11">
      <c r="A11" s="86">
        <v>3.170391E7</v>
      </c>
      <c r="B11" s="87" t="s">
        <v>217</v>
      </c>
      <c r="C11" s="87" t="s">
        <v>112</v>
      </c>
      <c r="D11" s="88">
        <v>14.0</v>
      </c>
      <c r="E11" s="88">
        <v>10.0</v>
      </c>
      <c r="F11" s="89">
        <v>2.0</v>
      </c>
      <c r="G11" s="90">
        <v>1.0</v>
      </c>
      <c r="H11" s="90">
        <v>1.5</v>
      </c>
      <c r="I11" s="91">
        <v>1.5</v>
      </c>
      <c r="J11" s="90">
        <v>1.0</v>
      </c>
      <c r="K11" s="89">
        <v>1.0</v>
      </c>
      <c r="L11" s="94">
        <v>1.0</v>
      </c>
      <c r="M11" s="95"/>
      <c r="N11" s="94">
        <v>1.0</v>
      </c>
      <c r="O11" s="94">
        <v>1.0</v>
      </c>
      <c r="P11" s="97"/>
      <c r="Q11" s="96">
        <v>0.5</v>
      </c>
      <c r="R11" s="94">
        <v>0.5</v>
      </c>
      <c r="S11" s="95"/>
      <c r="T11" s="92">
        <v>1.0</v>
      </c>
      <c r="U11" s="94">
        <v>2.0</v>
      </c>
      <c r="V11" s="97"/>
      <c r="W11" s="89">
        <v>1.0</v>
      </c>
      <c r="X11" s="98">
        <v>1.0</v>
      </c>
      <c r="Y11" s="96">
        <v>1.0</v>
      </c>
      <c r="Z11" s="98">
        <v>0.0</v>
      </c>
      <c r="AA11" s="99">
        <v>18.0</v>
      </c>
      <c r="AB11" s="100"/>
    </row>
    <row r="12">
      <c r="A12" s="101">
        <v>3.0849611E7</v>
      </c>
      <c r="B12" s="102" t="s">
        <v>35</v>
      </c>
      <c r="C12" s="102" t="s">
        <v>36</v>
      </c>
      <c r="D12" s="103">
        <v>1.0</v>
      </c>
      <c r="E12" s="103">
        <v>11.0</v>
      </c>
      <c r="F12" s="89">
        <v>2.0</v>
      </c>
      <c r="G12" s="90">
        <v>1.0</v>
      </c>
      <c r="H12" s="90">
        <v>2.0</v>
      </c>
      <c r="I12" s="91">
        <v>0.5</v>
      </c>
      <c r="J12" s="90">
        <v>1.5</v>
      </c>
      <c r="K12" s="96">
        <v>0.75</v>
      </c>
      <c r="L12" s="90">
        <v>2.0</v>
      </c>
      <c r="M12" s="105"/>
      <c r="N12" s="96">
        <v>0.75</v>
      </c>
      <c r="O12" s="90">
        <v>2.0</v>
      </c>
      <c r="P12" s="106"/>
      <c r="Q12" s="108">
        <v>1.0</v>
      </c>
      <c r="R12" s="90">
        <v>1.0</v>
      </c>
      <c r="S12" s="110">
        <v>1.0</v>
      </c>
      <c r="T12" s="104">
        <v>1.0</v>
      </c>
      <c r="U12" s="104">
        <v>2.0</v>
      </c>
      <c r="V12" s="92">
        <v>3.0</v>
      </c>
      <c r="W12" s="96">
        <v>1.0</v>
      </c>
      <c r="X12" s="107">
        <v>1.0</v>
      </c>
      <c r="Y12" s="108">
        <v>1.0</v>
      </c>
      <c r="Z12" s="107">
        <v>0.0</v>
      </c>
      <c r="AA12" s="109">
        <v>24.5</v>
      </c>
      <c r="AB12" s="100"/>
    </row>
    <row r="13">
      <c r="A13" s="86">
        <v>3.0598031E7</v>
      </c>
      <c r="B13" s="87" t="s">
        <v>127</v>
      </c>
      <c r="C13" s="87" t="s">
        <v>94</v>
      </c>
      <c r="D13" s="88">
        <v>3.0</v>
      </c>
      <c r="E13" s="88">
        <v>16.0</v>
      </c>
      <c r="F13" s="89">
        <v>1.75</v>
      </c>
      <c r="G13" s="90">
        <v>0.5</v>
      </c>
      <c r="H13" s="90">
        <v>2.5</v>
      </c>
      <c r="I13" s="95"/>
      <c r="J13" s="92">
        <v>1.0</v>
      </c>
      <c r="K13" s="89">
        <v>1.0</v>
      </c>
      <c r="L13" s="90">
        <v>2.0</v>
      </c>
      <c r="M13" s="95"/>
      <c r="N13" s="94">
        <v>0.75</v>
      </c>
      <c r="O13" s="94">
        <v>1.9</v>
      </c>
      <c r="P13" s="94">
        <v>3.0</v>
      </c>
      <c r="Q13" s="93">
        <v>1.0</v>
      </c>
      <c r="R13" s="94">
        <v>0.0</v>
      </c>
      <c r="S13" s="98">
        <v>2.0</v>
      </c>
      <c r="T13" s="92">
        <v>1.0</v>
      </c>
      <c r="U13" s="94">
        <v>2.0</v>
      </c>
      <c r="V13" s="97"/>
      <c r="W13" s="89">
        <v>1.0</v>
      </c>
      <c r="X13" s="98">
        <v>1.0</v>
      </c>
      <c r="Y13" s="96">
        <v>0.75</v>
      </c>
      <c r="Z13" s="98">
        <v>0.0</v>
      </c>
      <c r="AA13" s="99">
        <v>23.15</v>
      </c>
      <c r="AB13" s="100"/>
    </row>
    <row r="14">
      <c r="A14" s="86">
        <v>3.3921124E7</v>
      </c>
      <c r="B14" s="87" t="s">
        <v>209</v>
      </c>
      <c r="C14" s="87" t="s">
        <v>210</v>
      </c>
      <c r="D14" s="88">
        <v>15.0</v>
      </c>
      <c r="E14" s="88">
        <v>13.0</v>
      </c>
      <c r="F14" s="89">
        <v>2.0</v>
      </c>
      <c r="G14" s="90">
        <v>1.0</v>
      </c>
      <c r="H14" s="90">
        <v>1.5</v>
      </c>
      <c r="I14" s="91">
        <v>0.5</v>
      </c>
      <c r="J14" s="97"/>
      <c r="K14" s="93">
        <v>0.75</v>
      </c>
      <c r="L14" s="92">
        <v>1.5</v>
      </c>
      <c r="M14" s="95"/>
      <c r="N14" s="94">
        <v>0.5</v>
      </c>
      <c r="O14" s="92">
        <v>1.0</v>
      </c>
      <c r="P14" s="97"/>
      <c r="Q14" s="93">
        <v>0.0</v>
      </c>
      <c r="R14" s="92">
        <v>0.5</v>
      </c>
      <c r="S14" s="95"/>
      <c r="T14" s="94">
        <v>0.0</v>
      </c>
      <c r="U14" s="94">
        <v>0.0</v>
      </c>
      <c r="V14" s="97"/>
      <c r="W14" s="89">
        <v>1.0</v>
      </c>
      <c r="X14" s="95"/>
      <c r="Y14" s="89">
        <v>0.0</v>
      </c>
      <c r="Z14" s="98">
        <v>0.0</v>
      </c>
      <c r="AA14" s="99">
        <v>10.25</v>
      </c>
      <c r="AB14" s="100"/>
    </row>
    <row r="15">
      <c r="A15" s="101">
        <v>3.1963201E7</v>
      </c>
      <c r="B15" s="102" t="s">
        <v>267</v>
      </c>
      <c r="C15" s="102" t="s">
        <v>268</v>
      </c>
      <c r="D15" s="103">
        <v>18.0</v>
      </c>
      <c r="E15" s="103">
        <v>14.0</v>
      </c>
      <c r="F15" s="89">
        <v>1.0</v>
      </c>
      <c r="G15" s="90">
        <v>1.0</v>
      </c>
      <c r="H15" s="90">
        <v>1.0</v>
      </c>
      <c r="I15" s="91">
        <v>1.5</v>
      </c>
      <c r="J15" s="90">
        <v>2.0</v>
      </c>
      <c r="K15" s="108">
        <v>0.5</v>
      </c>
      <c r="L15" s="104">
        <v>1.0</v>
      </c>
      <c r="M15" s="105"/>
      <c r="N15" s="104">
        <v>0.75</v>
      </c>
      <c r="O15" s="104">
        <v>1.5</v>
      </c>
      <c r="P15" s="106"/>
      <c r="Q15" s="108">
        <v>0.0</v>
      </c>
      <c r="R15" s="104">
        <v>0.0</v>
      </c>
      <c r="S15" s="105"/>
      <c r="T15" s="104">
        <v>1.0</v>
      </c>
      <c r="U15" s="104">
        <v>2.0</v>
      </c>
      <c r="V15" s="106"/>
      <c r="W15" s="89">
        <v>1.0</v>
      </c>
      <c r="X15" s="107">
        <v>1.0</v>
      </c>
      <c r="Y15" s="108">
        <v>0.5</v>
      </c>
      <c r="Z15" s="107">
        <v>1.0</v>
      </c>
      <c r="AA15" s="109">
        <v>16.75</v>
      </c>
      <c r="AB15" s="100"/>
    </row>
    <row r="16">
      <c r="A16" s="101">
        <v>3.212211E7</v>
      </c>
      <c r="B16" s="102" t="s">
        <v>225</v>
      </c>
      <c r="C16" s="102" t="s">
        <v>226</v>
      </c>
      <c r="D16" s="103">
        <v>22.0</v>
      </c>
      <c r="E16" s="103">
        <v>17.0</v>
      </c>
      <c r="F16" s="89">
        <v>1.75</v>
      </c>
      <c r="G16" s="90">
        <v>1.0</v>
      </c>
      <c r="H16" s="90">
        <v>1.0</v>
      </c>
      <c r="I16" s="105"/>
      <c r="J16" s="104">
        <v>2.0</v>
      </c>
      <c r="K16" s="108">
        <v>0.5</v>
      </c>
      <c r="L16" s="104">
        <v>1.0</v>
      </c>
      <c r="M16" s="105"/>
      <c r="N16" s="90">
        <v>1.0</v>
      </c>
      <c r="O16" s="104">
        <v>0.5</v>
      </c>
      <c r="P16" s="106"/>
      <c r="Q16" s="108">
        <v>0.0</v>
      </c>
      <c r="R16" s="104">
        <v>0.0</v>
      </c>
      <c r="S16" s="105"/>
      <c r="T16" s="104">
        <v>0.0</v>
      </c>
      <c r="U16" s="104">
        <v>0.0</v>
      </c>
      <c r="V16" s="106"/>
      <c r="W16" s="89">
        <v>1.0</v>
      </c>
      <c r="X16" s="107">
        <v>1.0</v>
      </c>
      <c r="Y16" s="108">
        <v>0.0</v>
      </c>
      <c r="Z16" s="107">
        <v>0.0</v>
      </c>
      <c r="AA16" s="109">
        <v>10.75</v>
      </c>
      <c r="AB16" s="100"/>
    </row>
    <row r="17">
      <c r="A17" s="101">
        <v>3.0022208E7</v>
      </c>
      <c r="B17" s="102" t="s">
        <v>260</v>
      </c>
      <c r="C17" s="102" t="s">
        <v>61</v>
      </c>
      <c r="D17" s="103">
        <v>17.0</v>
      </c>
      <c r="E17" s="114"/>
      <c r="F17" s="108">
        <v>2.0</v>
      </c>
      <c r="G17" s="104">
        <v>1.0</v>
      </c>
      <c r="H17" s="104">
        <v>0.5</v>
      </c>
      <c r="I17" s="107">
        <v>1.0</v>
      </c>
      <c r="J17" s="92">
        <v>0.75</v>
      </c>
      <c r="K17" s="89">
        <v>0.75</v>
      </c>
      <c r="L17" s="104">
        <v>1.0</v>
      </c>
      <c r="M17" s="105"/>
      <c r="N17" s="104">
        <v>0.5</v>
      </c>
      <c r="O17" s="104">
        <v>1.0</v>
      </c>
      <c r="P17" s="106"/>
      <c r="Q17" s="108">
        <v>0.5</v>
      </c>
      <c r="R17" s="104">
        <v>0.75</v>
      </c>
      <c r="S17" s="105"/>
      <c r="T17" s="90">
        <v>0.0</v>
      </c>
      <c r="U17" s="90">
        <v>0.0</v>
      </c>
      <c r="V17" s="106"/>
      <c r="W17" s="108">
        <v>0.5</v>
      </c>
      <c r="X17" s="107">
        <v>1.0</v>
      </c>
      <c r="Y17" s="89">
        <v>1.0</v>
      </c>
      <c r="Z17" s="107">
        <v>0.75</v>
      </c>
      <c r="AA17" s="109">
        <v>13.0</v>
      </c>
      <c r="AB17" s="100"/>
    </row>
    <row r="18">
      <c r="A18" s="86">
        <v>3.2242412E7</v>
      </c>
      <c r="B18" s="87" t="s">
        <v>118</v>
      </c>
      <c r="C18" s="87" t="s">
        <v>119</v>
      </c>
      <c r="D18" s="88">
        <v>7.0</v>
      </c>
      <c r="E18" s="115"/>
      <c r="F18" s="93">
        <v>2.0</v>
      </c>
      <c r="G18" s="94">
        <v>1.0</v>
      </c>
      <c r="H18" s="94">
        <v>0.5</v>
      </c>
      <c r="I18" s="98">
        <v>3.0</v>
      </c>
      <c r="J18" s="97"/>
      <c r="K18" s="93">
        <v>0.5</v>
      </c>
      <c r="L18" s="94">
        <v>0.0</v>
      </c>
      <c r="M18" s="95"/>
      <c r="N18" s="94">
        <v>0.25</v>
      </c>
      <c r="O18" s="94">
        <v>1.0</v>
      </c>
      <c r="P18" s="97"/>
      <c r="Q18" s="93">
        <v>0.5</v>
      </c>
      <c r="R18" s="94">
        <v>0.5</v>
      </c>
      <c r="S18" s="95"/>
      <c r="T18" s="94">
        <v>0.25</v>
      </c>
      <c r="U18" s="94">
        <v>0.0</v>
      </c>
      <c r="V18" s="97"/>
      <c r="W18" s="93">
        <v>0.75</v>
      </c>
      <c r="X18" s="98">
        <v>0.5</v>
      </c>
      <c r="Y18" s="93">
        <v>0.0</v>
      </c>
      <c r="Z18" s="98">
        <v>0.5</v>
      </c>
      <c r="AA18" s="99">
        <f>sum(F18:Z18)</f>
        <v>11.25</v>
      </c>
      <c r="AB18" s="100"/>
    </row>
    <row r="19">
      <c r="A19" s="86">
        <v>3.249131E7</v>
      </c>
      <c r="B19" s="87" t="s">
        <v>76</v>
      </c>
      <c r="C19" s="87" t="s">
        <v>77</v>
      </c>
      <c r="D19" s="88">
        <v>19.0</v>
      </c>
      <c r="E19" s="115"/>
      <c r="F19" s="93">
        <v>2.0</v>
      </c>
      <c r="G19" s="94">
        <v>1.0</v>
      </c>
      <c r="H19" s="94">
        <v>0.5</v>
      </c>
      <c r="I19" s="98">
        <v>1.5</v>
      </c>
      <c r="J19" s="94">
        <v>1.5</v>
      </c>
      <c r="K19" s="93">
        <v>0.5</v>
      </c>
      <c r="L19" s="94">
        <v>0.0</v>
      </c>
      <c r="M19" s="95"/>
      <c r="N19" s="94">
        <v>0.5</v>
      </c>
      <c r="O19" s="94">
        <v>0.0</v>
      </c>
      <c r="P19" s="94">
        <v>1.0</v>
      </c>
      <c r="Q19" s="93">
        <v>0.5</v>
      </c>
      <c r="R19" s="94">
        <v>0.0</v>
      </c>
      <c r="S19" s="98">
        <v>1.0</v>
      </c>
      <c r="T19" s="94">
        <v>0.5</v>
      </c>
      <c r="U19" s="94">
        <v>0.0</v>
      </c>
      <c r="V19" s="97"/>
      <c r="W19" s="93">
        <v>0.5</v>
      </c>
      <c r="X19" s="98">
        <v>0.0</v>
      </c>
      <c r="Y19" s="93">
        <v>0.25</v>
      </c>
      <c r="Z19" s="98">
        <v>0.0</v>
      </c>
      <c r="AA19" s="99">
        <v>11.25</v>
      </c>
      <c r="AB19" s="116"/>
    </row>
    <row r="20">
      <c r="A20" s="101">
        <v>3.1423E7</v>
      </c>
      <c r="B20" s="102" t="s">
        <v>167</v>
      </c>
      <c r="C20" s="102" t="s">
        <v>168</v>
      </c>
      <c r="D20" s="103">
        <v>20.0</v>
      </c>
      <c r="E20" s="114"/>
      <c r="F20" s="108">
        <v>0.0</v>
      </c>
      <c r="G20" s="104">
        <v>0.0</v>
      </c>
      <c r="H20" s="104">
        <v>0.0</v>
      </c>
      <c r="I20" s="107">
        <v>0.0</v>
      </c>
      <c r="J20" s="104">
        <v>0.0</v>
      </c>
      <c r="K20" s="108">
        <v>0.5</v>
      </c>
      <c r="L20" s="104">
        <v>0.5</v>
      </c>
      <c r="M20" s="105"/>
      <c r="N20" s="104">
        <v>0.0</v>
      </c>
      <c r="O20" s="104">
        <v>0.0</v>
      </c>
      <c r="P20" s="106"/>
      <c r="Q20" s="108">
        <v>0.0</v>
      </c>
      <c r="R20" s="104">
        <v>0.0</v>
      </c>
      <c r="S20" s="105"/>
      <c r="T20" s="104">
        <v>0.0</v>
      </c>
      <c r="U20" s="104">
        <v>0.0</v>
      </c>
      <c r="V20" s="106"/>
      <c r="W20" s="108">
        <v>0.5</v>
      </c>
      <c r="X20" s="107">
        <v>1.0</v>
      </c>
      <c r="Y20" s="108">
        <v>0.0</v>
      </c>
      <c r="Z20" s="107">
        <v>0.0</v>
      </c>
      <c r="AA20" s="117">
        <v>2.5</v>
      </c>
    </row>
    <row r="21">
      <c r="A21" s="118">
        <v>3.1988236E7</v>
      </c>
      <c r="B21" s="119" t="s">
        <v>84</v>
      </c>
      <c r="C21" s="119" t="s">
        <v>85</v>
      </c>
      <c r="D21" s="120">
        <v>21.0</v>
      </c>
      <c r="E21" s="121"/>
      <c r="F21" s="122">
        <v>2.0</v>
      </c>
      <c r="G21" s="123">
        <v>1.0</v>
      </c>
      <c r="H21" s="123">
        <v>0.25</v>
      </c>
      <c r="I21" s="124">
        <v>0.5</v>
      </c>
      <c r="J21" s="123">
        <v>0.0</v>
      </c>
      <c r="K21" s="122">
        <v>0.5</v>
      </c>
      <c r="L21" s="123">
        <v>1.0</v>
      </c>
      <c r="M21" s="125"/>
      <c r="N21" s="123">
        <v>0.75</v>
      </c>
      <c r="O21" s="123">
        <v>1.0</v>
      </c>
      <c r="P21" s="123">
        <v>1.0</v>
      </c>
      <c r="Q21" s="122">
        <v>0.75</v>
      </c>
      <c r="R21" s="123">
        <v>0.0</v>
      </c>
      <c r="S21" s="125"/>
      <c r="T21" s="123">
        <v>0.0</v>
      </c>
      <c r="U21" s="123">
        <v>0.0</v>
      </c>
      <c r="V21" s="126"/>
      <c r="W21" s="122">
        <v>0.0</v>
      </c>
      <c r="X21" s="124">
        <v>0.0</v>
      </c>
      <c r="Y21" s="122">
        <v>0.0</v>
      </c>
      <c r="Z21" s="124">
        <v>1.0</v>
      </c>
      <c r="AA21" s="127">
        <v>9.75</v>
      </c>
    </row>
  </sheetData>
  <mergeCells count="7">
    <mergeCell ref="F1:I1"/>
    <mergeCell ref="K1:M1"/>
    <mergeCell ref="N1:P1"/>
    <mergeCell ref="Q1:S1"/>
    <mergeCell ref="T1:V1"/>
    <mergeCell ref="W1:X1"/>
    <mergeCell ref="Y1:Z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sheetData>
    <row r="1">
      <c r="A1" s="128" t="s">
        <v>19</v>
      </c>
      <c r="B1" s="128" t="s">
        <v>339</v>
      </c>
      <c r="C1" s="129" t="s">
        <v>385</v>
      </c>
      <c r="D1" s="129" t="s">
        <v>386</v>
      </c>
      <c r="E1" s="129" t="s">
        <v>387</v>
      </c>
      <c r="F1" s="129" t="s">
        <v>388</v>
      </c>
      <c r="G1" s="129" t="s">
        <v>389</v>
      </c>
      <c r="H1" s="129" t="s">
        <v>390</v>
      </c>
      <c r="I1" s="129" t="s">
        <v>391</v>
      </c>
      <c r="J1" s="129" t="s">
        <v>392</v>
      </c>
      <c r="K1" s="129" t="s">
        <v>393</v>
      </c>
      <c r="L1" s="129" t="s">
        <v>394</v>
      </c>
      <c r="M1" s="129" t="s">
        <v>395</v>
      </c>
      <c r="N1" s="129" t="s">
        <v>396</v>
      </c>
      <c r="O1" s="129" t="s">
        <v>397</v>
      </c>
      <c r="P1" s="129" t="s">
        <v>398</v>
      </c>
      <c r="Q1" s="130" t="s">
        <v>399</v>
      </c>
    </row>
    <row r="2">
      <c r="A2" s="129" t="s">
        <v>400</v>
      </c>
      <c r="B2" s="129" t="s">
        <v>401</v>
      </c>
      <c r="C2" s="131">
        <v>16.0</v>
      </c>
      <c r="D2" s="131">
        <v>16.33</v>
      </c>
      <c r="E2" s="131">
        <v>12.0</v>
      </c>
      <c r="F2" s="131">
        <v>10.0</v>
      </c>
      <c r="G2" s="132"/>
      <c r="H2" s="132"/>
      <c r="I2" s="132"/>
      <c r="J2" s="131">
        <v>10.0</v>
      </c>
      <c r="K2" s="131">
        <v>14.0</v>
      </c>
      <c r="L2" s="131">
        <v>13.5</v>
      </c>
      <c r="M2" s="132"/>
      <c r="N2" s="132"/>
      <c r="O2" s="132"/>
      <c r="P2" s="132"/>
      <c r="Q2" s="133">
        <f t="shared" ref="Q2:Q31" si="1">sum(C2:P2)/counta(C$1:P$1)</f>
        <v>6.559285714</v>
      </c>
    </row>
    <row r="3">
      <c r="A3" s="129" t="s">
        <v>402</v>
      </c>
      <c r="B3" s="129" t="s">
        <v>403</v>
      </c>
      <c r="C3" s="134">
        <v>15.33</v>
      </c>
      <c r="D3" s="134">
        <v>20.0</v>
      </c>
      <c r="E3" s="134">
        <v>10.0</v>
      </c>
      <c r="F3" s="134">
        <v>13.0</v>
      </c>
      <c r="G3" s="134">
        <v>0.0</v>
      </c>
      <c r="H3" s="134">
        <v>12.0</v>
      </c>
      <c r="I3" s="134">
        <v>14.0</v>
      </c>
      <c r="J3" s="134">
        <v>10.0</v>
      </c>
      <c r="K3" s="134">
        <v>13.0</v>
      </c>
      <c r="L3" s="134">
        <v>20.0</v>
      </c>
      <c r="M3" s="134">
        <v>20.0</v>
      </c>
      <c r="N3" s="134">
        <v>10.0</v>
      </c>
      <c r="O3" s="134">
        <v>14.0</v>
      </c>
      <c r="P3" s="135"/>
      <c r="Q3" s="133">
        <f t="shared" si="1"/>
        <v>12.23785714</v>
      </c>
    </row>
    <row r="4">
      <c r="A4" s="129" t="s">
        <v>404</v>
      </c>
      <c r="B4" s="129" t="s">
        <v>405</v>
      </c>
      <c r="C4" s="131">
        <v>18.0</v>
      </c>
      <c r="D4" s="131">
        <v>17.0</v>
      </c>
      <c r="E4" s="131">
        <v>18.0</v>
      </c>
      <c r="F4" s="131">
        <v>20.0</v>
      </c>
      <c r="G4" s="131">
        <v>18.0</v>
      </c>
      <c r="H4" s="131">
        <v>18.0</v>
      </c>
      <c r="I4" s="131">
        <v>20.0</v>
      </c>
      <c r="J4" s="131">
        <v>19.0</v>
      </c>
      <c r="K4" s="131">
        <v>16.0</v>
      </c>
      <c r="L4" s="131">
        <v>10.0</v>
      </c>
      <c r="M4" s="131">
        <v>18.0</v>
      </c>
      <c r="N4" s="131">
        <v>18.0</v>
      </c>
      <c r="O4" s="131">
        <v>16.0</v>
      </c>
      <c r="P4" s="131">
        <v>18.0</v>
      </c>
      <c r="Q4" s="133">
        <f t="shared" si="1"/>
        <v>17.42857143</v>
      </c>
    </row>
    <row r="5">
      <c r="A5" s="129" t="s">
        <v>406</v>
      </c>
      <c r="B5" s="129" t="s">
        <v>407</v>
      </c>
      <c r="C5" s="134">
        <v>16.0</v>
      </c>
      <c r="D5" s="134">
        <v>17.0</v>
      </c>
      <c r="E5" s="134">
        <v>14.0</v>
      </c>
      <c r="F5" s="134">
        <v>17.5</v>
      </c>
      <c r="G5" s="134">
        <v>16.0</v>
      </c>
      <c r="H5" s="134">
        <v>18.0</v>
      </c>
      <c r="I5" s="134">
        <v>14.0</v>
      </c>
      <c r="J5" s="134">
        <v>15.0</v>
      </c>
      <c r="K5" s="134">
        <v>16.0</v>
      </c>
      <c r="L5" s="134">
        <v>20.0</v>
      </c>
      <c r="M5" s="134">
        <v>16.0</v>
      </c>
      <c r="N5" s="134">
        <v>14.0</v>
      </c>
      <c r="O5" s="135"/>
      <c r="P5" s="135"/>
      <c r="Q5" s="133">
        <f t="shared" si="1"/>
        <v>13.82142857</v>
      </c>
    </row>
    <row r="6">
      <c r="A6" s="129" t="s">
        <v>408</v>
      </c>
      <c r="B6" s="129" t="s">
        <v>409</v>
      </c>
      <c r="C6" s="131">
        <v>14.0</v>
      </c>
      <c r="D6" s="131">
        <v>10.33</v>
      </c>
      <c r="E6" s="131">
        <v>15.0</v>
      </c>
      <c r="F6" s="131">
        <v>10.0</v>
      </c>
      <c r="G6" s="131">
        <v>10.0</v>
      </c>
      <c r="H6" s="131">
        <v>10.0</v>
      </c>
      <c r="I6" s="131">
        <v>10.0</v>
      </c>
      <c r="J6" s="131">
        <v>18.0</v>
      </c>
      <c r="K6" s="131">
        <v>12.0</v>
      </c>
      <c r="L6" s="131">
        <v>16.0</v>
      </c>
      <c r="M6" s="131">
        <v>16.0</v>
      </c>
      <c r="N6" s="131">
        <v>10.0</v>
      </c>
      <c r="O6" s="131">
        <v>10.0</v>
      </c>
      <c r="P6" s="131">
        <v>10.0</v>
      </c>
      <c r="Q6" s="133">
        <f t="shared" si="1"/>
        <v>12.23785714</v>
      </c>
    </row>
    <row r="7">
      <c r="A7" s="129" t="s">
        <v>410</v>
      </c>
      <c r="B7" s="129" t="s">
        <v>411</v>
      </c>
      <c r="C7" s="134">
        <v>12.0</v>
      </c>
      <c r="D7" s="134">
        <v>14.0</v>
      </c>
      <c r="E7" s="134">
        <v>12.0</v>
      </c>
      <c r="F7" s="134">
        <v>10.0</v>
      </c>
      <c r="G7" s="134">
        <v>18.0</v>
      </c>
      <c r="H7" s="134">
        <v>10.0</v>
      </c>
      <c r="I7" s="134">
        <v>10.0</v>
      </c>
      <c r="J7" s="134">
        <v>10.0</v>
      </c>
      <c r="K7" s="134">
        <v>10.0</v>
      </c>
      <c r="L7" s="134">
        <v>12.0</v>
      </c>
      <c r="M7" s="134">
        <v>15.0</v>
      </c>
      <c r="N7" s="134">
        <v>14.0</v>
      </c>
      <c r="O7" s="135"/>
      <c r="P7" s="134">
        <v>14.0</v>
      </c>
      <c r="Q7" s="133">
        <f t="shared" si="1"/>
        <v>11.5</v>
      </c>
    </row>
    <row r="8">
      <c r="A8" s="129" t="s">
        <v>71</v>
      </c>
      <c r="B8" s="129" t="s">
        <v>412</v>
      </c>
      <c r="C8" s="131">
        <v>18.0</v>
      </c>
      <c r="D8" s="131">
        <v>14.33</v>
      </c>
      <c r="E8" s="131">
        <v>18.0</v>
      </c>
      <c r="F8" s="131">
        <v>17.0</v>
      </c>
      <c r="G8" s="131">
        <v>18.0</v>
      </c>
      <c r="H8" s="131">
        <v>18.0</v>
      </c>
      <c r="I8" s="131">
        <v>14.0</v>
      </c>
      <c r="J8" s="131">
        <v>15.0</v>
      </c>
      <c r="K8" s="131">
        <v>18.0</v>
      </c>
      <c r="L8" s="131">
        <v>10.0</v>
      </c>
      <c r="M8" s="131">
        <v>16.0</v>
      </c>
      <c r="N8" s="131">
        <v>10.0</v>
      </c>
      <c r="O8" s="131">
        <v>10.0</v>
      </c>
      <c r="P8" s="131">
        <v>10.0</v>
      </c>
      <c r="Q8" s="133">
        <f t="shared" si="1"/>
        <v>14.73785714</v>
      </c>
    </row>
    <row r="9">
      <c r="A9" s="129" t="s">
        <v>413</v>
      </c>
      <c r="B9" s="129" t="s">
        <v>414</v>
      </c>
      <c r="C9" s="134">
        <v>16.0</v>
      </c>
      <c r="D9" s="134">
        <v>17.0</v>
      </c>
      <c r="E9" s="134">
        <v>12.0</v>
      </c>
      <c r="F9" s="134">
        <v>15.5</v>
      </c>
      <c r="G9" s="134">
        <v>18.0</v>
      </c>
      <c r="H9" s="134">
        <v>15.5</v>
      </c>
      <c r="I9" s="134">
        <v>14.0</v>
      </c>
      <c r="J9" s="134">
        <v>10.0</v>
      </c>
      <c r="K9" s="134">
        <v>11.6</v>
      </c>
      <c r="L9" s="134">
        <v>10.0</v>
      </c>
      <c r="M9" s="134">
        <v>10.0</v>
      </c>
      <c r="N9" s="134">
        <v>10.0</v>
      </c>
      <c r="O9" s="134">
        <v>10.0</v>
      </c>
      <c r="P9" s="134">
        <v>10.0</v>
      </c>
      <c r="Q9" s="133">
        <f t="shared" si="1"/>
        <v>12.82857143</v>
      </c>
    </row>
    <row r="10">
      <c r="A10" s="129" t="s">
        <v>415</v>
      </c>
      <c r="B10" s="129" t="s">
        <v>416</v>
      </c>
      <c r="C10" s="131">
        <v>18.67</v>
      </c>
      <c r="D10" s="131">
        <v>17.0</v>
      </c>
      <c r="E10" s="131">
        <v>15.0</v>
      </c>
      <c r="F10" s="131">
        <v>14.0</v>
      </c>
      <c r="G10" s="131">
        <v>18.0</v>
      </c>
      <c r="H10" s="131">
        <v>12.5</v>
      </c>
      <c r="I10" s="131">
        <v>18.0</v>
      </c>
      <c r="J10" s="131">
        <v>18.0</v>
      </c>
      <c r="K10" s="131">
        <v>19.0</v>
      </c>
      <c r="L10" s="131">
        <v>18.5</v>
      </c>
      <c r="M10" s="131">
        <v>18.0</v>
      </c>
      <c r="N10" s="131">
        <v>16.0</v>
      </c>
      <c r="O10" s="131">
        <v>14.0</v>
      </c>
      <c r="P10" s="131">
        <v>20.0</v>
      </c>
      <c r="Q10" s="133">
        <f t="shared" si="1"/>
        <v>16.905</v>
      </c>
    </row>
    <row r="11">
      <c r="A11" s="129" t="s">
        <v>417</v>
      </c>
      <c r="B11" s="129" t="s">
        <v>418</v>
      </c>
      <c r="C11" s="134">
        <v>20.0</v>
      </c>
      <c r="D11" s="134">
        <v>19.0</v>
      </c>
      <c r="E11" s="134">
        <v>16.0</v>
      </c>
      <c r="F11" s="134">
        <v>16.0</v>
      </c>
      <c r="G11" s="134">
        <v>18.0</v>
      </c>
      <c r="H11" s="134">
        <v>20.0</v>
      </c>
      <c r="I11" s="134">
        <v>16.0</v>
      </c>
      <c r="J11" s="134">
        <v>19.0</v>
      </c>
      <c r="K11" s="134">
        <v>19.0</v>
      </c>
      <c r="L11" s="134">
        <v>19.6</v>
      </c>
      <c r="M11" s="134">
        <v>16.0</v>
      </c>
      <c r="N11" s="134">
        <v>14.0</v>
      </c>
      <c r="O11" s="135"/>
      <c r="P11" s="135"/>
      <c r="Q11" s="133">
        <f t="shared" si="1"/>
        <v>15.18571429</v>
      </c>
    </row>
    <row r="12">
      <c r="A12" s="129" t="s">
        <v>105</v>
      </c>
      <c r="B12" s="129" t="s">
        <v>419</v>
      </c>
      <c r="C12" s="131">
        <v>18.0</v>
      </c>
      <c r="D12" s="131">
        <v>19.0</v>
      </c>
      <c r="E12" s="131">
        <v>13.0</v>
      </c>
      <c r="F12" s="131">
        <v>19.5</v>
      </c>
      <c r="G12" s="131">
        <v>20.0</v>
      </c>
      <c r="H12" s="131">
        <v>20.0</v>
      </c>
      <c r="I12" s="131">
        <v>18.0</v>
      </c>
      <c r="J12" s="131">
        <v>14.0</v>
      </c>
      <c r="K12" s="131">
        <v>15.0</v>
      </c>
      <c r="L12" s="131">
        <v>18.0</v>
      </c>
      <c r="M12" s="131">
        <v>16.0</v>
      </c>
      <c r="N12" s="131">
        <v>20.0</v>
      </c>
      <c r="O12" s="131">
        <v>18.0</v>
      </c>
      <c r="P12" s="131">
        <v>14.0</v>
      </c>
      <c r="Q12" s="133">
        <f t="shared" si="1"/>
        <v>17.32142857</v>
      </c>
    </row>
    <row r="13">
      <c r="A13" s="129" t="s">
        <v>420</v>
      </c>
      <c r="B13" s="129" t="s">
        <v>421</v>
      </c>
      <c r="C13" s="134">
        <v>20.0</v>
      </c>
      <c r="D13" s="134">
        <v>0.0</v>
      </c>
      <c r="E13" s="134">
        <v>15.0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3">
        <f t="shared" si="1"/>
        <v>2.5</v>
      </c>
    </row>
    <row r="14">
      <c r="A14" s="129" t="s">
        <v>422</v>
      </c>
      <c r="B14" s="129" t="s">
        <v>423</v>
      </c>
      <c r="C14" s="131">
        <v>14.0</v>
      </c>
      <c r="D14" s="131">
        <v>13.0</v>
      </c>
      <c r="E14" s="131">
        <v>15.0</v>
      </c>
      <c r="F14" s="131">
        <v>11.0</v>
      </c>
      <c r="G14" s="131">
        <v>13.0</v>
      </c>
      <c r="H14" s="131">
        <v>16.0</v>
      </c>
      <c r="I14" s="131">
        <v>18.0</v>
      </c>
      <c r="J14" s="131">
        <v>18.0</v>
      </c>
      <c r="K14" s="131">
        <v>17.0</v>
      </c>
      <c r="L14" s="131">
        <v>18.67</v>
      </c>
      <c r="M14" s="131">
        <v>18.0</v>
      </c>
      <c r="N14" s="131">
        <v>18.0</v>
      </c>
      <c r="O14" s="131">
        <v>16.0</v>
      </c>
      <c r="P14" s="131">
        <v>14.0</v>
      </c>
      <c r="Q14" s="133">
        <f t="shared" si="1"/>
        <v>15.69071429</v>
      </c>
    </row>
    <row r="15">
      <c r="A15" s="129" t="s">
        <v>424</v>
      </c>
      <c r="B15" s="129" t="s">
        <v>425</v>
      </c>
      <c r="C15" s="134">
        <v>14.0</v>
      </c>
      <c r="D15" s="134">
        <v>15.0</v>
      </c>
      <c r="E15" s="134">
        <v>12.0</v>
      </c>
      <c r="F15" s="134">
        <v>9.5</v>
      </c>
      <c r="G15" s="134">
        <v>16.0</v>
      </c>
      <c r="H15" s="134">
        <v>18.0</v>
      </c>
      <c r="I15" s="134">
        <v>10.0</v>
      </c>
      <c r="J15" s="134">
        <v>19.33</v>
      </c>
      <c r="K15" s="134">
        <v>18.0</v>
      </c>
      <c r="L15" s="134">
        <v>19.6</v>
      </c>
      <c r="M15" s="134">
        <v>20.0</v>
      </c>
      <c r="N15" s="134">
        <v>18.0</v>
      </c>
      <c r="O15" s="134">
        <v>18.0</v>
      </c>
      <c r="P15" s="134">
        <v>18.0</v>
      </c>
      <c r="Q15" s="133">
        <f t="shared" si="1"/>
        <v>16.10214286</v>
      </c>
    </row>
    <row r="16">
      <c r="A16" s="129" t="s">
        <v>139</v>
      </c>
      <c r="B16" s="129" t="s">
        <v>426</v>
      </c>
      <c r="C16" s="131">
        <v>20.0</v>
      </c>
      <c r="D16" s="131">
        <v>16.67</v>
      </c>
      <c r="E16" s="131">
        <v>16.0</v>
      </c>
      <c r="F16" s="131">
        <v>20.0</v>
      </c>
      <c r="G16" s="131">
        <v>18.0</v>
      </c>
      <c r="H16" s="131">
        <v>20.0</v>
      </c>
      <c r="I16" s="131">
        <v>20.0</v>
      </c>
      <c r="J16" s="131">
        <v>14.0</v>
      </c>
      <c r="K16" s="131">
        <v>19.0</v>
      </c>
      <c r="L16" s="131">
        <v>17.33</v>
      </c>
      <c r="M16" s="131">
        <v>18.0</v>
      </c>
      <c r="N16" s="131">
        <v>18.0</v>
      </c>
      <c r="O16" s="131">
        <v>20.0</v>
      </c>
      <c r="P16" s="131">
        <v>20.0</v>
      </c>
      <c r="Q16" s="133">
        <f t="shared" si="1"/>
        <v>18.35714286</v>
      </c>
    </row>
    <row r="17">
      <c r="A17" s="129" t="s">
        <v>153</v>
      </c>
      <c r="B17" s="129" t="s">
        <v>427</v>
      </c>
      <c r="C17" s="134">
        <v>16.0</v>
      </c>
      <c r="D17" s="134">
        <v>15.0</v>
      </c>
      <c r="E17" s="134">
        <v>10.0</v>
      </c>
      <c r="F17" s="134">
        <v>10.0</v>
      </c>
      <c r="G17" s="134">
        <v>12.0</v>
      </c>
      <c r="H17" s="134">
        <v>13.5</v>
      </c>
      <c r="I17" s="134">
        <v>14.0</v>
      </c>
      <c r="J17" s="135"/>
      <c r="K17" s="135"/>
      <c r="L17" s="135"/>
      <c r="M17" s="135"/>
      <c r="N17" s="135"/>
      <c r="O17" s="135"/>
      <c r="P17" s="135"/>
      <c r="Q17" s="133">
        <f t="shared" si="1"/>
        <v>6.464285714</v>
      </c>
    </row>
    <row r="18">
      <c r="A18" s="129" t="s">
        <v>162</v>
      </c>
      <c r="B18" s="129" t="s">
        <v>428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3">
        <f t="shared" si="1"/>
        <v>0</v>
      </c>
    </row>
    <row r="19">
      <c r="A19" s="129" t="s">
        <v>171</v>
      </c>
      <c r="B19" s="129" t="s">
        <v>429</v>
      </c>
      <c r="C19" s="134">
        <v>16.0</v>
      </c>
      <c r="D19" s="134">
        <v>17.0</v>
      </c>
      <c r="E19" s="134">
        <v>18.0</v>
      </c>
      <c r="F19" s="134">
        <v>14.0</v>
      </c>
      <c r="G19" s="134">
        <v>18.0</v>
      </c>
      <c r="H19" s="134">
        <v>16.5</v>
      </c>
      <c r="I19" s="134">
        <v>16.0</v>
      </c>
      <c r="J19" s="134">
        <v>16.0</v>
      </c>
      <c r="K19" s="134">
        <v>11.0</v>
      </c>
      <c r="L19" s="134">
        <v>10.0</v>
      </c>
      <c r="M19" s="134">
        <v>10.0</v>
      </c>
      <c r="N19" s="134">
        <v>10.0</v>
      </c>
      <c r="O19" s="134">
        <v>18.0</v>
      </c>
      <c r="P19" s="134">
        <v>12.0</v>
      </c>
      <c r="Q19" s="133">
        <f t="shared" si="1"/>
        <v>14.46428571</v>
      </c>
    </row>
    <row r="20">
      <c r="A20" s="129" t="s">
        <v>430</v>
      </c>
      <c r="B20" s="129" t="s">
        <v>431</v>
      </c>
      <c r="C20" s="131">
        <v>18.0</v>
      </c>
      <c r="D20" s="131">
        <v>9.67</v>
      </c>
      <c r="E20" s="131">
        <v>10.0</v>
      </c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3">
        <f t="shared" si="1"/>
        <v>2.690714286</v>
      </c>
    </row>
    <row r="21">
      <c r="A21" s="129" t="s">
        <v>432</v>
      </c>
      <c r="B21" s="129" t="s">
        <v>433</v>
      </c>
      <c r="C21" s="134">
        <v>19.33</v>
      </c>
      <c r="D21" s="134">
        <v>20.0</v>
      </c>
      <c r="E21" s="134">
        <v>16.0</v>
      </c>
      <c r="F21" s="134">
        <v>18.0</v>
      </c>
      <c r="G21" s="134">
        <v>20.0</v>
      </c>
      <c r="H21" s="134">
        <v>17.5</v>
      </c>
      <c r="I21" s="134">
        <v>18.0</v>
      </c>
      <c r="J21" s="134">
        <v>16.0</v>
      </c>
      <c r="K21" s="134">
        <v>17.33</v>
      </c>
      <c r="L21" s="134">
        <v>19.6</v>
      </c>
      <c r="M21" s="134">
        <v>19.0</v>
      </c>
      <c r="N21" s="134">
        <v>20.0</v>
      </c>
      <c r="O21" s="134">
        <v>16.0</v>
      </c>
      <c r="P21" s="134">
        <v>16.0</v>
      </c>
      <c r="Q21" s="133">
        <f t="shared" si="1"/>
        <v>18.05428571</v>
      </c>
    </row>
    <row r="22">
      <c r="A22" s="129" t="s">
        <v>434</v>
      </c>
      <c r="B22" s="129" t="s">
        <v>435</v>
      </c>
      <c r="C22" s="131">
        <v>20.0</v>
      </c>
      <c r="D22" s="131">
        <v>18.33</v>
      </c>
      <c r="E22" s="131">
        <v>16.0</v>
      </c>
      <c r="F22" s="131">
        <v>18.0</v>
      </c>
      <c r="G22" s="131">
        <v>20.0</v>
      </c>
      <c r="H22" s="131">
        <v>20.0</v>
      </c>
      <c r="I22" s="131">
        <v>10.0</v>
      </c>
      <c r="J22" s="131">
        <v>10.0</v>
      </c>
      <c r="K22" s="131">
        <v>15.0</v>
      </c>
      <c r="L22" s="131">
        <v>10.0</v>
      </c>
      <c r="M22" s="131">
        <v>15.0</v>
      </c>
      <c r="N22" s="131">
        <v>14.0</v>
      </c>
      <c r="O22" s="131">
        <v>12.0</v>
      </c>
      <c r="P22" s="131">
        <v>10.0</v>
      </c>
      <c r="Q22" s="133">
        <f t="shared" si="1"/>
        <v>14.88071429</v>
      </c>
    </row>
    <row r="23">
      <c r="A23" s="129" t="s">
        <v>205</v>
      </c>
      <c r="B23" s="129" t="s">
        <v>436</v>
      </c>
      <c r="C23" s="134">
        <v>12.0</v>
      </c>
      <c r="D23" s="134">
        <v>17.0</v>
      </c>
      <c r="E23" s="134">
        <v>13.33</v>
      </c>
      <c r="F23" s="134">
        <v>16.0</v>
      </c>
      <c r="G23" s="134">
        <v>20.0</v>
      </c>
      <c r="H23" s="134">
        <v>17.5</v>
      </c>
      <c r="I23" s="134">
        <v>18.0</v>
      </c>
      <c r="J23" s="134">
        <v>17.33</v>
      </c>
      <c r="K23" s="134">
        <v>16.67</v>
      </c>
      <c r="L23" s="134">
        <v>17.0</v>
      </c>
      <c r="M23" s="134">
        <v>20.0</v>
      </c>
      <c r="N23" s="134">
        <v>16.0</v>
      </c>
      <c r="O23" s="134">
        <v>20.0</v>
      </c>
      <c r="P23" s="134">
        <v>18.0</v>
      </c>
      <c r="Q23" s="133">
        <f t="shared" si="1"/>
        <v>17.05928571</v>
      </c>
    </row>
    <row r="24">
      <c r="A24" s="129" t="s">
        <v>437</v>
      </c>
      <c r="B24" s="129" t="s">
        <v>438</v>
      </c>
      <c r="C24" s="131">
        <v>10.0</v>
      </c>
      <c r="D24" s="131">
        <v>17.0</v>
      </c>
      <c r="E24" s="131">
        <v>15.0</v>
      </c>
      <c r="F24" s="131">
        <v>11.5</v>
      </c>
      <c r="G24" s="131">
        <v>16.0</v>
      </c>
      <c r="H24" s="131">
        <v>13.5</v>
      </c>
      <c r="I24" s="131">
        <v>16.0</v>
      </c>
      <c r="J24" s="131">
        <v>10.67</v>
      </c>
      <c r="K24" s="131">
        <v>17.0</v>
      </c>
      <c r="L24" s="131">
        <v>19.0</v>
      </c>
      <c r="M24" s="131">
        <v>20.0</v>
      </c>
      <c r="N24" s="131">
        <v>16.0</v>
      </c>
      <c r="O24" s="131">
        <v>18.67</v>
      </c>
      <c r="P24" s="131">
        <v>20.0</v>
      </c>
      <c r="Q24" s="133">
        <f t="shared" si="1"/>
        <v>15.73857143</v>
      </c>
    </row>
    <row r="25">
      <c r="A25" s="129" t="s">
        <v>220</v>
      </c>
      <c r="B25" s="129" t="s">
        <v>439</v>
      </c>
      <c r="C25" s="134">
        <v>18.0</v>
      </c>
      <c r="D25" s="134">
        <v>18.0</v>
      </c>
      <c r="E25" s="134">
        <v>16.0</v>
      </c>
      <c r="F25" s="134">
        <v>13.0</v>
      </c>
      <c r="G25" s="134">
        <v>12.0</v>
      </c>
      <c r="H25" s="134">
        <v>17.5</v>
      </c>
      <c r="I25" s="134">
        <v>18.0</v>
      </c>
      <c r="J25" s="134">
        <v>14.0</v>
      </c>
      <c r="K25" s="134">
        <v>14.0</v>
      </c>
      <c r="L25" s="134">
        <v>18.0</v>
      </c>
      <c r="M25" s="134">
        <v>20.0</v>
      </c>
      <c r="N25" s="134">
        <v>14.0</v>
      </c>
      <c r="O25" s="134">
        <v>20.0</v>
      </c>
      <c r="P25" s="134">
        <v>18.0</v>
      </c>
      <c r="Q25" s="133">
        <f t="shared" si="1"/>
        <v>16.46428571</v>
      </c>
    </row>
    <row r="26">
      <c r="A26" s="129" t="s">
        <v>440</v>
      </c>
      <c r="B26" s="129" t="s">
        <v>441</v>
      </c>
      <c r="C26" s="131">
        <v>18.0</v>
      </c>
      <c r="D26" s="131">
        <v>19.0</v>
      </c>
      <c r="E26" s="131">
        <v>14.33</v>
      </c>
      <c r="F26" s="131">
        <v>11.5</v>
      </c>
      <c r="G26" s="131">
        <v>10.0</v>
      </c>
      <c r="H26" s="131">
        <v>10.0</v>
      </c>
      <c r="I26" s="131">
        <v>10.0</v>
      </c>
      <c r="J26" s="131">
        <v>16.0</v>
      </c>
      <c r="K26" s="131">
        <v>14.0</v>
      </c>
      <c r="L26" s="131">
        <v>10.0</v>
      </c>
      <c r="M26" s="131">
        <v>10.0</v>
      </c>
      <c r="N26" s="131">
        <v>10.0</v>
      </c>
      <c r="O26" s="131">
        <v>10.0</v>
      </c>
      <c r="P26" s="131">
        <v>10.0</v>
      </c>
      <c r="Q26" s="133">
        <f t="shared" si="1"/>
        <v>12.345</v>
      </c>
    </row>
    <row r="27">
      <c r="A27" s="129" t="s">
        <v>442</v>
      </c>
      <c r="B27" s="129" t="s">
        <v>443</v>
      </c>
      <c r="C27" s="134">
        <v>12.0</v>
      </c>
      <c r="D27" s="134">
        <v>18.0</v>
      </c>
      <c r="E27" s="134">
        <v>14.0</v>
      </c>
      <c r="F27" s="134">
        <v>12.0</v>
      </c>
      <c r="G27" s="134">
        <v>20.0</v>
      </c>
      <c r="H27" s="134">
        <v>15.5</v>
      </c>
      <c r="I27" s="134">
        <v>18.0</v>
      </c>
      <c r="J27" s="134">
        <v>16.67</v>
      </c>
      <c r="K27" s="134">
        <v>14.0</v>
      </c>
      <c r="L27" s="134">
        <v>15.0</v>
      </c>
      <c r="M27" s="134">
        <v>18.0</v>
      </c>
      <c r="N27" s="134">
        <v>12.0</v>
      </c>
      <c r="O27" s="135"/>
      <c r="P27" s="134">
        <v>18.0</v>
      </c>
      <c r="Q27" s="133">
        <f t="shared" si="1"/>
        <v>14.51214286</v>
      </c>
    </row>
    <row r="28">
      <c r="A28" s="129" t="s">
        <v>246</v>
      </c>
      <c r="B28" s="129" t="s">
        <v>444</v>
      </c>
      <c r="C28" s="131">
        <v>16.0</v>
      </c>
      <c r="D28" s="131">
        <v>16.0</v>
      </c>
      <c r="E28" s="131">
        <v>16.0</v>
      </c>
      <c r="F28" s="131">
        <v>10.0</v>
      </c>
      <c r="G28" s="131">
        <v>16.0</v>
      </c>
      <c r="H28" s="131">
        <v>18.0</v>
      </c>
      <c r="I28" s="131">
        <v>16.0</v>
      </c>
      <c r="J28" s="131">
        <v>10.0</v>
      </c>
      <c r="K28" s="131">
        <v>17.0</v>
      </c>
      <c r="L28" s="131">
        <v>20.0</v>
      </c>
      <c r="M28" s="131">
        <v>10.0</v>
      </c>
      <c r="N28" s="131">
        <v>10.0</v>
      </c>
      <c r="O28" s="131">
        <v>16.0</v>
      </c>
      <c r="P28" s="131">
        <v>20.0</v>
      </c>
      <c r="Q28" s="133">
        <f t="shared" si="1"/>
        <v>15.07142857</v>
      </c>
    </row>
    <row r="29">
      <c r="A29" s="129" t="s">
        <v>445</v>
      </c>
      <c r="B29" s="129" t="s">
        <v>446</v>
      </c>
      <c r="C29" s="134">
        <v>18.0</v>
      </c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3">
        <f t="shared" si="1"/>
        <v>1.285714286</v>
      </c>
    </row>
    <row r="30">
      <c r="A30" s="129" t="s">
        <v>262</v>
      </c>
      <c r="B30" s="129" t="s">
        <v>447</v>
      </c>
      <c r="C30" s="131">
        <v>18.0</v>
      </c>
      <c r="D30" s="131">
        <v>13.0</v>
      </c>
      <c r="E30" s="131">
        <v>15.0</v>
      </c>
      <c r="F30" s="131">
        <v>15.5</v>
      </c>
      <c r="G30" s="131">
        <v>17.0</v>
      </c>
      <c r="H30" s="131">
        <v>14.0</v>
      </c>
      <c r="I30" s="131">
        <v>10.0</v>
      </c>
      <c r="J30" s="131">
        <v>9.0</v>
      </c>
      <c r="K30" s="131">
        <v>15.0</v>
      </c>
      <c r="L30" s="131">
        <v>14.0</v>
      </c>
      <c r="M30" s="131">
        <v>10.0</v>
      </c>
      <c r="N30" s="131">
        <v>14.0</v>
      </c>
      <c r="O30" s="131">
        <v>6.0</v>
      </c>
      <c r="P30" s="131">
        <v>14.0</v>
      </c>
      <c r="Q30" s="133">
        <f t="shared" si="1"/>
        <v>13.17857143</v>
      </c>
    </row>
    <row r="31">
      <c r="A31" s="129" t="s">
        <v>271</v>
      </c>
      <c r="B31" s="129" t="s">
        <v>448</v>
      </c>
      <c r="C31" s="134">
        <v>16.0</v>
      </c>
      <c r="D31" s="134">
        <v>16.67</v>
      </c>
      <c r="E31" s="134">
        <v>18.0</v>
      </c>
      <c r="F31" s="134">
        <v>20.0</v>
      </c>
      <c r="G31" s="134">
        <v>18.0</v>
      </c>
      <c r="H31" s="134">
        <v>19.5</v>
      </c>
      <c r="I31" s="134">
        <v>20.0</v>
      </c>
      <c r="J31" s="134">
        <v>18.0</v>
      </c>
      <c r="K31" s="134">
        <v>20.0</v>
      </c>
      <c r="L31" s="134">
        <v>20.0</v>
      </c>
      <c r="M31" s="134">
        <v>20.0</v>
      </c>
      <c r="N31" s="134">
        <v>18.0</v>
      </c>
      <c r="O31" s="134">
        <v>20.0</v>
      </c>
      <c r="P31" s="134">
        <v>16.0</v>
      </c>
      <c r="Q31" s="133">
        <f t="shared" si="1"/>
        <v>18.58357143</v>
      </c>
    </row>
    <row r="32">
      <c r="A32" s="129"/>
      <c r="B32" s="12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71"/>
    <col customWidth="1" min="2" max="2" width="17.57"/>
    <col customWidth="1" min="3" max="3" width="19.57"/>
    <col customWidth="1" min="4" max="27" width="8.71"/>
  </cols>
  <sheetData>
    <row r="1">
      <c r="A1" s="136" t="s">
        <v>449</v>
      </c>
      <c r="B1" s="136" t="s">
        <v>450</v>
      </c>
      <c r="C1" s="136" t="s">
        <v>451</v>
      </c>
      <c r="D1" s="137">
        <v>45664.0</v>
      </c>
      <c r="E1" s="137">
        <v>45666.0</v>
      </c>
      <c r="F1" s="137">
        <v>45671.0</v>
      </c>
      <c r="G1" s="138">
        <v>45673.0</v>
      </c>
      <c r="H1" s="138">
        <v>45678.0</v>
      </c>
      <c r="I1" s="138">
        <v>45680.0</v>
      </c>
      <c r="J1" s="138">
        <v>45685.0</v>
      </c>
      <c r="K1" s="138">
        <v>45687.0</v>
      </c>
      <c r="L1" s="138">
        <v>45694.0</v>
      </c>
      <c r="M1" s="138">
        <v>45701.0</v>
      </c>
      <c r="N1" s="138">
        <v>45706.0</v>
      </c>
      <c r="O1" s="138">
        <v>45708.0</v>
      </c>
      <c r="P1" s="138">
        <v>45713.0</v>
      </c>
      <c r="Q1" s="138">
        <v>45715.0</v>
      </c>
      <c r="R1" s="138">
        <v>45729.0</v>
      </c>
      <c r="S1" s="139" t="s">
        <v>452</v>
      </c>
      <c r="T1" s="140"/>
      <c r="U1" s="140"/>
      <c r="V1" s="140"/>
      <c r="W1" s="140"/>
      <c r="X1" s="140"/>
      <c r="Y1" s="140"/>
      <c r="Z1" s="140"/>
      <c r="AA1" s="140"/>
    </row>
    <row r="2">
      <c r="A2" s="141" t="str">
        <f>Lista!B8</f>
        <v>28410856</v>
      </c>
      <c r="B2" s="141" t="str">
        <f>Lista!E8&amp;" "&amp;Lista!F8</f>
        <v>Sebastian Eduardo</v>
      </c>
      <c r="C2" s="142" t="str">
        <f>Lista!E8&amp;" "&amp;Lista!D8</f>
        <v>Sebastian Alfonzo</v>
      </c>
      <c r="D2" s="141">
        <v>1.0</v>
      </c>
      <c r="E2" s="141"/>
      <c r="F2" s="141"/>
      <c r="G2" s="141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4"/>
      <c r="S2" s="144">
        <f t="shared" ref="S2:S32" si="1">SUM(D2:R2)</f>
        <v>1</v>
      </c>
    </row>
    <row r="3">
      <c r="A3" s="141" t="str">
        <f>Lista!B9</f>
        <v>30849611</v>
      </c>
      <c r="B3" s="141" t="str">
        <f>Lista!E9&amp;" "&amp;Lista!F9</f>
        <v>Matthias </v>
      </c>
      <c r="C3" s="142" t="str">
        <f>Lista!E9&amp;" "&amp;Lista!D9</f>
        <v>Matthias Amelinckx</v>
      </c>
      <c r="D3" s="145">
        <v>1.0</v>
      </c>
      <c r="E3" s="145"/>
      <c r="F3" s="146">
        <v>2.0</v>
      </c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4"/>
      <c r="S3" s="144">
        <f t="shared" si="1"/>
        <v>3</v>
      </c>
    </row>
    <row r="4">
      <c r="A4" s="141" t="str">
        <f>Lista!B10</f>
        <v>29666935</v>
      </c>
      <c r="B4" s="141" t="str">
        <f>Lista!E10&amp;" "&amp;Lista!F10</f>
        <v>Flavia Isabel</v>
      </c>
      <c r="C4" s="142" t="str">
        <f>Lista!E10&amp;" "&amp;Lista!D10</f>
        <v>Flavia Aray</v>
      </c>
      <c r="D4" s="145">
        <v>1.0</v>
      </c>
      <c r="E4" s="145"/>
      <c r="F4" s="146">
        <v>5.0</v>
      </c>
      <c r="G4" s="147"/>
      <c r="H4" s="146">
        <v>3.0</v>
      </c>
      <c r="I4" s="148"/>
      <c r="J4" s="146">
        <v>3.0</v>
      </c>
      <c r="K4" s="148"/>
      <c r="L4" s="146">
        <v>3.0</v>
      </c>
      <c r="M4" s="148"/>
      <c r="N4" s="146">
        <v>3.0</v>
      </c>
      <c r="O4" s="146">
        <v>1.0</v>
      </c>
      <c r="P4" s="148"/>
      <c r="Q4" s="146">
        <v>1.0</v>
      </c>
      <c r="R4" s="144"/>
      <c r="S4" s="144">
        <f t="shared" si="1"/>
        <v>20</v>
      </c>
    </row>
    <row r="5">
      <c r="A5" s="141" t="str">
        <f>Lista!B11</f>
        <v>30765878</v>
      </c>
      <c r="B5" s="141" t="str">
        <f>Lista!E11&amp;" "&amp;Lista!F11</f>
        <v>Angélica </v>
      </c>
      <c r="C5" s="142" t="str">
        <f>Lista!E11&amp;" "&amp;Lista!D11</f>
        <v>Angélica Blanco</v>
      </c>
      <c r="D5" s="145">
        <v>1.0</v>
      </c>
      <c r="E5" s="145">
        <v>2.0</v>
      </c>
      <c r="F5" s="145"/>
      <c r="G5" s="145"/>
      <c r="H5" s="149"/>
      <c r="I5" s="149"/>
      <c r="J5" s="149"/>
      <c r="K5" s="146">
        <v>1.0</v>
      </c>
      <c r="L5" s="148"/>
      <c r="M5" s="148"/>
      <c r="N5" s="148"/>
      <c r="O5" s="148"/>
      <c r="P5" s="148"/>
      <c r="Q5" s="148"/>
      <c r="R5" s="144"/>
      <c r="S5" s="144">
        <f t="shared" si="1"/>
        <v>4</v>
      </c>
    </row>
    <row r="6">
      <c r="A6" s="141" t="str">
        <f>Lista!B12</f>
        <v>32729082</v>
      </c>
      <c r="B6" s="141" t="str">
        <f>Lista!E12&amp;" "&amp;Lista!F12</f>
        <v>Gabriel Alejandro</v>
      </c>
      <c r="C6" s="142" t="str">
        <f>Lista!E12&amp;" "&amp;Lista!D12</f>
        <v>Gabriel Brusco</v>
      </c>
      <c r="D6" s="145"/>
      <c r="E6" s="145"/>
      <c r="F6" s="145"/>
      <c r="G6" s="145"/>
      <c r="H6" s="146">
        <v>2.0</v>
      </c>
      <c r="I6" s="150"/>
      <c r="J6" s="151"/>
      <c r="K6" s="151"/>
      <c r="L6" s="151"/>
      <c r="M6" s="151"/>
      <c r="N6" s="151"/>
      <c r="O6" s="151"/>
      <c r="P6" s="151"/>
      <c r="Q6" s="151"/>
      <c r="R6" s="144"/>
      <c r="S6" s="144">
        <f t="shared" si="1"/>
        <v>2</v>
      </c>
    </row>
    <row r="7">
      <c r="A7" s="141" t="str">
        <f>Lista!B13</f>
        <v>31071592</v>
      </c>
      <c r="B7" s="141" t="str">
        <f>Lista!E13&amp;" "&amp;Lista!F13</f>
        <v>Diego Alejandro</v>
      </c>
      <c r="C7" s="142" t="str">
        <f>Lista!E13&amp;" "&amp;Lista!D13</f>
        <v>Diego Callender</v>
      </c>
      <c r="D7" s="145"/>
      <c r="E7" s="145"/>
      <c r="F7" s="146">
        <v>1.0</v>
      </c>
      <c r="G7" s="146">
        <v>2.0</v>
      </c>
      <c r="H7" s="146">
        <v>2.0</v>
      </c>
      <c r="I7" s="148"/>
      <c r="J7" s="148"/>
      <c r="K7" s="148"/>
      <c r="L7" s="148"/>
      <c r="M7" s="148"/>
      <c r="N7" s="148"/>
      <c r="O7" s="148"/>
      <c r="P7" s="152">
        <v>2.0</v>
      </c>
      <c r="Q7" s="152">
        <v>1.0</v>
      </c>
      <c r="R7" s="144"/>
      <c r="S7" s="144">
        <f t="shared" si="1"/>
        <v>8</v>
      </c>
    </row>
    <row r="8">
      <c r="A8" s="141" t="str">
        <f>Lista!B14</f>
        <v>32491310</v>
      </c>
      <c r="B8" s="141" t="str">
        <f>Lista!E14&amp;" "&amp;Lista!F14</f>
        <v>Elohym Joham</v>
      </c>
      <c r="C8" s="142" t="str">
        <f>Lista!E14&amp;" "&amp;Lista!D14</f>
        <v>Elohym Casais</v>
      </c>
      <c r="D8" s="145"/>
      <c r="E8" s="145"/>
      <c r="F8" s="145"/>
      <c r="G8" s="145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4"/>
      <c r="S8" s="144">
        <f t="shared" si="1"/>
        <v>0</v>
      </c>
    </row>
    <row r="9">
      <c r="A9" s="141" t="str">
        <f>Lista!B15</f>
        <v>31988236</v>
      </c>
      <c r="B9" s="141" t="str">
        <f>Lista!E15&amp;" "&amp;Lista!F15</f>
        <v>Santiago De Jesús</v>
      </c>
      <c r="C9" s="142" t="str">
        <f>Lista!E15&amp;" "&amp;Lista!D15</f>
        <v>Santiago Fiandaca</v>
      </c>
      <c r="D9" s="145"/>
      <c r="E9" s="145"/>
      <c r="F9" s="145"/>
      <c r="G9" s="145"/>
      <c r="H9" s="149"/>
      <c r="I9" s="149"/>
      <c r="J9" s="149"/>
      <c r="K9" s="146">
        <v>1.0</v>
      </c>
      <c r="L9" s="148"/>
      <c r="M9" s="148"/>
      <c r="N9" s="148"/>
      <c r="O9" s="148"/>
      <c r="P9" s="148"/>
      <c r="Q9" s="148"/>
      <c r="R9" s="144"/>
      <c r="S9" s="144">
        <f t="shared" si="1"/>
        <v>1</v>
      </c>
    </row>
    <row r="10">
      <c r="A10" s="141" t="str">
        <f>Lista!B16</f>
        <v>31112818</v>
      </c>
      <c r="B10" s="141" t="str">
        <f>Lista!E16&amp;" "&amp;Lista!F16</f>
        <v>Paola Marie</v>
      </c>
      <c r="C10" s="142" t="str">
        <f>Lista!E16&amp;" "&amp;Lista!D16</f>
        <v>Paola Haiek</v>
      </c>
      <c r="D10" s="145"/>
      <c r="E10" s="145"/>
      <c r="F10" s="145"/>
      <c r="G10" s="145"/>
      <c r="H10" s="149"/>
      <c r="I10" s="152">
        <v>2.0</v>
      </c>
      <c r="J10" s="153"/>
      <c r="K10" s="146">
        <v>1.0</v>
      </c>
      <c r="L10" s="148"/>
      <c r="M10" s="146">
        <v>2.0</v>
      </c>
      <c r="N10" s="148"/>
      <c r="O10" s="152">
        <v>2.0</v>
      </c>
      <c r="P10" s="154"/>
      <c r="Q10" s="154"/>
      <c r="R10" s="144"/>
      <c r="S10" s="144">
        <f t="shared" si="1"/>
        <v>7</v>
      </c>
    </row>
    <row r="11">
      <c r="A11" s="141" t="str">
        <f>Lista!B17</f>
        <v>30030485</v>
      </c>
      <c r="B11" s="141" t="str">
        <f>Lista!E17&amp;" "&amp;Lista!F17</f>
        <v>Andrea </v>
      </c>
      <c r="C11" s="142" t="str">
        <f>Lista!E17&amp;" "&amp;Lista!D17</f>
        <v>Andrea Hernandez</v>
      </c>
      <c r="D11" s="145"/>
      <c r="E11" s="145"/>
      <c r="F11" s="145"/>
      <c r="G11" s="145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52">
        <v>2.0</v>
      </c>
      <c r="S11" s="144">
        <f t="shared" si="1"/>
        <v>2</v>
      </c>
    </row>
    <row r="12">
      <c r="A12" s="141" t="str">
        <f>Lista!B18</f>
        <v>30793086</v>
      </c>
      <c r="B12" s="141" t="str">
        <f>Lista!E18&amp;" "&amp;Lista!F18</f>
        <v>Jose Daniel</v>
      </c>
      <c r="C12" s="142" t="str">
        <f>Lista!E18&amp;" "&amp;Lista!D18</f>
        <v>Jose Idrobo</v>
      </c>
      <c r="D12" s="145"/>
      <c r="E12" s="145"/>
      <c r="F12" s="145"/>
      <c r="G12" s="145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4"/>
      <c r="S12" s="144">
        <f t="shared" si="1"/>
        <v>0</v>
      </c>
    </row>
    <row r="13">
      <c r="A13" s="141" t="str">
        <f>Lista!B19</f>
        <v>32242412</v>
      </c>
      <c r="B13" s="141" t="str">
        <f>Lista!E19&amp;" "&amp;Lista!F19</f>
        <v>Mohamad Ali</v>
      </c>
      <c r="C13" s="142" t="str">
        <f>Lista!E19&amp;" "&amp;Lista!D19</f>
        <v>Mohamad Kchour</v>
      </c>
      <c r="D13" s="145"/>
      <c r="E13" s="145"/>
      <c r="F13" s="145"/>
      <c r="G13" s="145"/>
      <c r="H13" s="149"/>
      <c r="I13" s="149"/>
      <c r="J13" s="146">
        <v>1.0</v>
      </c>
      <c r="K13" s="148"/>
      <c r="L13" s="146">
        <v>1.0</v>
      </c>
      <c r="M13" s="148"/>
      <c r="N13" s="146">
        <v>3.0</v>
      </c>
      <c r="O13" s="146">
        <v>1.0</v>
      </c>
      <c r="P13" s="146">
        <v>1.0</v>
      </c>
      <c r="Q13" s="148"/>
      <c r="R13" s="152">
        <v>1.0</v>
      </c>
      <c r="S13" s="144">
        <f t="shared" si="1"/>
        <v>8</v>
      </c>
    </row>
    <row r="14">
      <c r="A14" s="141" t="str">
        <f>Lista!B20</f>
        <v>30598031</v>
      </c>
      <c r="B14" s="141" t="str">
        <f>Lista!E20&amp;" "&amp;Lista!F20</f>
        <v>Paola Graciela</v>
      </c>
      <c r="C14" s="142" t="str">
        <f>Lista!E20&amp;" "&amp;Lista!D20</f>
        <v>Paola Livinaly</v>
      </c>
      <c r="D14" s="145"/>
      <c r="E14" s="145"/>
      <c r="F14" s="146">
        <v>2.0</v>
      </c>
      <c r="G14" s="147"/>
      <c r="H14" s="146">
        <v>2.0</v>
      </c>
      <c r="I14" s="148"/>
      <c r="J14" s="148"/>
      <c r="K14" s="146">
        <v>2.0</v>
      </c>
      <c r="L14" s="148"/>
      <c r="M14" s="155">
        <v>1.0</v>
      </c>
      <c r="N14" s="146">
        <v>2.0</v>
      </c>
      <c r="O14" s="148"/>
      <c r="P14" s="148"/>
      <c r="Q14" s="148"/>
      <c r="R14" s="144"/>
      <c r="S14" s="144">
        <f t="shared" si="1"/>
        <v>9</v>
      </c>
    </row>
    <row r="15">
      <c r="A15" s="141" t="str">
        <f>Lista!B21</f>
        <v>31852058</v>
      </c>
      <c r="B15" s="141" t="str">
        <f>Lista!E21&amp;" "&amp;Lista!F21</f>
        <v>Laura Maria</v>
      </c>
      <c r="C15" s="142" t="str">
        <f>Lista!E21&amp;" "&amp;Lista!D21</f>
        <v>Laura Medina</v>
      </c>
      <c r="D15" s="145"/>
      <c r="E15" s="145"/>
      <c r="F15" s="145"/>
      <c r="G15" s="146">
        <v>3.0</v>
      </c>
      <c r="H15" s="146">
        <v>2.0</v>
      </c>
      <c r="I15" s="146">
        <v>1.0</v>
      </c>
      <c r="J15" s="146">
        <v>1.0</v>
      </c>
      <c r="K15" s="146">
        <v>1.0</v>
      </c>
      <c r="L15" s="148"/>
      <c r="M15" s="148"/>
      <c r="N15" s="146">
        <v>1.0</v>
      </c>
      <c r="O15" s="146">
        <v>1.0</v>
      </c>
      <c r="P15" s="146">
        <v>1.0</v>
      </c>
      <c r="Q15" s="146">
        <v>1.0</v>
      </c>
      <c r="R15" s="152">
        <v>1.0</v>
      </c>
      <c r="S15" s="144">
        <f t="shared" si="1"/>
        <v>13</v>
      </c>
    </row>
    <row r="16">
      <c r="A16" s="141" t="str">
        <f>Lista!B22</f>
        <v>30114012</v>
      </c>
      <c r="B16" s="141" t="str">
        <f>Lista!E22&amp;" "&amp;Lista!F22</f>
        <v>Flavia </v>
      </c>
      <c r="C16" s="142" t="str">
        <f>Lista!E22&amp;" "&amp;Lista!D22</f>
        <v>Flavia Mercado</v>
      </c>
      <c r="D16" s="145">
        <v>2.0</v>
      </c>
      <c r="E16" s="145"/>
      <c r="F16" s="146">
        <v>1.0</v>
      </c>
      <c r="G16" s="146">
        <v>1.0</v>
      </c>
      <c r="H16" s="148"/>
      <c r="I16" s="146">
        <v>1.0</v>
      </c>
      <c r="J16" s="148"/>
      <c r="K16" s="148"/>
      <c r="L16" s="146">
        <v>3.0</v>
      </c>
      <c r="M16" s="148"/>
      <c r="N16" s="148"/>
      <c r="O16" s="146">
        <v>1.0</v>
      </c>
      <c r="P16" s="146">
        <v>1.0</v>
      </c>
      <c r="Q16" s="148"/>
      <c r="R16" s="144"/>
      <c r="S16" s="144">
        <f t="shared" si="1"/>
        <v>10</v>
      </c>
    </row>
    <row r="17">
      <c r="A17" s="141" t="str">
        <f>Lista!B23</f>
        <v>26954417</v>
      </c>
      <c r="B17" s="141" t="str">
        <f>Lista!E23&amp;" "&amp;Lista!F23</f>
        <v>Angel Jose</v>
      </c>
      <c r="C17" s="142" t="str">
        <f>Lista!E23&amp;" "&amp;Lista!D23</f>
        <v>Angel Moya</v>
      </c>
      <c r="D17" s="145"/>
      <c r="E17" s="145"/>
      <c r="F17" s="145"/>
      <c r="G17" s="145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4"/>
      <c r="S17" s="144">
        <f t="shared" si="1"/>
        <v>0</v>
      </c>
    </row>
    <row r="18">
      <c r="A18" s="141" t="str">
        <f>Lista!B24</f>
        <v>31448943</v>
      </c>
      <c r="B18" s="141" t="str">
        <f>Lista!E24&amp;" "&amp;Lista!F24</f>
        <v>Samuel Abraham</v>
      </c>
      <c r="C18" s="142" t="str">
        <f>Lista!E24&amp;" "&amp;Lista!D24</f>
        <v>Samuel Pamphile</v>
      </c>
      <c r="D18" s="145">
        <v>2.0</v>
      </c>
      <c r="E18" s="145">
        <v>1.0</v>
      </c>
      <c r="F18" s="145"/>
      <c r="G18" s="145"/>
      <c r="H18" s="146">
        <v>2.0</v>
      </c>
      <c r="I18" s="148"/>
      <c r="J18" s="148"/>
      <c r="K18" s="148"/>
      <c r="L18" s="148"/>
      <c r="M18" s="148"/>
      <c r="N18" s="148"/>
      <c r="O18" s="148"/>
      <c r="P18" s="148"/>
      <c r="Q18" s="148"/>
      <c r="R18" s="144"/>
      <c r="S18" s="144">
        <f t="shared" si="1"/>
        <v>5</v>
      </c>
    </row>
    <row r="19">
      <c r="A19" s="141" t="str">
        <f>Lista!B25</f>
        <v>31423000</v>
      </c>
      <c r="B19" s="141" t="str">
        <f>Lista!E25&amp;" "&amp;Lista!F25</f>
        <v>Emmanuel Giuseppe</v>
      </c>
      <c r="C19" s="142" t="str">
        <f>Lista!E25&amp;" "&amp;Lista!D25</f>
        <v>Emmanuel Pizza</v>
      </c>
      <c r="D19" s="145"/>
      <c r="E19" s="145"/>
      <c r="F19" s="145"/>
      <c r="G19" s="145"/>
      <c r="H19" s="149"/>
      <c r="I19" s="146">
        <v>1.0</v>
      </c>
      <c r="J19" s="149"/>
      <c r="K19" s="149"/>
      <c r="L19" s="149"/>
      <c r="M19" s="146">
        <v>1.0</v>
      </c>
      <c r="N19" s="149"/>
      <c r="O19" s="149"/>
      <c r="P19" s="146">
        <v>1.0</v>
      </c>
      <c r="Q19" s="149"/>
      <c r="R19" s="144"/>
      <c r="S19" s="144">
        <f t="shared" si="1"/>
        <v>3</v>
      </c>
    </row>
    <row r="20">
      <c r="A20" s="141" t="str">
        <f>Lista!B26</f>
        <v>31046285</v>
      </c>
      <c r="B20" s="141" t="str">
        <f>Lista!E26&amp;" "&amp;Lista!F26</f>
        <v>Rafael </v>
      </c>
      <c r="C20" s="142" t="str">
        <f>Lista!E26&amp;" "&amp;Lista!D26</f>
        <v>Rafael Rodriguez</v>
      </c>
      <c r="D20" s="145"/>
      <c r="E20" s="145"/>
      <c r="F20" s="145"/>
      <c r="G20" s="145"/>
      <c r="H20" s="149"/>
      <c r="I20" s="149"/>
      <c r="J20" s="149"/>
      <c r="K20" s="149"/>
      <c r="L20" s="146">
        <v>1.0</v>
      </c>
      <c r="M20" s="148"/>
      <c r="N20" s="148"/>
      <c r="O20" s="148"/>
      <c r="P20" s="148"/>
      <c r="Q20" s="148"/>
      <c r="R20" s="144"/>
      <c r="S20" s="144">
        <f t="shared" si="1"/>
        <v>1</v>
      </c>
    </row>
    <row r="21" ht="15.75" customHeight="1">
      <c r="A21" s="141" t="str">
        <f>Lista!B27</f>
        <v>31255343</v>
      </c>
      <c r="B21" s="141" t="str">
        <f>Lista!E27&amp;" "&amp;Lista!F27</f>
        <v>Luciano Nicola</v>
      </c>
      <c r="C21" s="142" t="str">
        <f>Lista!E27&amp;" "&amp;Lista!D27</f>
        <v>Luciano Rojas</v>
      </c>
      <c r="D21" s="145"/>
      <c r="E21" s="145"/>
      <c r="F21" s="146">
        <v>1.0</v>
      </c>
      <c r="G21" s="146">
        <v>1.0</v>
      </c>
      <c r="H21" s="148"/>
      <c r="I21" s="148"/>
      <c r="J21" s="146">
        <v>1.0</v>
      </c>
      <c r="K21" s="148"/>
      <c r="L21" s="148"/>
      <c r="M21" s="148"/>
      <c r="N21" s="148"/>
      <c r="O21" s="148"/>
      <c r="P21" s="148"/>
      <c r="Q21" s="148"/>
      <c r="R21" s="144"/>
      <c r="S21" s="144">
        <f t="shared" si="1"/>
        <v>3</v>
      </c>
    </row>
    <row r="22" ht="15.75" customHeight="1">
      <c r="A22" s="141" t="str">
        <f>Lista!B28</f>
        <v>32401366</v>
      </c>
      <c r="B22" s="141" t="str">
        <f>Lista!E28&amp;" "&amp;Lista!F28</f>
        <v>José Alejandro</v>
      </c>
      <c r="C22" s="142" t="str">
        <f>Lista!E28&amp;" "&amp;Lista!D28</f>
        <v>José Ruiz</v>
      </c>
      <c r="D22" s="145"/>
      <c r="E22" s="145"/>
      <c r="F22" s="145"/>
      <c r="G22" s="145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52">
        <v>2.0</v>
      </c>
      <c r="S22" s="144">
        <f t="shared" si="1"/>
        <v>2</v>
      </c>
    </row>
    <row r="23" ht="15.75" customHeight="1">
      <c r="A23" s="141" t="str">
        <f>Lista!B29</f>
        <v>32121917</v>
      </c>
      <c r="B23" s="141" t="str">
        <f>Lista!E29&amp;" "&amp;Lista!F29</f>
        <v>César Alexander</v>
      </c>
      <c r="C23" s="142" t="str">
        <f>Lista!E29&amp;" "&amp;Lista!D29</f>
        <v>César Salimbeni</v>
      </c>
      <c r="D23" s="145"/>
      <c r="E23" s="145"/>
      <c r="F23" s="146">
        <v>2.0</v>
      </c>
      <c r="G23" s="146">
        <v>2.0</v>
      </c>
      <c r="H23" s="148"/>
      <c r="I23" s="146">
        <v>1.0</v>
      </c>
      <c r="J23" s="146">
        <v>2.0</v>
      </c>
      <c r="K23" s="146">
        <v>2.0</v>
      </c>
      <c r="L23" s="146">
        <v>1.0</v>
      </c>
      <c r="M23" s="146">
        <v>2.0</v>
      </c>
      <c r="N23" s="148"/>
      <c r="O23" s="146">
        <v>1.0</v>
      </c>
      <c r="P23" s="152">
        <v>2.0</v>
      </c>
      <c r="Q23" s="153"/>
      <c r="R23" s="152">
        <v>2.0</v>
      </c>
      <c r="S23" s="144">
        <f t="shared" si="1"/>
        <v>17</v>
      </c>
    </row>
    <row r="24" ht="15.75" customHeight="1">
      <c r="A24" s="141" t="str">
        <f>Lista!B30</f>
        <v>33921124</v>
      </c>
      <c r="B24" s="141" t="str">
        <f>Lista!E30&amp;" "&amp;Lista!F30</f>
        <v>David Eduardo</v>
      </c>
      <c r="C24" s="142" t="str">
        <f>Lista!E30&amp;" "&amp;Lista!D30</f>
        <v>David Sanchez</v>
      </c>
      <c r="D24" s="145"/>
      <c r="E24" s="145"/>
      <c r="F24" s="145"/>
      <c r="G24" s="145"/>
      <c r="H24" s="149"/>
      <c r="I24" s="149"/>
      <c r="J24" s="149"/>
      <c r="K24" s="149"/>
      <c r="L24" s="149"/>
      <c r="M24" s="149"/>
      <c r="N24" s="146">
        <v>1.0</v>
      </c>
      <c r="O24" s="146">
        <v>1.0</v>
      </c>
      <c r="P24" s="148"/>
      <c r="Q24" s="148"/>
      <c r="R24" s="152">
        <v>1.0</v>
      </c>
      <c r="S24" s="144">
        <f t="shared" si="1"/>
        <v>3</v>
      </c>
    </row>
    <row r="25" ht="15.75" customHeight="1">
      <c r="A25" s="141" t="str">
        <f>Lista!B31</f>
        <v>31703910</v>
      </c>
      <c r="B25" s="141" t="str">
        <f>Lista!E31&amp;" "&amp;Lista!F31</f>
        <v>Daniel Antonio</v>
      </c>
      <c r="C25" s="142" t="str">
        <f>Lista!E31&amp;" "&amp;Lista!D31</f>
        <v>Daniel Saracual</v>
      </c>
      <c r="D25" s="145"/>
      <c r="E25" s="145"/>
      <c r="F25" s="145"/>
      <c r="G25" s="146">
        <v>2.0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6">
        <v>1.0</v>
      </c>
      <c r="R25" s="144"/>
      <c r="S25" s="144">
        <f t="shared" si="1"/>
        <v>3</v>
      </c>
    </row>
    <row r="26" ht="15.75" customHeight="1">
      <c r="A26" s="141" t="str">
        <f>Lista!B32</f>
        <v>32122110</v>
      </c>
      <c r="B26" s="141" t="str">
        <f>Lista!E32&amp;" "&amp;Lista!F32</f>
        <v>Elva María</v>
      </c>
      <c r="C26" s="142" t="str">
        <f>Lista!E32&amp;" "&amp;Lista!D32</f>
        <v>Elva Silva</v>
      </c>
      <c r="D26" s="145">
        <v>1.0</v>
      </c>
      <c r="E26" s="145"/>
      <c r="F26" s="146">
        <v>2.0</v>
      </c>
      <c r="G26" s="147"/>
      <c r="H26" s="148"/>
      <c r="I26" s="152">
        <v>2.0</v>
      </c>
      <c r="J26" s="153"/>
      <c r="K26" s="153"/>
      <c r="L26" s="153"/>
      <c r="M26" s="146">
        <v>2.0</v>
      </c>
      <c r="N26" s="146">
        <v>2.0</v>
      </c>
      <c r="O26" s="148"/>
      <c r="P26" s="148"/>
      <c r="Q26" s="148"/>
      <c r="R26" s="152">
        <v>1.0</v>
      </c>
      <c r="S26" s="144">
        <f t="shared" si="1"/>
        <v>10</v>
      </c>
    </row>
    <row r="27" ht="15.75" customHeight="1">
      <c r="A27" s="141" t="str">
        <f>Lista!B33</f>
        <v>30720123</v>
      </c>
      <c r="B27" s="141" t="str">
        <f>Lista!E33&amp;" "&amp;Lista!F33</f>
        <v>Erik </v>
      </c>
      <c r="C27" s="142" t="str">
        <f>Lista!E33&amp;" "&amp;Lista!D33</f>
        <v>Erik Steinmetz</v>
      </c>
      <c r="D27" s="145"/>
      <c r="E27" s="145"/>
      <c r="F27" s="145"/>
      <c r="G27" s="145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4"/>
      <c r="S27" s="144">
        <f t="shared" si="1"/>
        <v>0</v>
      </c>
    </row>
    <row r="28" ht="15.75" customHeight="1">
      <c r="A28" s="141" t="str">
        <f>Lista!B34</f>
        <v>29895575</v>
      </c>
      <c r="B28" s="141" t="str">
        <f>Lista!E34&amp;" "&amp;Lista!F34</f>
        <v>Sofia Gisela</v>
      </c>
      <c r="C28" s="142" t="str">
        <f>Lista!E34&amp;" "&amp;Lista!D34</f>
        <v>Sofia Trezza</v>
      </c>
      <c r="D28" s="145"/>
      <c r="E28" s="145"/>
      <c r="F28" s="145"/>
      <c r="G28" s="145"/>
      <c r="H28" s="146">
        <v>2.0</v>
      </c>
      <c r="I28" s="148"/>
      <c r="J28" s="146">
        <v>2.0</v>
      </c>
      <c r="K28" s="146">
        <v>1.0</v>
      </c>
      <c r="L28" s="146">
        <v>2.0</v>
      </c>
      <c r="M28" s="148"/>
      <c r="N28" s="146">
        <v>2.0</v>
      </c>
      <c r="O28" s="156">
        <v>2.0</v>
      </c>
      <c r="P28" s="157"/>
      <c r="Q28" s="157"/>
      <c r="R28" s="144"/>
      <c r="S28" s="144">
        <f t="shared" si="1"/>
        <v>11</v>
      </c>
    </row>
    <row r="29" ht="15.75" customHeight="1">
      <c r="A29" s="141" t="str">
        <f>Lista!B35</f>
        <v>31615220</v>
      </c>
      <c r="B29" s="141" t="str">
        <f>Lista!E35&amp;" "&amp;Lista!F35</f>
        <v>Nicole Alejandra</v>
      </c>
      <c r="C29" s="142" t="str">
        <f>Lista!E35&amp;" "&amp;Lista!D35</f>
        <v>Nicole Ugarte Pelayo</v>
      </c>
      <c r="D29" s="145"/>
      <c r="E29" s="145"/>
      <c r="F29" s="145"/>
      <c r="G29" s="145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4"/>
      <c r="S29" s="144">
        <f t="shared" si="1"/>
        <v>0</v>
      </c>
    </row>
    <row r="30" ht="15.75" customHeight="1">
      <c r="A30" s="141" t="str">
        <f>Lista!B36</f>
        <v>30022208</v>
      </c>
      <c r="B30" s="141" t="str">
        <f>Lista!E36&amp;" "&amp;Lista!F36</f>
        <v>Gabriel Alejandro</v>
      </c>
      <c r="C30" s="142" t="str">
        <f>Lista!E36&amp;" "&amp;Lista!D36</f>
        <v>Gabriel Viñas</v>
      </c>
      <c r="D30" s="145"/>
      <c r="E30" s="145">
        <v>1.0</v>
      </c>
      <c r="F30" s="145"/>
      <c r="G30" s="145"/>
      <c r="H30" s="149"/>
      <c r="I30" s="149"/>
      <c r="J30" s="149"/>
      <c r="K30" s="146">
        <v>2.0</v>
      </c>
      <c r="L30" s="148"/>
      <c r="M30" s="148"/>
      <c r="N30" s="146">
        <v>1.0</v>
      </c>
      <c r="O30" s="148"/>
      <c r="P30" s="148"/>
      <c r="Q30" s="148"/>
      <c r="R30" s="152">
        <v>1.0</v>
      </c>
      <c r="S30" s="144">
        <f t="shared" si="1"/>
        <v>5</v>
      </c>
    </row>
    <row r="31" ht="15.75" customHeight="1">
      <c r="A31" s="141" t="str">
        <f>Lista!B37</f>
        <v>31963201</v>
      </c>
      <c r="B31" s="141" t="str">
        <f>Lista!E37&amp;" "&amp;Lista!F37</f>
        <v>Azael Alonso</v>
      </c>
      <c r="C31" s="142" t="str">
        <f>Lista!E37&amp;" "&amp;Lista!D37</f>
        <v>Azael Zerpa</v>
      </c>
      <c r="D31" s="145"/>
      <c r="E31" s="145"/>
      <c r="F31" s="145"/>
      <c r="G31" s="145"/>
      <c r="H31" s="149"/>
      <c r="I31" s="146">
        <v>1.0</v>
      </c>
      <c r="J31" s="148"/>
      <c r="K31" s="148"/>
      <c r="L31" s="148"/>
      <c r="M31" s="148"/>
      <c r="N31" s="146">
        <v>1.0</v>
      </c>
      <c r="O31" s="148"/>
      <c r="P31" s="148"/>
      <c r="Q31" s="148"/>
      <c r="R31" s="144"/>
      <c r="S31" s="144">
        <f t="shared" si="1"/>
        <v>2</v>
      </c>
    </row>
    <row r="32" ht="15.75" customHeight="1">
      <c r="A32" s="141"/>
      <c r="B32" s="152" t="s">
        <v>452</v>
      </c>
      <c r="C32" s="142"/>
      <c r="D32" s="136">
        <f t="shared" ref="D32:R32" si="2">SUM(D2:D31)</f>
        <v>9</v>
      </c>
      <c r="E32" s="136">
        <f t="shared" si="2"/>
        <v>4</v>
      </c>
      <c r="F32" s="136">
        <f t="shared" si="2"/>
        <v>16</v>
      </c>
      <c r="G32" s="136">
        <f t="shared" si="2"/>
        <v>11</v>
      </c>
      <c r="H32" s="136">
        <f t="shared" si="2"/>
        <v>15</v>
      </c>
      <c r="I32" s="136">
        <f t="shared" si="2"/>
        <v>9</v>
      </c>
      <c r="J32" s="136">
        <f t="shared" si="2"/>
        <v>10</v>
      </c>
      <c r="K32" s="136">
        <f t="shared" si="2"/>
        <v>11</v>
      </c>
      <c r="L32" s="136">
        <f t="shared" si="2"/>
        <v>11</v>
      </c>
      <c r="M32" s="136">
        <f t="shared" si="2"/>
        <v>8</v>
      </c>
      <c r="N32" s="136">
        <f t="shared" si="2"/>
        <v>16</v>
      </c>
      <c r="O32" s="136">
        <f t="shared" si="2"/>
        <v>10</v>
      </c>
      <c r="P32" s="136">
        <f t="shared" si="2"/>
        <v>8</v>
      </c>
      <c r="Q32" s="136">
        <f t="shared" si="2"/>
        <v>4</v>
      </c>
      <c r="R32" s="136">
        <f t="shared" si="2"/>
        <v>11</v>
      </c>
      <c r="S32" s="144">
        <f t="shared" si="1"/>
        <v>153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7" max="17" width="5.43"/>
  </cols>
  <sheetData>
    <row r="1">
      <c r="A1" s="128" t="s">
        <v>19</v>
      </c>
      <c r="B1" s="128" t="s">
        <v>339</v>
      </c>
      <c r="C1" s="129" t="s">
        <v>453</v>
      </c>
      <c r="D1" s="129" t="s">
        <v>454</v>
      </c>
      <c r="E1" s="129" t="s">
        <v>455</v>
      </c>
      <c r="F1" s="129" t="s">
        <v>456</v>
      </c>
      <c r="G1" s="129" t="s">
        <v>457</v>
      </c>
      <c r="H1" s="129" t="s">
        <v>458</v>
      </c>
      <c r="I1" s="129" t="s">
        <v>459</v>
      </c>
      <c r="J1" s="129" t="s">
        <v>460</v>
      </c>
      <c r="K1" s="129" t="s">
        <v>461</v>
      </c>
      <c r="L1" s="129" t="s">
        <v>462</v>
      </c>
      <c r="M1" s="129" t="s">
        <v>463</v>
      </c>
      <c r="N1" s="129" t="s">
        <v>464</v>
      </c>
      <c r="O1" s="129" t="s">
        <v>465</v>
      </c>
      <c r="P1" s="129" t="s">
        <v>466</v>
      </c>
      <c r="Q1" s="158" t="s">
        <v>281</v>
      </c>
    </row>
    <row r="2">
      <c r="A2" s="129" t="s">
        <v>400</v>
      </c>
      <c r="B2" s="129" t="s">
        <v>401</v>
      </c>
      <c r="C2" s="128" t="b">
        <v>1</v>
      </c>
      <c r="D2" s="128" t="b">
        <v>1</v>
      </c>
      <c r="E2" s="128" t="b">
        <v>1</v>
      </c>
      <c r="F2" s="1" t="b">
        <v>0</v>
      </c>
      <c r="G2" s="1" t="b">
        <v>0</v>
      </c>
      <c r="H2" s="1" t="b">
        <v>0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  <c r="N2" s="1" t="b">
        <v>0</v>
      </c>
      <c r="O2" s="1" t="b">
        <v>0</v>
      </c>
      <c r="P2" s="1" t="b">
        <v>0</v>
      </c>
      <c r="Q2" s="159">
        <f t="shared" ref="Q2:Q31" si="1">COUNTIF(C2:P2,true)/counta(C$1:P$1)</f>
        <v>0.2142857143</v>
      </c>
    </row>
    <row r="3">
      <c r="A3" s="129" t="s">
        <v>402</v>
      </c>
      <c r="B3" s="129" t="s">
        <v>403</v>
      </c>
      <c r="C3" s="128" t="b">
        <v>1</v>
      </c>
      <c r="D3" s="128" t="b">
        <v>1</v>
      </c>
      <c r="E3" s="128" t="b">
        <v>1</v>
      </c>
      <c r="F3" s="1" t="b">
        <v>0</v>
      </c>
      <c r="G3" s="128" t="b">
        <v>1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  <c r="N3" s="1" t="b">
        <v>0</v>
      </c>
      <c r="O3" s="1" t="b">
        <v>0</v>
      </c>
      <c r="P3" s="1" t="b">
        <v>0</v>
      </c>
      <c r="Q3" s="159">
        <f t="shared" si="1"/>
        <v>0.2857142857</v>
      </c>
    </row>
    <row r="4">
      <c r="A4" s="129" t="s">
        <v>404</v>
      </c>
      <c r="B4" s="129" t="s">
        <v>405</v>
      </c>
      <c r="C4" s="128" t="b">
        <v>1</v>
      </c>
      <c r="D4" s="128" t="b">
        <v>1</v>
      </c>
      <c r="E4" s="128" t="b">
        <v>1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59">
        <f t="shared" si="1"/>
        <v>0.2142857143</v>
      </c>
    </row>
    <row r="5">
      <c r="A5" s="129" t="s">
        <v>406</v>
      </c>
      <c r="B5" s="129" t="s">
        <v>407</v>
      </c>
      <c r="C5" s="128" t="b">
        <v>1</v>
      </c>
      <c r="D5" s="128" t="b">
        <v>1</v>
      </c>
      <c r="E5" s="128" t="b">
        <v>1</v>
      </c>
      <c r="F5" s="1" t="b">
        <v>0</v>
      </c>
      <c r="G5" s="128" t="b">
        <v>1</v>
      </c>
      <c r="H5" s="128" t="b">
        <v>1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59">
        <f t="shared" si="1"/>
        <v>0.3571428571</v>
      </c>
    </row>
    <row r="6">
      <c r="A6" s="129" t="s">
        <v>408</v>
      </c>
      <c r="B6" s="129" t="s">
        <v>409</v>
      </c>
      <c r="C6" s="1" t="b">
        <v>0</v>
      </c>
      <c r="D6" s="1" t="b">
        <v>0</v>
      </c>
      <c r="E6" s="128" t="b">
        <v>1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0</v>
      </c>
      <c r="Q6" s="159">
        <f t="shared" si="1"/>
        <v>0.07142857143</v>
      </c>
    </row>
    <row r="7">
      <c r="A7" s="129" t="s">
        <v>410</v>
      </c>
      <c r="B7" s="129" t="s">
        <v>411</v>
      </c>
      <c r="C7" s="128" t="b">
        <v>1</v>
      </c>
      <c r="D7" s="128" t="b">
        <v>1</v>
      </c>
      <c r="E7" s="128" t="b">
        <v>1</v>
      </c>
      <c r="F7" s="1" t="b">
        <v>0</v>
      </c>
      <c r="G7" s="128" t="b">
        <v>1</v>
      </c>
      <c r="H7" s="128" t="b">
        <v>1</v>
      </c>
      <c r="I7" s="1" t="b">
        <v>0</v>
      </c>
      <c r="J7" s="128" t="b">
        <v>1</v>
      </c>
      <c r="K7" s="128" t="b">
        <v>1</v>
      </c>
      <c r="L7" s="1" t="b">
        <v>0</v>
      </c>
      <c r="M7" s="1" t="b">
        <v>0</v>
      </c>
      <c r="N7" s="128" t="b">
        <v>1</v>
      </c>
      <c r="O7" s="1" t="b">
        <v>0</v>
      </c>
      <c r="P7" s="128" t="b">
        <v>1</v>
      </c>
      <c r="Q7" s="159">
        <f t="shared" si="1"/>
        <v>0.6428571429</v>
      </c>
    </row>
    <row r="8">
      <c r="A8" s="129" t="s">
        <v>71</v>
      </c>
      <c r="B8" s="129" t="s">
        <v>412</v>
      </c>
      <c r="C8" s="128" t="b">
        <v>1</v>
      </c>
      <c r="D8" s="128" t="b">
        <v>1</v>
      </c>
      <c r="E8" s="128" t="b">
        <v>1</v>
      </c>
      <c r="F8" s="1" t="b">
        <v>0</v>
      </c>
      <c r="G8" s="128" t="b">
        <v>1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59">
        <f t="shared" si="1"/>
        <v>0.2857142857</v>
      </c>
    </row>
    <row r="9">
      <c r="A9" s="129" t="s">
        <v>413</v>
      </c>
      <c r="B9" s="129" t="s">
        <v>414</v>
      </c>
      <c r="C9" s="128" t="b">
        <v>1</v>
      </c>
      <c r="D9" s="128" t="b">
        <v>1</v>
      </c>
      <c r="E9" s="1" t="b">
        <v>0</v>
      </c>
      <c r="F9" s="1" t="b">
        <v>0</v>
      </c>
      <c r="G9" s="128" t="b">
        <v>1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59">
        <f t="shared" si="1"/>
        <v>0.2142857143</v>
      </c>
    </row>
    <row r="10">
      <c r="A10" s="129" t="s">
        <v>415</v>
      </c>
      <c r="B10" s="129" t="s">
        <v>416</v>
      </c>
      <c r="C10" s="128" t="b">
        <v>1</v>
      </c>
      <c r="D10" s="128" t="b">
        <v>1</v>
      </c>
      <c r="E10" s="1" t="b">
        <v>0</v>
      </c>
      <c r="F10" s="1" t="b">
        <v>0</v>
      </c>
      <c r="G10" s="128" t="b">
        <v>1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159">
        <f t="shared" si="1"/>
        <v>0.2142857143</v>
      </c>
    </row>
    <row r="11">
      <c r="A11" s="129" t="s">
        <v>417</v>
      </c>
      <c r="B11" s="129" t="s">
        <v>418</v>
      </c>
      <c r="C11" s="128" t="b">
        <v>1</v>
      </c>
      <c r="D11" s="128" t="b">
        <v>1</v>
      </c>
      <c r="E11" s="128" t="b">
        <v>1</v>
      </c>
      <c r="F11" s="1" t="b">
        <v>0</v>
      </c>
      <c r="G11" s="128" t="b">
        <v>1</v>
      </c>
      <c r="H11" s="128" t="b">
        <v>1</v>
      </c>
      <c r="I11" s="128" t="b">
        <v>1</v>
      </c>
      <c r="J11" s="128" t="b">
        <v>0</v>
      </c>
      <c r="K11" s="128" t="b">
        <v>1</v>
      </c>
      <c r="L11" s="128" t="b">
        <v>1</v>
      </c>
      <c r="M11" s="1" t="b">
        <v>0</v>
      </c>
      <c r="N11" s="1" t="b">
        <v>0</v>
      </c>
      <c r="O11" s="1" t="b">
        <v>0</v>
      </c>
      <c r="P11" s="1" t="b">
        <v>0</v>
      </c>
      <c r="Q11" s="159">
        <f t="shared" si="1"/>
        <v>0.5714285714</v>
      </c>
    </row>
    <row r="12">
      <c r="A12" s="129" t="s">
        <v>105</v>
      </c>
      <c r="B12" s="129" t="s">
        <v>419</v>
      </c>
      <c r="C12" s="128" t="b">
        <v>1</v>
      </c>
      <c r="D12" s="128" t="b">
        <v>1</v>
      </c>
      <c r="E12" s="128" t="b">
        <v>1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59">
        <f t="shared" si="1"/>
        <v>0.2142857143</v>
      </c>
    </row>
    <row r="13">
      <c r="A13" s="129" t="s">
        <v>420</v>
      </c>
      <c r="B13" s="129" t="s">
        <v>421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0</v>
      </c>
      <c r="Q13" s="159">
        <f t="shared" si="1"/>
        <v>0</v>
      </c>
    </row>
    <row r="14">
      <c r="A14" s="129" t="s">
        <v>422</v>
      </c>
      <c r="B14" s="129" t="s">
        <v>423</v>
      </c>
      <c r="C14" s="128" t="b">
        <v>1</v>
      </c>
      <c r="D14" s="1" t="b">
        <v>0</v>
      </c>
      <c r="E14" s="128" t="b">
        <v>1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  <c r="N14" s="1" t="b">
        <v>0</v>
      </c>
      <c r="O14" s="1" t="b">
        <v>0</v>
      </c>
      <c r="P14" s="1" t="b">
        <v>0</v>
      </c>
      <c r="Q14" s="159">
        <f t="shared" si="1"/>
        <v>0.1428571429</v>
      </c>
    </row>
    <row r="15">
      <c r="A15" s="129" t="s">
        <v>424</v>
      </c>
      <c r="B15" s="129" t="s">
        <v>425</v>
      </c>
      <c r="C15" s="128" t="b">
        <v>1</v>
      </c>
      <c r="D15" s="128" t="b">
        <v>1</v>
      </c>
      <c r="E15" s="128" t="b">
        <v>1</v>
      </c>
      <c r="F15" s="128" t="b">
        <v>0</v>
      </c>
      <c r="G15" s="128" t="b">
        <v>1</v>
      </c>
      <c r="H15" s="1" t="b">
        <v>0</v>
      </c>
      <c r="I15" s="1" t="b">
        <v>0</v>
      </c>
      <c r="J15" s="128" t="b">
        <v>1</v>
      </c>
      <c r="K15" s="128" t="b">
        <v>1</v>
      </c>
      <c r="L15" s="128" t="b">
        <v>1</v>
      </c>
      <c r="M15" s="128" t="b">
        <v>1</v>
      </c>
      <c r="N15" s="128" t="b">
        <v>1</v>
      </c>
      <c r="O15" s="128" t="b">
        <v>1</v>
      </c>
      <c r="P15" s="1" t="b">
        <v>0</v>
      </c>
      <c r="Q15" s="159">
        <f t="shared" si="1"/>
        <v>0.7142857143</v>
      </c>
    </row>
    <row r="16">
      <c r="A16" s="129" t="s">
        <v>139</v>
      </c>
      <c r="B16" s="129" t="s">
        <v>426</v>
      </c>
      <c r="C16" s="128" t="b">
        <v>1</v>
      </c>
      <c r="D16" s="128" t="b">
        <v>1</v>
      </c>
      <c r="E16" s="128" t="b">
        <v>1</v>
      </c>
      <c r="F16" s="1" t="b">
        <v>0</v>
      </c>
      <c r="G16" s="1" t="b">
        <v>0</v>
      </c>
      <c r="H16" s="128" t="b">
        <v>1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59">
        <f t="shared" si="1"/>
        <v>0.2857142857</v>
      </c>
    </row>
    <row r="17">
      <c r="A17" s="129" t="s">
        <v>153</v>
      </c>
      <c r="B17" s="129" t="s">
        <v>427</v>
      </c>
      <c r="C17" s="128" t="b">
        <v>1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59">
        <f t="shared" si="1"/>
        <v>0.07142857143</v>
      </c>
    </row>
    <row r="18">
      <c r="A18" s="129" t="s">
        <v>162</v>
      </c>
      <c r="B18" s="129" t="s">
        <v>428</v>
      </c>
      <c r="C18" s="1" t="b">
        <v>0</v>
      </c>
      <c r="D18" s="1" t="b">
        <v>0</v>
      </c>
      <c r="E18" s="1" t="b">
        <v>0</v>
      </c>
      <c r="F18" s="128" t="b">
        <v>1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59">
        <f t="shared" si="1"/>
        <v>0.07142857143</v>
      </c>
    </row>
    <row r="19">
      <c r="A19" s="129" t="s">
        <v>171</v>
      </c>
      <c r="B19" s="129" t="s">
        <v>429</v>
      </c>
      <c r="C19" s="128" t="b">
        <v>1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  <c r="P19" s="1" t="b">
        <v>0</v>
      </c>
      <c r="Q19" s="159">
        <f t="shared" si="1"/>
        <v>0.07142857143</v>
      </c>
    </row>
    <row r="20">
      <c r="A20" s="129" t="s">
        <v>430</v>
      </c>
      <c r="B20" s="129" t="s">
        <v>431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59">
        <f t="shared" si="1"/>
        <v>0</v>
      </c>
    </row>
    <row r="21">
      <c r="A21" s="129" t="s">
        <v>432</v>
      </c>
      <c r="B21" s="129" t="s">
        <v>433</v>
      </c>
      <c r="C21" s="128" t="b">
        <v>1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59">
        <f t="shared" si="1"/>
        <v>0.07142857143</v>
      </c>
    </row>
    <row r="22">
      <c r="A22" s="129" t="s">
        <v>434</v>
      </c>
      <c r="B22" s="129" t="s">
        <v>435</v>
      </c>
      <c r="C22" s="128" t="b">
        <v>1</v>
      </c>
      <c r="D22" s="128" t="b">
        <v>1</v>
      </c>
      <c r="E22" s="128" t="b">
        <v>1</v>
      </c>
      <c r="F22" s="128" t="b">
        <v>1</v>
      </c>
      <c r="G22" s="128" t="b">
        <v>1</v>
      </c>
      <c r="H22" s="128" t="b">
        <v>1</v>
      </c>
      <c r="I22" s="128" t="b">
        <v>1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0</v>
      </c>
      <c r="Q22" s="159">
        <f t="shared" si="1"/>
        <v>0.5</v>
      </c>
    </row>
    <row r="23">
      <c r="A23" s="129" t="s">
        <v>205</v>
      </c>
      <c r="B23" s="129" t="s">
        <v>436</v>
      </c>
      <c r="C23" s="128" t="b">
        <v>1</v>
      </c>
      <c r="D23" s="128" t="b">
        <v>1</v>
      </c>
      <c r="E23" s="128" t="b">
        <v>1</v>
      </c>
      <c r="F23" s="1" t="b">
        <v>0</v>
      </c>
      <c r="G23" s="1" t="b">
        <v>0</v>
      </c>
      <c r="H23" s="128" t="b">
        <v>1</v>
      </c>
      <c r="I23" s="128" t="b">
        <v>1</v>
      </c>
      <c r="J23" s="128" t="b">
        <v>1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59">
        <f t="shared" si="1"/>
        <v>0.4285714286</v>
      </c>
    </row>
    <row r="24">
      <c r="A24" s="129" t="s">
        <v>437</v>
      </c>
      <c r="B24" s="129" t="s">
        <v>438</v>
      </c>
      <c r="C24" s="128" t="b">
        <v>1</v>
      </c>
      <c r="D24" s="128" t="b">
        <v>1</v>
      </c>
      <c r="E24" s="128" t="b">
        <v>1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0</v>
      </c>
      <c r="Q24" s="159">
        <f t="shared" si="1"/>
        <v>0.2142857143</v>
      </c>
    </row>
    <row r="25">
      <c r="A25" s="129" t="s">
        <v>220</v>
      </c>
      <c r="B25" s="129" t="s">
        <v>439</v>
      </c>
      <c r="C25" s="128" t="b">
        <v>1</v>
      </c>
      <c r="D25" s="1" t="b">
        <v>0</v>
      </c>
      <c r="E25" s="128" t="b">
        <v>1</v>
      </c>
      <c r="F25" s="1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Q25" s="159">
        <f t="shared" si="1"/>
        <v>0.1428571429</v>
      </c>
    </row>
    <row r="26">
      <c r="A26" s="129" t="s">
        <v>440</v>
      </c>
      <c r="B26" s="129" t="s">
        <v>441</v>
      </c>
      <c r="C26" s="128" t="b">
        <v>1</v>
      </c>
      <c r="D26" s="128" t="b">
        <v>1</v>
      </c>
      <c r="E26" s="128" t="b">
        <v>1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Q26" s="159">
        <f t="shared" si="1"/>
        <v>0.2142857143</v>
      </c>
    </row>
    <row r="27">
      <c r="A27" s="129" t="s">
        <v>442</v>
      </c>
      <c r="B27" s="129" t="s">
        <v>443</v>
      </c>
      <c r="C27" s="128" t="b">
        <v>1</v>
      </c>
      <c r="D27" s="128" t="b">
        <v>0</v>
      </c>
      <c r="E27" s="128" t="b">
        <v>1</v>
      </c>
      <c r="F27" s="1" t="b">
        <v>0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59">
        <f t="shared" si="1"/>
        <v>0.1428571429</v>
      </c>
    </row>
    <row r="28">
      <c r="A28" s="129" t="s">
        <v>246</v>
      </c>
      <c r="B28" s="129" t="s">
        <v>444</v>
      </c>
      <c r="C28" s="128" t="b">
        <v>1</v>
      </c>
      <c r="D28" s="128" t="b">
        <v>1</v>
      </c>
      <c r="E28" s="128" t="b">
        <v>1</v>
      </c>
      <c r="F28" s="128" t="b">
        <v>1</v>
      </c>
      <c r="G28" s="1" t="b">
        <v>0</v>
      </c>
      <c r="H28" s="128" t="b">
        <v>1</v>
      </c>
      <c r="I28" s="1" t="b">
        <v>0</v>
      </c>
      <c r="J28" s="1" t="b">
        <v>0</v>
      </c>
      <c r="K28" s="128" t="b">
        <v>1</v>
      </c>
      <c r="L28" s="128" t="b">
        <v>1</v>
      </c>
      <c r="M28" s="1" t="b">
        <v>0</v>
      </c>
      <c r="N28" s="1" t="b">
        <v>0</v>
      </c>
      <c r="O28" s="1" t="b">
        <v>0</v>
      </c>
      <c r="P28" s="1" t="b">
        <v>0</v>
      </c>
      <c r="Q28" s="159">
        <f t="shared" si="1"/>
        <v>0.5</v>
      </c>
    </row>
    <row r="29">
      <c r="A29" s="129" t="s">
        <v>445</v>
      </c>
      <c r="B29" s="129" t="s">
        <v>446</v>
      </c>
      <c r="C29" s="1" t="b">
        <v>0</v>
      </c>
      <c r="D29" s="128" t="b">
        <v>1</v>
      </c>
      <c r="E29" s="1" t="b">
        <v>0</v>
      </c>
      <c r="F29" s="128" t="b">
        <v>1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0</v>
      </c>
      <c r="Q29" s="159">
        <f t="shared" si="1"/>
        <v>0.1428571429</v>
      </c>
    </row>
    <row r="30">
      <c r="A30" s="129" t="s">
        <v>262</v>
      </c>
      <c r="B30" s="129" t="s">
        <v>447</v>
      </c>
      <c r="C30" s="128" t="b">
        <v>1</v>
      </c>
      <c r="D30" s="128" t="b">
        <v>1</v>
      </c>
      <c r="E30" s="128" t="b">
        <v>1</v>
      </c>
      <c r="F30" s="1" t="b">
        <v>0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128" t="b">
        <v>1</v>
      </c>
      <c r="M30" s="1" t="b">
        <v>0</v>
      </c>
      <c r="N30" s="1" t="b">
        <v>0</v>
      </c>
      <c r="O30" s="1" t="b">
        <v>0</v>
      </c>
      <c r="P30" s="1" t="b">
        <v>0</v>
      </c>
      <c r="Q30" s="159">
        <f t="shared" si="1"/>
        <v>0.2857142857</v>
      </c>
    </row>
    <row r="31">
      <c r="A31" s="129" t="s">
        <v>271</v>
      </c>
      <c r="B31" s="129" t="s">
        <v>448</v>
      </c>
      <c r="C31" s="1" t="b">
        <v>0</v>
      </c>
      <c r="D31" s="128" t="b">
        <v>1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59">
        <f t="shared" si="1"/>
        <v>0.07142857143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1.14"/>
    <col customWidth="1" min="4" max="4" width="9.14"/>
    <col customWidth="1" min="5" max="11" width="12.14"/>
    <col customWidth="1" min="12" max="12" width="8.14"/>
  </cols>
  <sheetData>
    <row r="1">
      <c r="A1" s="160" t="s">
        <v>467</v>
      </c>
      <c r="B1" s="161" t="s">
        <v>468</v>
      </c>
      <c r="C1" s="161" t="s">
        <v>468</v>
      </c>
      <c r="D1" s="161" t="s">
        <v>468</v>
      </c>
      <c r="E1" s="161" t="s">
        <v>468</v>
      </c>
      <c r="F1" s="161" t="s">
        <v>468</v>
      </c>
      <c r="G1" s="161" t="s">
        <v>468</v>
      </c>
      <c r="H1" s="161" t="s">
        <v>468</v>
      </c>
      <c r="I1" s="161" t="s">
        <v>468</v>
      </c>
      <c r="J1" s="161" t="s">
        <v>468</v>
      </c>
      <c r="K1" s="161" t="s">
        <v>468</v>
      </c>
      <c r="L1" s="161" t="s">
        <v>468</v>
      </c>
      <c r="M1" s="130"/>
      <c r="N1" s="130"/>
    </row>
    <row r="2">
      <c r="A2" s="162" t="s">
        <v>469</v>
      </c>
      <c r="B2" s="161" t="s">
        <v>468</v>
      </c>
      <c r="C2" s="161" t="s">
        <v>468</v>
      </c>
      <c r="D2" s="161" t="s">
        <v>468</v>
      </c>
      <c r="E2" s="163" t="s">
        <v>470</v>
      </c>
      <c r="F2" s="163" t="s">
        <v>471</v>
      </c>
      <c r="G2" s="163" t="s">
        <v>472</v>
      </c>
      <c r="H2" s="163" t="s">
        <v>473</v>
      </c>
      <c r="I2" s="163" t="s">
        <v>474</v>
      </c>
      <c r="J2" s="163" t="s">
        <v>475</v>
      </c>
      <c r="K2" s="163" t="s">
        <v>476</v>
      </c>
      <c r="L2" s="163" t="s">
        <v>477</v>
      </c>
      <c r="M2" s="130"/>
      <c r="N2" s="130"/>
    </row>
    <row r="3">
      <c r="A3" s="164" t="str">
        <f>HYPERLINK("https://classroom.google.com/c/NzQ2NzcxMDkxODky", UPPER("Abrir Classroom"))</f>
        <v>ABRIR CLASSROOM</v>
      </c>
      <c r="B3" s="161" t="s">
        <v>468</v>
      </c>
      <c r="C3" s="161" t="s">
        <v>468</v>
      </c>
      <c r="D3" s="161" t="s">
        <v>468</v>
      </c>
      <c r="E3" s="165">
        <v>1.0</v>
      </c>
      <c r="F3" s="165">
        <v>1.0</v>
      </c>
      <c r="G3" s="165">
        <v>1.0</v>
      </c>
      <c r="H3" s="165">
        <v>1.0</v>
      </c>
      <c r="I3" s="165">
        <v>1.0</v>
      </c>
      <c r="J3" s="165">
        <v>1.0</v>
      </c>
      <c r="K3" s="165">
        <v>1.0</v>
      </c>
      <c r="L3" s="165">
        <v>3.0</v>
      </c>
      <c r="M3" s="130"/>
      <c r="N3" s="130"/>
    </row>
    <row r="4">
      <c r="A4" s="166" t="s">
        <v>468</v>
      </c>
      <c r="B4" s="166" t="s">
        <v>468</v>
      </c>
      <c r="C4" s="166" t="s">
        <v>468</v>
      </c>
      <c r="D4" s="166" t="s">
        <v>468</v>
      </c>
      <c r="E4" s="166" t="s">
        <v>468</v>
      </c>
      <c r="F4" s="166" t="s">
        <v>468</v>
      </c>
      <c r="G4" s="166" t="s">
        <v>468</v>
      </c>
      <c r="H4" s="166" t="s">
        <v>468</v>
      </c>
      <c r="I4" s="166" t="s">
        <v>468</v>
      </c>
      <c r="J4" s="166" t="s">
        <v>468</v>
      </c>
      <c r="K4" s="166" t="s">
        <v>468</v>
      </c>
      <c r="L4" s="166" t="s">
        <v>468</v>
      </c>
      <c r="M4" s="130"/>
      <c r="N4" s="130"/>
    </row>
    <row r="5">
      <c r="A5" s="167" t="s">
        <v>478</v>
      </c>
      <c r="B5" s="168" t="s">
        <v>468</v>
      </c>
      <c r="C5" s="168" t="s">
        <v>468</v>
      </c>
      <c r="D5" s="169">
        <f>IFERROR(SUMIFS(E5:N5,E5:N5,"&lt;&gt;",E4:N4,"")/SUMIFS(E3:N3,E5:N5,"&lt;&gt;",E4:N4,""))</f>
        <v>0.4322580645</v>
      </c>
      <c r="E5" s="170">
        <f t="shared" ref="E5:L5" si="1">IFERROR(AVERAGE(E6:E54))</f>
        <v>0.1935483871</v>
      </c>
      <c r="F5" s="170">
        <f t="shared" si="1"/>
        <v>0.1612903226</v>
      </c>
      <c r="G5" s="170">
        <f t="shared" si="1"/>
        <v>0.2580645161</v>
      </c>
      <c r="H5" s="170">
        <f t="shared" si="1"/>
        <v>0.1935483871</v>
      </c>
      <c r="I5" s="170">
        <f t="shared" si="1"/>
        <v>0.3870967742</v>
      </c>
      <c r="J5" s="170">
        <f t="shared" si="1"/>
        <v>0.4193548387</v>
      </c>
      <c r="K5" s="170">
        <f t="shared" si="1"/>
        <v>0.1935483871</v>
      </c>
      <c r="L5" s="170">
        <f t="shared" si="1"/>
        <v>2.516129032</v>
      </c>
      <c r="M5" s="130" t="s">
        <v>479</v>
      </c>
      <c r="N5" s="130" t="s">
        <v>480</v>
      </c>
    </row>
    <row r="6">
      <c r="A6" s="171" t="s">
        <v>481</v>
      </c>
      <c r="B6" s="171" t="s">
        <v>62</v>
      </c>
      <c r="C6" s="171" t="s">
        <v>482</v>
      </c>
      <c r="D6" s="172">
        <f>IFERROR(SUMIF(E6:N6,"&lt;&gt;")/SUMIF(E6:N6,"&lt;&gt;",E3:N3))</f>
        <v>0.6</v>
      </c>
      <c r="E6" s="173">
        <v>0.0</v>
      </c>
      <c r="F6" s="173">
        <v>0.0</v>
      </c>
      <c r="G6" s="173">
        <v>0.0</v>
      </c>
      <c r="H6" s="173">
        <v>0.0</v>
      </c>
      <c r="I6" s="173">
        <v>0.0</v>
      </c>
      <c r="J6" s="173">
        <v>0.0</v>
      </c>
      <c r="K6" s="173">
        <v>0.0</v>
      </c>
      <c r="L6" s="174">
        <v>2.0</v>
      </c>
      <c r="M6" s="175">
        <f t="shared" ref="M6:M53" si="2">sum(E6:K6)/8</f>
        <v>0</v>
      </c>
      <c r="N6" s="176">
        <f t="shared" ref="N6:N53" si="3">M6*6+if(L6&gt;0,4,0)</f>
        <v>4</v>
      </c>
    </row>
    <row r="7">
      <c r="A7" s="171" t="s">
        <v>483</v>
      </c>
      <c r="B7" s="171" t="s">
        <v>484</v>
      </c>
      <c r="C7" s="171" t="s">
        <v>485</v>
      </c>
      <c r="D7" s="177" t="str">
        <f>IFERROR(SUMIF(E7:N7,"&lt;&gt;")/SUMIF(E7:N7,"&lt;&gt;",E3:N3))</f>
        <v/>
      </c>
      <c r="E7" s="130"/>
      <c r="F7" s="130"/>
      <c r="G7" s="130"/>
      <c r="H7" s="130"/>
      <c r="I7" s="130"/>
      <c r="J7" s="130"/>
      <c r="K7" s="130"/>
      <c r="L7" s="178"/>
      <c r="M7" s="175">
        <f t="shared" si="2"/>
        <v>0</v>
      </c>
      <c r="N7" s="176">
        <f t="shared" si="3"/>
        <v>0</v>
      </c>
    </row>
    <row r="8">
      <c r="A8" s="171" t="s">
        <v>486</v>
      </c>
      <c r="B8" s="171" t="s">
        <v>487</v>
      </c>
      <c r="C8" s="171" t="s">
        <v>488</v>
      </c>
      <c r="D8" s="172">
        <f>IFERROR(SUMIF(E8:N8,"&lt;&gt;")/SUMIF(E8:N8,"&lt;&gt;",E3:N3))</f>
        <v>0.7</v>
      </c>
      <c r="E8" s="173">
        <v>0.0</v>
      </c>
      <c r="F8" s="173">
        <v>0.0</v>
      </c>
      <c r="G8" s="173">
        <v>0.0</v>
      </c>
      <c r="H8" s="173">
        <v>0.0</v>
      </c>
      <c r="I8" s="173">
        <v>0.0</v>
      </c>
      <c r="J8" s="173">
        <v>0.0</v>
      </c>
      <c r="K8" s="173">
        <v>0.0</v>
      </c>
      <c r="L8" s="174">
        <v>3.0</v>
      </c>
      <c r="M8" s="175">
        <f t="shared" si="2"/>
        <v>0</v>
      </c>
      <c r="N8" s="176">
        <f t="shared" si="3"/>
        <v>4</v>
      </c>
    </row>
    <row r="9">
      <c r="A9" s="171" t="s">
        <v>489</v>
      </c>
      <c r="B9" s="171" t="s">
        <v>490</v>
      </c>
      <c r="C9" s="171" t="s">
        <v>491</v>
      </c>
      <c r="D9" s="172">
        <f>IFERROR(SUMIF(E9:N9,"&lt;&gt;")/SUMIF(E9:N9,"&lt;&gt;",E3:N3))</f>
        <v>1.45</v>
      </c>
      <c r="E9" s="173">
        <v>1.0</v>
      </c>
      <c r="F9" s="173">
        <v>0.0</v>
      </c>
      <c r="G9" s="173">
        <v>0.0</v>
      </c>
      <c r="H9" s="173">
        <v>0.0</v>
      </c>
      <c r="I9" s="173">
        <v>1.0</v>
      </c>
      <c r="J9" s="173">
        <v>1.0</v>
      </c>
      <c r="K9" s="173">
        <v>1.0</v>
      </c>
      <c r="L9" s="174">
        <v>3.0</v>
      </c>
      <c r="M9" s="175">
        <f t="shared" si="2"/>
        <v>0.5</v>
      </c>
      <c r="N9" s="176">
        <f t="shared" si="3"/>
        <v>7</v>
      </c>
    </row>
    <row r="10">
      <c r="A10" s="171" t="s">
        <v>492</v>
      </c>
      <c r="B10" s="171" t="s">
        <v>493</v>
      </c>
      <c r="C10" s="171" t="s">
        <v>494</v>
      </c>
      <c r="D10" s="172">
        <f>IFERROR(SUMIF(E10:N10,"&lt;&gt;")/SUMIF(E10:N10,"&lt;&gt;",E3:N3))</f>
        <v>0.7</v>
      </c>
      <c r="E10" s="173">
        <v>0.0</v>
      </c>
      <c r="F10" s="173">
        <v>0.0</v>
      </c>
      <c r="G10" s="173">
        <v>0.0</v>
      </c>
      <c r="H10" s="173">
        <v>0.0</v>
      </c>
      <c r="I10" s="173">
        <v>0.0</v>
      </c>
      <c r="J10" s="173">
        <v>0.0</v>
      </c>
      <c r="K10" s="173">
        <v>0.0</v>
      </c>
      <c r="L10" s="174">
        <v>3.0</v>
      </c>
      <c r="M10" s="175">
        <f t="shared" si="2"/>
        <v>0</v>
      </c>
      <c r="N10" s="176">
        <f t="shared" si="3"/>
        <v>4</v>
      </c>
    </row>
    <row r="11">
      <c r="A11" s="171" t="s">
        <v>495</v>
      </c>
      <c r="B11" s="171" t="s">
        <v>69</v>
      </c>
      <c r="C11" s="171" t="s">
        <v>496</v>
      </c>
      <c r="D11" s="172">
        <f>IFERROR(SUMIF(E11:N11,"&lt;&gt;")/SUMIF(E11:N11,"&lt;&gt;",E3:N3))</f>
        <v>0.975</v>
      </c>
      <c r="E11" s="173">
        <v>0.0</v>
      </c>
      <c r="F11" s="173">
        <v>0.0</v>
      </c>
      <c r="G11" s="173">
        <v>0.0</v>
      </c>
      <c r="H11" s="173">
        <v>0.0</v>
      </c>
      <c r="I11" s="173">
        <v>1.0</v>
      </c>
      <c r="J11" s="173">
        <v>1.0</v>
      </c>
      <c r="K11" s="173">
        <v>0.0</v>
      </c>
      <c r="L11" s="174">
        <v>2.0</v>
      </c>
      <c r="M11" s="175">
        <f t="shared" si="2"/>
        <v>0.25</v>
      </c>
      <c r="N11" s="176">
        <f t="shared" si="3"/>
        <v>5.5</v>
      </c>
    </row>
    <row r="12">
      <c r="A12" s="171" t="s">
        <v>497</v>
      </c>
      <c r="B12" s="171" t="s">
        <v>69</v>
      </c>
      <c r="C12" s="171" t="s">
        <v>498</v>
      </c>
      <c r="D12" s="172">
        <f>IFERROR(SUMIF(E12:N12,"&lt;&gt;")/SUMIF(E12:N12,"&lt;&gt;",E3:N3))</f>
        <v>1.075</v>
      </c>
      <c r="E12" s="173">
        <v>0.0</v>
      </c>
      <c r="F12" s="173">
        <v>0.0</v>
      </c>
      <c r="G12" s="173">
        <v>0.0</v>
      </c>
      <c r="H12" s="173">
        <v>0.0</v>
      </c>
      <c r="I12" s="173">
        <v>1.0</v>
      </c>
      <c r="J12" s="173">
        <v>0.0</v>
      </c>
      <c r="K12" s="173">
        <v>1.0</v>
      </c>
      <c r="L12" s="174">
        <v>3.0</v>
      </c>
      <c r="M12" s="175">
        <f t="shared" si="2"/>
        <v>0.25</v>
      </c>
      <c r="N12" s="176">
        <f t="shared" si="3"/>
        <v>5.5</v>
      </c>
    </row>
    <row r="13">
      <c r="A13" s="171" t="s">
        <v>68</v>
      </c>
      <c r="B13" s="171" t="s">
        <v>69</v>
      </c>
      <c r="C13" s="171" t="s">
        <v>71</v>
      </c>
      <c r="D13" s="172">
        <f>IFERROR(SUMIF(E13:N13,"&lt;&gt;")/SUMIF(E13:N13,"&lt;&gt;",E3:N3))</f>
        <v>0.7</v>
      </c>
      <c r="E13" s="173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4">
        <v>3.0</v>
      </c>
      <c r="M13" s="175">
        <f t="shared" si="2"/>
        <v>0</v>
      </c>
      <c r="N13" s="176">
        <f t="shared" si="3"/>
        <v>4</v>
      </c>
    </row>
    <row r="14">
      <c r="A14" s="171" t="s">
        <v>86</v>
      </c>
      <c r="B14" s="171" t="s">
        <v>69</v>
      </c>
      <c r="C14" s="171" t="s">
        <v>499</v>
      </c>
      <c r="D14" s="172">
        <f>IFERROR(SUMIF(E14:N14,"&lt;&gt;")/SUMIF(E14:N14,"&lt;&gt;",E3:N3))</f>
        <v>1.1625</v>
      </c>
      <c r="E14" s="173">
        <v>0.0</v>
      </c>
      <c r="F14" s="173">
        <v>0.0</v>
      </c>
      <c r="G14" s="173">
        <v>1.0</v>
      </c>
      <c r="H14" s="173">
        <v>0.0</v>
      </c>
      <c r="I14" s="173">
        <v>1.0</v>
      </c>
      <c r="J14" s="173">
        <v>1.0</v>
      </c>
      <c r="K14" s="173">
        <v>0.0</v>
      </c>
      <c r="L14" s="174">
        <v>2.0</v>
      </c>
      <c r="M14" s="175">
        <f t="shared" si="2"/>
        <v>0.375</v>
      </c>
      <c r="N14" s="176">
        <f t="shared" si="3"/>
        <v>6.25</v>
      </c>
    </row>
    <row r="15">
      <c r="A15" s="171" t="s">
        <v>76</v>
      </c>
      <c r="B15" s="171" t="s">
        <v>77</v>
      </c>
      <c r="C15" s="171" t="s">
        <v>410</v>
      </c>
      <c r="D15" s="172">
        <f>IFERROR(SUMIF(E15:N15,"&lt;&gt;")/SUMIF(E15:N15,"&lt;&gt;",E3:N3))</f>
        <v>0.7875</v>
      </c>
      <c r="E15" s="173">
        <v>0.0</v>
      </c>
      <c r="F15" s="173">
        <v>0.0</v>
      </c>
      <c r="G15" s="173">
        <v>0.0</v>
      </c>
      <c r="H15" s="173">
        <v>0.0</v>
      </c>
      <c r="I15" s="173">
        <v>0.0</v>
      </c>
      <c r="J15" s="173">
        <v>1.0</v>
      </c>
      <c r="K15" s="173">
        <v>0.0</v>
      </c>
      <c r="L15" s="174">
        <v>2.0</v>
      </c>
      <c r="M15" s="175">
        <f t="shared" si="2"/>
        <v>0.125</v>
      </c>
      <c r="N15" s="176">
        <f t="shared" si="3"/>
        <v>4.75</v>
      </c>
    </row>
    <row r="16">
      <c r="A16" s="171" t="s">
        <v>43</v>
      </c>
      <c r="B16" s="171" t="s">
        <v>44</v>
      </c>
      <c r="C16" s="171" t="s">
        <v>404</v>
      </c>
      <c r="D16" s="172">
        <f>IFERROR(SUMIF(E16:N16,"&lt;&gt;")/SUMIF(E16:N16,"&lt;&gt;",E3:N3))</f>
        <v>0.7</v>
      </c>
      <c r="E16" s="173">
        <v>0.0</v>
      </c>
      <c r="F16" s="173">
        <v>0.0</v>
      </c>
      <c r="G16" s="173">
        <v>0.0</v>
      </c>
      <c r="H16" s="173">
        <v>0.0</v>
      </c>
      <c r="I16" s="173">
        <v>0.0</v>
      </c>
      <c r="J16" s="173">
        <v>0.0</v>
      </c>
      <c r="K16" s="173">
        <v>0.0</v>
      </c>
      <c r="L16" s="174">
        <v>3.0</v>
      </c>
      <c r="M16" s="175">
        <f t="shared" si="2"/>
        <v>0</v>
      </c>
      <c r="N16" s="176">
        <f t="shared" si="3"/>
        <v>4</v>
      </c>
    </row>
    <row r="17">
      <c r="A17" s="171" t="s">
        <v>500</v>
      </c>
      <c r="B17" s="171" t="s">
        <v>61</v>
      </c>
      <c r="C17" s="171" t="s">
        <v>501</v>
      </c>
      <c r="D17" s="172">
        <f>IFERROR(SUMIF(E17:N17,"&lt;&gt;")/SUMIF(E17:N17,"&lt;&gt;",E3:N3))</f>
        <v>0.9875</v>
      </c>
      <c r="E17" s="173">
        <v>0.0</v>
      </c>
      <c r="F17" s="173">
        <v>0.0</v>
      </c>
      <c r="G17" s="173">
        <v>1.0</v>
      </c>
      <c r="H17" s="173">
        <v>0.0</v>
      </c>
      <c r="I17" s="173">
        <v>0.0</v>
      </c>
      <c r="J17" s="173">
        <v>0.0</v>
      </c>
      <c r="K17" s="173">
        <v>0.0</v>
      </c>
      <c r="L17" s="174">
        <v>4.0</v>
      </c>
      <c r="M17" s="175">
        <f t="shared" si="2"/>
        <v>0.125</v>
      </c>
      <c r="N17" s="176">
        <f t="shared" si="3"/>
        <v>4.75</v>
      </c>
    </row>
    <row r="18">
      <c r="A18" s="171" t="s">
        <v>260</v>
      </c>
      <c r="B18" s="171" t="s">
        <v>61</v>
      </c>
      <c r="C18" s="171" t="s">
        <v>262</v>
      </c>
      <c r="D18" s="172">
        <f>IFERROR(SUMIF(E18:N18,"&lt;&gt;")/SUMIF(E18:N18,"&lt;&gt;",E3:N3))</f>
        <v>0.7</v>
      </c>
      <c r="E18" s="173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4">
        <v>3.0</v>
      </c>
      <c r="M18" s="175">
        <f t="shared" si="2"/>
        <v>0</v>
      </c>
      <c r="N18" s="176">
        <f t="shared" si="3"/>
        <v>4</v>
      </c>
    </row>
    <row r="19">
      <c r="A19" s="171" t="s">
        <v>502</v>
      </c>
      <c r="B19" s="171" t="s">
        <v>503</v>
      </c>
      <c r="C19" s="171" t="s">
        <v>504</v>
      </c>
      <c r="D19" s="172">
        <f>IFERROR(SUMIF(E19:N19,"&lt;&gt;")/SUMIF(E19:N19,"&lt;&gt;",E3:N3))</f>
        <v>0.7</v>
      </c>
      <c r="E19" s="173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4">
        <v>3.0</v>
      </c>
      <c r="M19" s="175">
        <f t="shared" si="2"/>
        <v>0</v>
      </c>
      <c r="N19" s="176">
        <f t="shared" si="3"/>
        <v>4</v>
      </c>
    </row>
    <row r="20">
      <c r="A20" s="171" t="s">
        <v>505</v>
      </c>
      <c r="B20" s="171" t="s">
        <v>506</v>
      </c>
      <c r="C20" s="171" t="s">
        <v>507</v>
      </c>
      <c r="D20" s="177" t="str">
        <f>IFERROR(SUMIF(E20:N20,"&lt;&gt;")/SUMIF(E20:N20,"&lt;&gt;",E3:N3))</f>
        <v/>
      </c>
      <c r="E20" s="130"/>
      <c r="F20" s="130"/>
      <c r="G20" s="130"/>
      <c r="H20" s="130"/>
      <c r="I20" s="130"/>
      <c r="J20" s="130"/>
      <c r="K20" s="130"/>
      <c r="L20" s="178"/>
      <c r="M20" s="175">
        <f t="shared" si="2"/>
        <v>0</v>
      </c>
      <c r="N20" s="176">
        <f t="shared" si="3"/>
        <v>0</v>
      </c>
    </row>
    <row r="21">
      <c r="A21" s="171" t="s">
        <v>508</v>
      </c>
      <c r="B21" s="171" t="s">
        <v>509</v>
      </c>
      <c r="C21" s="171" t="s">
        <v>510</v>
      </c>
      <c r="D21" s="177" t="str">
        <f>IFERROR(SUMIF(E21:N21,"&lt;&gt;")/SUMIF(E21:N21,"&lt;&gt;",E3:N3))</f>
        <v/>
      </c>
      <c r="E21" s="130"/>
      <c r="F21" s="130"/>
      <c r="G21" s="130"/>
      <c r="H21" s="130"/>
      <c r="I21" s="130"/>
      <c r="J21" s="130"/>
      <c r="K21" s="130"/>
      <c r="L21" s="178"/>
      <c r="M21" s="175">
        <f t="shared" si="2"/>
        <v>0</v>
      </c>
      <c r="N21" s="176">
        <f t="shared" si="3"/>
        <v>0</v>
      </c>
    </row>
    <row r="22">
      <c r="A22" s="171" t="s">
        <v>511</v>
      </c>
      <c r="B22" s="171" t="s">
        <v>512</v>
      </c>
      <c r="C22" s="171" t="s">
        <v>513</v>
      </c>
      <c r="D22" s="172">
        <f>IFERROR(SUMIF(E22:N22,"&lt;&gt;")/SUMIF(E22:N22,"&lt;&gt;",E3:N3))</f>
        <v>1.075</v>
      </c>
      <c r="E22" s="173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1.0</v>
      </c>
      <c r="K22" s="173">
        <v>1.0</v>
      </c>
      <c r="L22" s="174">
        <v>3.0</v>
      </c>
      <c r="M22" s="175">
        <f t="shared" si="2"/>
        <v>0.25</v>
      </c>
      <c r="N22" s="176">
        <f t="shared" si="3"/>
        <v>5.5</v>
      </c>
    </row>
    <row r="23">
      <c r="A23" s="171" t="s">
        <v>511</v>
      </c>
      <c r="B23" s="171" t="s">
        <v>514</v>
      </c>
      <c r="C23" s="171" t="s">
        <v>515</v>
      </c>
      <c r="D23" s="172">
        <f>IFERROR(SUMIF(E23:N23,"&lt;&gt;")/SUMIF(E23:N23,"&lt;&gt;",E3:N3))</f>
        <v>1.45</v>
      </c>
      <c r="E23" s="173">
        <v>1.0</v>
      </c>
      <c r="F23" s="173">
        <v>1.0</v>
      </c>
      <c r="G23" s="173">
        <v>1.0</v>
      </c>
      <c r="H23" s="173">
        <v>0.0</v>
      </c>
      <c r="I23" s="173">
        <v>0.0</v>
      </c>
      <c r="J23" s="173">
        <v>1.0</v>
      </c>
      <c r="K23" s="173">
        <v>0.0</v>
      </c>
      <c r="L23" s="174">
        <v>3.0</v>
      </c>
      <c r="M23" s="175">
        <f t="shared" si="2"/>
        <v>0.5</v>
      </c>
      <c r="N23" s="176">
        <f t="shared" si="3"/>
        <v>7</v>
      </c>
    </row>
    <row r="24">
      <c r="A24" s="171" t="s">
        <v>516</v>
      </c>
      <c r="B24" s="171" t="s">
        <v>517</v>
      </c>
      <c r="C24" s="171" t="s">
        <v>518</v>
      </c>
      <c r="D24" s="177" t="str">
        <f>IFERROR(SUMIF(E24:N24,"&lt;&gt;")/SUMIF(E24:N24,"&lt;&gt;",E3:N3))</f>
        <v/>
      </c>
      <c r="E24" s="130"/>
      <c r="F24" s="130"/>
      <c r="G24" s="130"/>
      <c r="H24" s="130"/>
      <c r="I24" s="130"/>
      <c r="J24" s="130"/>
      <c r="K24" s="130"/>
      <c r="L24" s="178"/>
      <c r="M24" s="175">
        <f t="shared" si="2"/>
        <v>0</v>
      </c>
      <c r="N24" s="176">
        <f t="shared" si="3"/>
        <v>0</v>
      </c>
    </row>
    <row r="25">
      <c r="A25" s="171" t="s">
        <v>519</v>
      </c>
      <c r="B25" s="171" t="s">
        <v>111</v>
      </c>
      <c r="C25" s="171" t="s">
        <v>520</v>
      </c>
      <c r="D25" s="177" t="str">
        <f>IFERROR(SUMIF(E25:N25,"&lt;&gt;")/SUMIF(E25:N25,"&lt;&gt;",E3:N3))</f>
        <v/>
      </c>
      <c r="E25" s="130"/>
      <c r="F25" s="130"/>
      <c r="G25" s="130"/>
      <c r="H25" s="130"/>
      <c r="I25" s="130"/>
      <c r="J25" s="130"/>
      <c r="K25" s="130"/>
      <c r="L25" s="178"/>
      <c r="M25" s="175">
        <f t="shared" si="2"/>
        <v>0</v>
      </c>
      <c r="N25" s="176">
        <f t="shared" si="3"/>
        <v>0</v>
      </c>
    </row>
    <row r="26">
      <c r="A26" s="171" t="s">
        <v>521</v>
      </c>
      <c r="B26" s="171" t="s">
        <v>522</v>
      </c>
      <c r="C26" s="171" t="s">
        <v>523</v>
      </c>
      <c r="D26" s="172">
        <f>IFERROR(SUMIF(E26:N26,"&lt;&gt;")/SUMIF(E26:N26,"&lt;&gt;",E3:N3))</f>
        <v>0.7</v>
      </c>
      <c r="E26" s="173">
        <v>0.0</v>
      </c>
      <c r="F26" s="173">
        <v>0.0</v>
      </c>
      <c r="G26" s="173">
        <v>0.0</v>
      </c>
      <c r="H26" s="173">
        <v>0.0</v>
      </c>
      <c r="I26" s="173">
        <v>0.0</v>
      </c>
      <c r="J26" s="173">
        <v>0.0</v>
      </c>
      <c r="K26" s="173">
        <v>0.0</v>
      </c>
      <c r="L26" s="174">
        <v>3.0</v>
      </c>
      <c r="M26" s="175">
        <f t="shared" si="2"/>
        <v>0</v>
      </c>
      <c r="N26" s="176">
        <f t="shared" si="3"/>
        <v>4</v>
      </c>
    </row>
    <row r="27">
      <c r="A27" s="171" t="s">
        <v>524</v>
      </c>
      <c r="B27" s="171" t="s">
        <v>525</v>
      </c>
      <c r="C27" s="171" t="s">
        <v>526</v>
      </c>
      <c r="D27" s="172">
        <f>IFERROR(SUMIF(E27:N27,"&lt;&gt;")/SUMIF(E27:N27,"&lt;&gt;",E3:N3))</f>
        <v>1.5375</v>
      </c>
      <c r="E27" s="173">
        <v>0.0</v>
      </c>
      <c r="F27" s="173">
        <v>0.0</v>
      </c>
      <c r="G27" s="173">
        <v>1.0</v>
      </c>
      <c r="H27" s="173">
        <v>1.0</v>
      </c>
      <c r="I27" s="173">
        <v>1.0</v>
      </c>
      <c r="J27" s="173">
        <v>1.0</v>
      </c>
      <c r="K27" s="173">
        <v>1.0</v>
      </c>
      <c r="L27" s="174">
        <v>2.0</v>
      </c>
      <c r="M27" s="175">
        <f t="shared" si="2"/>
        <v>0.625</v>
      </c>
      <c r="N27" s="176">
        <f t="shared" si="3"/>
        <v>7.75</v>
      </c>
    </row>
    <row r="28">
      <c r="A28" s="171" t="s">
        <v>527</v>
      </c>
      <c r="B28" s="171" t="s">
        <v>528</v>
      </c>
      <c r="C28" s="171" t="s">
        <v>529</v>
      </c>
      <c r="D28" s="177" t="str">
        <f>IFERROR(SUMIF(E28:N28,"&lt;&gt;")/SUMIF(E28:N28,"&lt;&gt;",E3:N3))</f>
        <v/>
      </c>
      <c r="E28" s="130"/>
      <c r="F28" s="130"/>
      <c r="G28" s="130"/>
      <c r="H28" s="130"/>
      <c r="I28" s="130"/>
      <c r="J28" s="130"/>
      <c r="K28" s="130"/>
      <c r="L28" s="178"/>
      <c r="M28" s="175">
        <f t="shared" si="2"/>
        <v>0</v>
      </c>
      <c r="N28" s="176">
        <f t="shared" si="3"/>
        <v>0</v>
      </c>
    </row>
    <row r="29">
      <c r="A29" s="171" t="s">
        <v>135</v>
      </c>
      <c r="B29" s="171" t="s">
        <v>136</v>
      </c>
      <c r="C29" s="171" t="s">
        <v>139</v>
      </c>
      <c r="D29" s="172">
        <f>IFERROR(SUMIF(E29:N29,"&lt;&gt;")/SUMIF(E29:N29,"&lt;&gt;",E3:N3))</f>
        <v>0.975</v>
      </c>
      <c r="E29" s="173">
        <v>0.0</v>
      </c>
      <c r="F29" s="173">
        <v>0.0</v>
      </c>
      <c r="G29" s="173">
        <v>0.0</v>
      </c>
      <c r="H29" s="173">
        <v>0.0</v>
      </c>
      <c r="I29" s="173">
        <v>1.0</v>
      </c>
      <c r="J29" s="173">
        <v>1.0</v>
      </c>
      <c r="K29" s="173">
        <v>0.0</v>
      </c>
      <c r="L29" s="174">
        <v>2.0</v>
      </c>
      <c r="M29" s="175">
        <f t="shared" si="2"/>
        <v>0.25</v>
      </c>
      <c r="N29" s="176">
        <f t="shared" si="3"/>
        <v>5.5</v>
      </c>
    </row>
    <row r="30">
      <c r="A30" s="171" t="s">
        <v>530</v>
      </c>
      <c r="B30" s="171" t="s">
        <v>531</v>
      </c>
      <c r="C30" s="171" t="s">
        <v>532</v>
      </c>
      <c r="D30" s="172">
        <f>IFERROR(SUMIF(E30:N30,"&lt;&gt;")/SUMIF(E30:N30,"&lt;&gt;",E3:N3))</f>
        <v>1.825</v>
      </c>
      <c r="E30" s="173">
        <v>1.0</v>
      </c>
      <c r="F30" s="173">
        <v>1.0</v>
      </c>
      <c r="G30" s="173">
        <v>1.0</v>
      </c>
      <c r="H30" s="173">
        <v>1.0</v>
      </c>
      <c r="I30" s="173">
        <v>1.0</v>
      </c>
      <c r="J30" s="173">
        <v>1.0</v>
      </c>
      <c r="K30" s="173">
        <v>0.0</v>
      </c>
      <c r="L30" s="174">
        <v>3.0</v>
      </c>
      <c r="M30" s="175">
        <f t="shared" si="2"/>
        <v>0.75</v>
      </c>
      <c r="N30" s="176">
        <f t="shared" si="3"/>
        <v>8.5</v>
      </c>
    </row>
    <row r="31">
      <c r="A31" s="171" t="s">
        <v>533</v>
      </c>
      <c r="B31" s="171" t="s">
        <v>534</v>
      </c>
      <c r="C31" s="171" t="s">
        <v>535</v>
      </c>
      <c r="D31" s="177" t="str">
        <f>IFERROR(SUMIF(E31:N31,"&lt;&gt;")/SUMIF(E31:N31,"&lt;&gt;",E3:N3))</f>
        <v/>
      </c>
      <c r="E31" s="130"/>
      <c r="F31" s="130"/>
      <c r="G31" s="130"/>
      <c r="H31" s="130"/>
      <c r="I31" s="130"/>
      <c r="J31" s="130"/>
      <c r="K31" s="130"/>
      <c r="L31" s="178"/>
      <c r="M31" s="175">
        <f t="shared" si="2"/>
        <v>0</v>
      </c>
      <c r="N31" s="176">
        <f t="shared" si="3"/>
        <v>0</v>
      </c>
    </row>
    <row r="32">
      <c r="A32" s="171" t="s">
        <v>536</v>
      </c>
      <c r="B32" s="171" t="s">
        <v>537</v>
      </c>
      <c r="C32" s="171" t="s">
        <v>538</v>
      </c>
      <c r="D32" s="172">
        <f>IFERROR(SUMIF(E32:N32,"&lt;&gt;")/SUMIF(E32:N32,"&lt;&gt;",E3:N3))</f>
        <v>0.975</v>
      </c>
      <c r="E32" s="173">
        <v>0.0</v>
      </c>
      <c r="F32" s="173">
        <v>0.0</v>
      </c>
      <c r="G32" s="173">
        <v>0.0</v>
      </c>
      <c r="H32" s="173">
        <v>0.0</v>
      </c>
      <c r="I32" s="173">
        <v>1.0</v>
      </c>
      <c r="J32" s="173">
        <v>1.0</v>
      </c>
      <c r="K32" s="173">
        <v>0.0</v>
      </c>
      <c r="L32" s="174">
        <v>2.0</v>
      </c>
      <c r="M32" s="175">
        <f t="shared" si="2"/>
        <v>0.25</v>
      </c>
      <c r="N32" s="176">
        <f t="shared" si="3"/>
        <v>5.5</v>
      </c>
    </row>
    <row r="33">
      <c r="A33" s="171" t="s">
        <v>539</v>
      </c>
      <c r="B33" s="171" t="s">
        <v>540</v>
      </c>
      <c r="C33" s="171" t="s">
        <v>541</v>
      </c>
      <c r="D33" s="172">
        <f>IFERROR(SUMIF(E33:N33,"&lt;&gt;")/SUMIF(E33:N33,"&lt;&gt;",E3:N3))</f>
        <v>0.375</v>
      </c>
      <c r="E33" s="173">
        <v>1.0</v>
      </c>
      <c r="F33" s="173">
        <v>1.0</v>
      </c>
      <c r="G33" s="173">
        <v>0.0</v>
      </c>
      <c r="H33" s="173">
        <v>0.0</v>
      </c>
      <c r="I33" s="173">
        <v>0.0</v>
      </c>
      <c r="J33" s="173">
        <v>0.0</v>
      </c>
      <c r="K33" s="173">
        <v>0.0</v>
      </c>
      <c r="L33" s="174">
        <v>0.0</v>
      </c>
      <c r="M33" s="175">
        <f t="shared" si="2"/>
        <v>0.25</v>
      </c>
      <c r="N33" s="176">
        <f t="shared" si="3"/>
        <v>1.5</v>
      </c>
    </row>
    <row r="34">
      <c r="A34" s="171" t="s">
        <v>542</v>
      </c>
      <c r="B34" s="171" t="s">
        <v>543</v>
      </c>
      <c r="C34" s="171" t="s">
        <v>544</v>
      </c>
      <c r="D34" s="172">
        <f>IFERROR(SUMIF(E34:N34,"&lt;&gt;")/SUMIF(E34:N34,"&lt;&gt;",E3:N3))</f>
        <v>0.1875</v>
      </c>
      <c r="E34" s="173">
        <v>1.0</v>
      </c>
      <c r="F34" s="173">
        <v>0.0</v>
      </c>
      <c r="G34" s="173">
        <v>0.0</v>
      </c>
      <c r="H34" s="173">
        <v>0.0</v>
      </c>
      <c r="I34" s="173">
        <v>0.0</v>
      </c>
      <c r="J34" s="173">
        <v>0.0</v>
      </c>
      <c r="K34" s="173">
        <v>0.0</v>
      </c>
      <c r="L34" s="174">
        <v>0.0</v>
      </c>
      <c r="M34" s="175">
        <f t="shared" si="2"/>
        <v>0.125</v>
      </c>
      <c r="N34" s="176">
        <f t="shared" si="3"/>
        <v>0.75</v>
      </c>
    </row>
    <row r="35">
      <c r="A35" s="171" t="s">
        <v>545</v>
      </c>
      <c r="B35" s="171" t="s">
        <v>137</v>
      </c>
      <c r="C35" s="171" t="s">
        <v>546</v>
      </c>
      <c r="D35" s="172">
        <f>IFERROR(SUMIF(E35:N35,"&lt;&gt;")/SUMIF(E35:N35,"&lt;&gt;",E3:N3))</f>
        <v>1.825</v>
      </c>
      <c r="E35" s="173">
        <v>0.0</v>
      </c>
      <c r="F35" s="173">
        <v>1.0</v>
      </c>
      <c r="G35" s="173">
        <v>1.0</v>
      </c>
      <c r="H35" s="173">
        <v>1.0</v>
      </c>
      <c r="I35" s="173">
        <v>1.0</v>
      </c>
      <c r="J35" s="173">
        <v>1.0</v>
      </c>
      <c r="K35" s="173">
        <v>1.0</v>
      </c>
      <c r="L35" s="174">
        <v>3.0</v>
      </c>
      <c r="M35" s="175">
        <f t="shared" si="2"/>
        <v>0.75</v>
      </c>
      <c r="N35" s="176">
        <f t="shared" si="3"/>
        <v>8.5</v>
      </c>
    </row>
    <row r="36">
      <c r="A36" s="171" t="s">
        <v>547</v>
      </c>
      <c r="B36" s="171" t="s">
        <v>137</v>
      </c>
      <c r="C36" s="171" t="s">
        <v>548</v>
      </c>
      <c r="D36" s="172">
        <f>IFERROR(SUMIF(E36:N36,"&lt;&gt;")/SUMIF(E36:N36,"&lt;&gt;",E3:N3))</f>
        <v>0.7</v>
      </c>
      <c r="E36" s="173">
        <v>0.0</v>
      </c>
      <c r="F36" s="173">
        <v>0.0</v>
      </c>
      <c r="G36" s="173">
        <v>0.0</v>
      </c>
      <c r="H36" s="173">
        <v>0.0</v>
      </c>
      <c r="I36" s="173">
        <v>0.0</v>
      </c>
      <c r="J36" s="173">
        <v>0.0</v>
      </c>
      <c r="K36" s="173">
        <v>0.0</v>
      </c>
      <c r="L36" s="174">
        <v>3.0</v>
      </c>
      <c r="M36" s="175">
        <f t="shared" si="2"/>
        <v>0</v>
      </c>
      <c r="N36" s="176">
        <f t="shared" si="3"/>
        <v>4</v>
      </c>
    </row>
    <row r="37">
      <c r="A37" s="171" t="s">
        <v>549</v>
      </c>
      <c r="B37" s="171" t="s">
        <v>95</v>
      </c>
      <c r="C37" s="171" t="s">
        <v>550</v>
      </c>
      <c r="D37" s="172">
        <f>IFERROR(SUMIF(E37:N37,"&lt;&gt;")/SUMIF(E37:N37,"&lt;&gt;",E3:N3))</f>
        <v>0.1875</v>
      </c>
      <c r="E37" s="173">
        <v>0.0</v>
      </c>
      <c r="F37" s="173">
        <v>0.0</v>
      </c>
      <c r="G37" s="173">
        <v>1.0</v>
      </c>
      <c r="H37" s="173">
        <v>0.0</v>
      </c>
      <c r="I37" s="173">
        <v>0.0</v>
      </c>
      <c r="J37" s="173">
        <v>0.0</v>
      </c>
      <c r="K37" s="173">
        <v>0.0</v>
      </c>
      <c r="L37" s="174">
        <v>0.0</v>
      </c>
      <c r="M37" s="175">
        <f t="shared" si="2"/>
        <v>0.125</v>
      </c>
      <c r="N37" s="176">
        <f t="shared" si="3"/>
        <v>0.75</v>
      </c>
    </row>
    <row r="38">
      <c r="A38" s="171" t="s">
        <v>551</v>
      </c>
      <c r="B38" s="171" t="s">
        <v>552</v>
      </c>
      <c r="C38" s="171" t="s">
        <v>553</v>
      </c>
      <c r="D38" s="177" t="str">
        <f>IFERROR(SUMIF(E38:N38,"&lt;&gt;")/SUMIF(E38:N38,"&lt;&gt;",E3:N3))</f>
        <v/>
      </c>
      <c r="E38" s="130"/>
      <c r="F38" s="130"/>
      <c r="G38" s="130"/>
      <c r="H38" s="130"/>
      <c r="I38" s="130"/>
      <c r="J38" s="130"/>
      <c r="K38" s="130"/>
      <c r="L38" s="178"/>
      <c r="M38" s="175">
        <f t="shared" si="2"/>
        <v>0</v>
      </c>
      <c r="N38" s="176">
        <f t="shared" si="3"/>
        <v>0</v>
      </c>
    </row>
    <row r="39">
      <c r="A39" s="171" t="s">
        <v>554</v>
      </c>
      <c r="B39" s="171" t="s">
        <v>555</v>
      </c>
      <c r="C39" s="171" t="s">
        <v>556</v>
      </c>
      <c r="D39" s="177" t="str">
        <f>IFERROR(SUMIF(E39:N39,"&lt;&gt;")/SUMIF(E39:N39,"&lt;&gt;",E3:N3))</f>
        <v/>
      </c>
      <c r="E39" s="130"/>
      <c r="F39" s="130"/>
      <c r="G39" s="130"/>
      <c r="H39" s="130"/>
      <c r="I39" s="130"/>
      <c r="J39" s="130"/>
      <c r="K39" s="130"/>
      <c r="L39" s="178"/>
      <c r="M39" s="175">
        <f t="shared" si="2"/>
        <v>0</v>
      </c>
      <c r="N39" s="176">
        <f t="shared" si="3"/>
        <v>0</v>
      </c>
    </row>
    <row r="40">
      <c r="A40" s="171" t="s">
        <v>118</v>
      </c>
      <c r="B40" s="171" t="s">
        <v>119</v>
      </c>
      <c r="C40" s="171" t="s">
        <v>422</v>
      </c>
      <c r="D40" s="172">
        <f>IFERROR(SUMIF(E40:N40,"&lt;&gt;")/SUMIF(E40:N40,"&lt;&gt;",E3:N3))</f>
        <v>1.5375</v>
      </c>
      <c r="E40" s="173">
        <v>1.0</v>
      </c>
      <c r="F40" s="173">
        <v>0.0</v>
      </c>
      <c r="G40" s="173">
        <v>1.0</v>
      </c>
      <c r="H40" s="173">
        <v>1.0</v>
      </c>
      <c r="I40" s="173">
        <v>1.0</v>
      </c>
      <c r="J40" s="173">
        <v>1.0</v>
      </c>
      <c r="K40" s="173">
        <v>0.0</v>
      </c>
      <c r="L40" s="174">
        <v>2.0</v>
      </c>
      <c r="M40" s="175">
        <f t="shared" si="2"/>
        <v>0.625</v>
      </c>
      <c r="N40" s="176">
        <f t="shared" si="3"/>
        <v>7.75</v>
      </c>
    </row>
    <row r="41">
      <c r="A41" s="171" t="s">
        <v>557</v>
      </c>
      <c r="B41" s="171" t="s">
        <v>558</v>
      </c>
      <c r="C41" s="171" t="s">
        <v>559</v>
      </c>
      <c r="D41" s="172">
        <f>IFERROR(SUMIF(E41:N41,"&lt;&gt;")/SUMIF(E41:N41,"&lt;&gt;",E3:N3))</f>
        <v>0.8</v>
      </c>
      <c r="E41" s="173">
        <v>0.0</v>
      </c>
      <c r="F41" s="173">
        <v>0.0</v>
      </c>
      <c r="G41" s="173">
        <v>0.0</v>
      </c>
      <c r="H41" s="173">
        <v>0.0</v>
      </c>
      <c r="I41" s="173">
        <v>0.0</v>
      </c>
      <c r="J41" s="173">
        <v>0.0</v>
      </c>
      <c r="K41" s="173">
        <v>0.0</v>
      </c>
      <c r="L41" s="174">
        <v>4.0</v>
      </c>
      <c r="M41" s="175">
        <f t="shared" si="2"/>
        <v>0</v>
      </c>
      <c r="N41" s="176">
        <f t="shared" si="3"/>
        <v>4</v>
      </c>
    </row>
    <row r="42">
      <c r="A42" s="171" t="s">
        <v>560</v>
      </c>
      <c r="B42" s="171" t="s">
        <v>561</v>
      </c>
      <c r="C42" s="171" t="s">
        <v>562</v>
      </c>
      <c r="D42" s="172">
        <f>IFERROR(SUMIF(E42:N42,"&lt;&gt;")/SUMIF(E42:N42,"&lt;&gt;",E3:N3))</f>
        <v>0.9875</v>
      </c>
      <c r="E42" s="173">
        <v>0.0</v>
      </c>
      <c r="F42" s="173">
        <v>1.0</v>
      </c>
      <c r="G42" s="173">
        <v>0.0</v>
      </c>
      <c r="H42" s="173">
        <v>0.0</v>
      </c>
      <c r="I42" s="173">
        <v>0.0</v>
      </c>
      <c r="J42" s="173">
        <v>0.0</v>
      </c>
      <c r="K42" s="173">
        <v>0.0</v>
      </c>
      <c r="L42" s="174">
        <v>4.0</v>
      </c>
      <c r="M42" s="175">
        <f t="shared" si="2"/>
        <v>0.125</v>
      </c>
      <c r="N42" s="176">
        <f t="shared" si="3"/>
        <v>4.75</v>
      </c>
    </row>
    <row r="43">
      <c r="A43" s="171" t="s">
        <v>127</v>
      </c>
      <c r="B43" s="171" t="s">
        <v>94</v>
      </c>
      <c r="C43" s="171" t="s">
        <v>424</v>
      </c>
      <c r="D43" s="177" t="str">
        <f>IFERROR(SUMIF(E43:N43,"&lt;&gt;")/SUMIF(E43:N43,"&lt;&gt;",E3:N3))</f>
        <v/>
      </c>
      <c r="E43" s="130"/>
      <c r="F43" s="130"/>
      <c r="G43" s="130"/>
      <c r="H43" s="130"/>
      <c r="I43" s="130"/>
      <c r="J43" s="130"/>
      <c r="K43" s="130"/>
      <c r="L43" s="178"/>
      <c r="M43" s="175">
        <f t="shared" si="2"/>
        <v>0</v>
      </c>
      <c r="N43" s="176">
        <f t="shared" si="3"/>
        <v>0</v>
      </c>
    </row>
    <row r="44">
      <c r="A44" s="171" t="s">
        <v>563</v>
      </c>
      <c r="B44" s="171" t="s">
        <v>94</v>
      </c>
      <c r="C44" s="171" t="s">
        <v>564</v>
      </c>
      <c r="D44" s="172">
        <f>IFERROR(SUMIF(E44:N44,"&lt;&gt;")/SUMIF(E44:N44,"&lt;&gt;",E3:N3))</f>
        <v>1.1625</v>
      </c>
      <c r="E44" s="173">
        <v>0.0</v>
      </c>
      <c r="F44" s="173">
        <v>0.0</v>
      </c>
      <c r="G44" s="173">
        <v>0.0</v>
      </c>
      <c r="H44" s="173">
        <v>1.0</v>
      </c>
      <c r="I44" s="173">
        <v>1.0</v>
      </c>
      <c r="J44" s="173">
        <v>1.0</v>
      </c>
      <c r="K44" s="173">
        <v>0.0</v>
      </c>
      <c r="L44" s="174">
        <v>2.0</v>
      </c>
      <c r="M44" s="175">
        <f t="shared" si="2"/>
        <v>0.375</v>
      </c>
      <c r="N44" s="176">
        <f t="shared" si="3"/>
        <v>6.25</v>
      </c>
    </row>
    <row r="45">
      <c r="A45" s="171" t="s">
        <v>565</v>
      </c>
      <c r="B45" s="171" t="s">
        <v>566</v>
      </c>
      <c r="C45" s="171" t="s">
        <v>567</v>
      </c>
      <c r="D45" s="177" t="str">
        <f>IFERROR(SUMIF(E45:N45,"&lt;&gt;")/SUMIF(E45:N45,"&lt;&gt;",E3:N3))</f>
        <v/>
      </c>
      <c r="E45" s="130"/>
      <c r="F45" s="130"/>
      <c r="G45" s="130"/>
      <c r="H45" s="130"/>
      <c r="I45" s="130"/>
      <c r="J45" s="130"/>
      <c r="K45" s="130"/>
      <c r="L45" s="178"/>
      <c r="M45" s="175">
        <f t="shared" si="2"/>
        <v>0</v>
      </c>
      <c r="N45" s="176">
        <f t="shared" si="3"/>
        <v>0</v>
      </c>
    </row>
    <row r="46">
      <c r="A46" s="171" t="s">
        <v>568</v>
      </c>
      <c r="B46" s="171" t="s">
        <v>159</v>
      </c>
      <c r="C46" s="171" t="s">
        <v>569</v>
      </c>
      <c r="D46" s="177" t="str">
        <f>IFERROR(SUMIF(E46:N46,"&lt;&gt;")/SUMIF(E46:N46,"&lt;&gt;",E3:N3))</f>
        <v/>
      </c>
      <c r="E46" s="130"/>
      <c r="F46" s="130"/>
      <c r="G46" s="130"/>
      <c r="H46" s="130"/>
      <c r="I46" s="130"/>
      <c r="J46" s="130"/>
      <c r="K46" s="130"/>
      <c r="L46" s="178"/>
      <c r="M46" s="175">
        <f t="shared" si="2"/>
        <v>0</v>
      </c>
      <c r="N46" s="176">
        <f t="shared" si="3"/>
        <v>0</v>
      </c>
    </row>
    <row r="47">
      <c r="A47" s="171" t="s">
        <v>570</v>
      </c>
      <c r="B47" s="171" t="s">
        <v>85</v>
      </c>
      <c r="C47" s="171" t="s">
        <v>571</v>
      </c>
      <c r="D47" s="172">
        <f>IFERROR(SUMIF(E47:N47,"&lt;&gt;")/SUMIF(E47:N47,"&lt;&gt;",E3:N3))</f>
        <v>0.7</v>
      </c>
      <c r="E47" s="173">
        <v>0.0</v>
      </c>
      <c r="F47" s="173">
        <v>0.0</v>
      </c>
      <c r="G47" s="173">
        <v>0.0</v>
      </c>
      <c r="H47" s="173">
        <v>0.0</v>
      </c>
      <c r="I47" s="173">
        <v>0.0</v>
      </c>
      <c r="J47" s="173">
        <v>0.0</v>
      </c>
      <c r="K47" s="173">
        <v>0.0</v>
      </c>
      <c r="L47" s="174">
        <v>3.0</v>
      </c>
      <c r="M47" s="175">
        <f t="shared" si="2"/>
        <v>0</v>
      </c>
      <c r="N47" s="176">
        <f t="shared" si="3"/>
        <v>4</v>
      </c>
    </row>
    <row r="48">
      <c r="A48" s="171" t="s">
        <v>572</v>
      </c>
      <c r="B48" s="171" t="s">
        <v>85</v>
      </c>
      <c r="C48" s="171" t="s">
        <v>573</v>
      </c>
      <c r="D48" s="177" t="str">
        <f>IFERROR(SUMIF(E48:N48,"&lt;&gt;")/SUMIF(E48:N48,"&lt;&gt;",E3:N3))</f>
        <v/>
      </c>
      <c r="E48" s="130"/>
      <c r="F48" s="130"/>
      <c r="G48" s="130"/>
      <c r="H48" s="130"/>
      <c r="I48" s="130"/>
      <c r="J48" s="130"/>
      <c r="K48" s="130"/>
      <c r="L48" s="178"/>
      <c r="M48" s="175">
        <f t="shared" si="2"/>
        <v>0</v>
      </c>
      <c r="N48" s="176">
        <f t="shared" si="3"/>
        <v>0</v>
      </c>
    </row>
    <row r="49">
      <c r="A49" s="171" t="s">
        <v>574</v>
      </c>
      <c r="B49" s="171" t="s">
        <v>27</v>
      </c>
      <c r="C49" s="171" t="s">
        <v>575</v>
      </c>
      <c r="D49" s="172">
        <f>IFERROR(SUMIF(E49:N49,"&lt;&gt;")/SUMIF(E49:N49,"&lt;&gt;",E3:N3))</f>
        <v>1.2625</v>
      </c>
      <c r="E49" s="173">
        <v>0.0</v>
      </c>
      <c r="F49" s="173">
        <v>0.0</v>
      </c>
      <c r="G49" s="173">
        <v>0.0</v>
      </c>
      <c r="H49" s="173">
        <v>1.0</v>
      </c>
      <c r="I49" s="173">
        <v>1.0</v>
      </c>
      <c r="J49" s="173">
        <v>0.0</v>
      </c>
      <c r="K49" s="173">
        <v>1.0</v>
      </c>
      <c r="L49" s="174">
        <v>3.0</v>
      </c>
      <c r="M49" s="175">
        <f t="shared" si="2"/>
        <v>0.375</v>
      </c>
      <c r="N49" s="176">
        <f t="shared" si="3"/>
        <v>6.25</v>
      </c>
    </row>
    <row r="50">
      <c r="A50" s="171" t="s">
        <v>576</v>
      </c>
      <c r="B50" s="171" t="s">
        <v>577</v>
      </c>
      <c r="C50" s="171" t="s">
        <v>578</v>
      </c>
      <c r="D50" s="177" t="str">
        <f>IFERROR(SUMIF(E50:N50,"&lt;&gt;")/SUMIF(E50:N50,"&lt;&gt;",E3:N3))</f>
        <v/>
      </c>
      <c r="E50" s="130"/>
      <c r="F50" s="130"/>
      <c r="G50" s="130"/>
      <c r="H50" s="130"/>
      <c r="I50" s="130"/>
      <c r="J50" s="130"/>
      <c r="K50" s="130"/>
      <c r="L50" s="178"/>
      <c r="M50" s="175">
        <f t="shared" si="2"/>
        <v>0</v>
      </c>
      <c r="N50" s="176">
        <f t="shared" si="3"/>
        <v>0</v>
      </c>
    </row>
    <row r="51">
      <c r="A51" s="171" t="s">
        <v>579</v>
      </c>
      <c r="B51" s="171" t="s">
        <v>580</v>
      </c>
      <c r="C51" s="171" t="s">
        <v>581</v>
      </c>
      <c r="D51" s="177" t="str">
        <f>IFERROR(SUMIF(E51:N51,"&lt;&gt;")/SUMIF(E51:N51,"&lt;&gt;",E3:N3))</f>
        <v/>
      </c>
      <c r="E51" s="130"/>
      <c r="F51" s="130"/>
      <c r="G51" s="130"/>
      <c r="H51" s="130"/>
      <c r="I51" s="130"/>
      <c r="J51" s="130"/>
      <c r="K51" s="130"/>
      <c r="L51" s="178"/>
      <c r="M51" s="175">
        <f t="shared" si="2"/>
        <v>0</v>
      </c>
      <c r="N51" s="176">
        <f t="shared" si="3"/>
        <v>0</v>
      </c>
    </row>
    <row r="52">
      <c r="A52" s="171" t="s">
        <v>582</v>
      </c>
      <c r="B52" s="171" t="s">
        <v>583</v>
      </c>
      <c r="C52" s="171" t="s">
        <v>584</v>
      </c>
      <c r="D52" s="177" t="str">
        <f>IFERROR(SUMIF(E52:N52,"&lt;&gt;")/SUMIF(E52:N52,"&lt;&gt;",E3:N3))</f>
        <v/>
      </c>
      <c r="E52" s="130"/>
      <c r="F52" s="130"/>
      <c r="G52" s="130"/>
      <c r="H52" s="130"/>
      <c r="I52" s="130"/>
      <c r="J52" s="130"/>
      <c r="K52" s="130"/>
      <c r="L52" s="178"/>
      <c r="M52" s="175">
        <f t="shared" si="2"/>
        <v>0</v>
      </c>
      <c r="N52" s="176">
        <f t="shared" si="3"/>
        <v>0</v>
      </c>
    </row>
    <row r="53">
      <c r="A53" s="171" t="s">
        <v>102</v>
      </c>
      <c r="B53" s="171" t="s">
        <v>585</v>
      </c>
      <c r="C53" s="171" t="s">
        <v>586</v>
      </c>
      <c r="D53" s="177" t="str">
        <f>IFERROR(SUMIF(E53:N53,"&lt;&gt;")/SUMIF(E53:N53,"&lt;&gt;",E3:N3))</f>
        <v/>
      </c>
      <c r="E53" s="130"/>
      <c r="F53" s="130"/>
      <c r="G53" s="130"/>
      <c r="H53" s="130"/>
      <c r="I53" s="130"/>
      <c r="J53" s="130"/>
      <c r="K53" s="130"/>
      <c r="L53" s="178"/>
      <c r="M53" s="175">
        <f t="shared" si="2"/>
        <v>0</v>
      </c>
      <c r="N53" s="176">
        <f t="shared" si="3"/>
        <v>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2025-01-06T15:20:31Z</dcterms:created>
  <dc:creator>21132576A1</dc:creator>
</cp:coreProperties>
</file>