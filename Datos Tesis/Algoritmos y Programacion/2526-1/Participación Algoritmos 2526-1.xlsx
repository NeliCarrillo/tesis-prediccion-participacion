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" sheetId="1" r:id="rId5"/>
    <sheet state="visible" name="Total" sheetId="2" r:id="rId6"/>
  </sheets>
  <definedNames/>
  <calcPr/>
</workbook>
</file>

<file path=xl/sharedStrings.xml><?xml version="1.0" encoding="utf-8"?>
<sst xmlns="http://schemas.openxmlformats.org/spreadsheetml/2006/main" count="153" uniqueCount="107">
  <si>
    <t>CEDULA</t>
  </si>
  <si>
    <t>Nombre(s)</t>
  </si>
  <si>
    <t>APELLIDO</t>
  </si>
  <si>
    <t>Apellido(s)</t>
  </si>
  <si>
    <t>NOMBRE</t>
  </si>
  <si>
    <t>Número de ID</t>
  </si>
  <si>
    <t>Examen Parcial I</t>
  </si>
  <si>
    <t>Examen Parcial II</t>
  </si>
  <si>
    <t>Quiz 1 de programación</t>
  </si>
  <si>
    <t>Quiz 2 de programación (sec 1)</t>
  </si>
  <si>
    <t>Total Quizzes de programación</t>
  </si>
  <si>
    <t>Quiz 1 de Evaluación Continua - Bases conceptuales</t>
  </si>
  <si>
    <t>Dinámica de la clase 2 - Expresiones y asignaciones</t>
  </si>
  <si>
    <t>Quiz Prepa sem 1 - Expresiones y asignaciones</t>
  </si>
  <si>
    <t>Dinámica clase 3 - Estructuras de Decisión</t>
  </si>
  <si>
    <t>Dinámica clase 4 - Estructuras de Repetición</t>
  </si>
  <si>
    <t>Quiz prepa sem 2 - Estructuras de Repetición</t>
  </si>
  <si>
    <t>Dinámica clase 5 - Manejo de Arreglos</t>
  </si>
  <si>
    <t>Quiz prepa sem 3 - Manejo de Arreglos</t>
  </si>
  <si>
    <t>Quiz 6 de Evaluación Continua - Diccionarios</t>
  </si>
  <si>
    <t>Quiz 7 de Evaluación Continua - Pase de parámetros</t>
  </si>
  <si>
    <t>Actividad de Repaso (sec 1 y 5)</t>
  </si>
  <si>
    <t>Quiz 8 de Evaluación Continua - Introducción a la POO</t>
  </si>
  <si>
    <t>Dinámica clase 9 - Encapsulamiento</t>
  </si>
  <si>
    <t>Quiz prepa sem 6 - Encapsulamiento</t>
  </si>
  <si>
    <t>Quiz 10 de Evaluación Continua - Diagrama de Clases</t>
  </si>
  <si>
    <t>Quiz 11 de Evaluación Continua - Entrada de datos</t>
  </si>
  <si>
    <t>Dinámica clase 12 - Recursividad</t>
  </si>
  <si>
    <t>Quiz prepa sem 8 - Recursividad</t>
  </si>
  <si>
    <t>Dinámica clase 13 - Ordenamiento</t>
  </si>
  <si>
    <t>Quiz 14 de Evaluación Contínua - Búsqueda</t>
  </si>
  <si>
    <t>Quiz 15 de Evaluación Contínua - Complejidad</t>
  </si>
  <si>
    <t>Total Evaluación Continua</t>
  </si>
  <si>
    <t>Total</t>
  </si>
  <si>
    <t>Proyecto</t>
  </si>
  <si>
    <t>Bono Quiz 1 de programación</t>
  </si>
  <si>
    <t>Bono Quiz 2 de programación</t>
  </si>
  <si>
    <t>Bono Proyecto</t>
  </si>
  <si>
    <t>Bono Programación Competitiva</t>
  </si>
  <si>
    <t>Total Bonos</t>
  </si>
  <si>
    <t>Total del curso</t>
  </si>
  <si>
    <t>Partic</t>
  </si>
  <si>
    <t>Def</t>
  </si>
  <si>
    <t>Cesar</t>
  </si>
  <si>
    <t>Alonso</t>
  </si>
  <si>
    <t>Daniel</t>
  </si>
  <si>
    <t>Araujo</t>
  </si>
  <si>
    <t>Samuel</t>
  </si>
  <si>
    <t>Barriola</t>
  </si>
  <si>
    <t>Antonio</t>
  </si>
  <si>
    <t>Barroso</t>
  </si>
  <si>
    <t>Gustavo</t>
  </si>
  <si>
    <t>Becerra</t>
  </si>
  <si>
    <t>Oscar</t>
  </si>
  <si>
    <t>Blanco</t>
  </si>
  <si>
    <t>Juan</t>
  </si>
  <si>
    <t>Carnevali</t>
  </si>
  <si>
    <t>María</t>
  </si>
  <si>
    <t>Coll</t>
  </si>
  <si>
    <t>Ghazal El Bar</t>
  </si>
  <si>
    <t>Jose</t>
  </si>
  <si>
    <t>Gustavo Enrique</t>
  </si>
  <si>
    <t>Barroso Quintero</t>
  </si>
  <si>
    <t>Gonzalez</t>
  </si>
  <si>
    <t>Lara</t>
  </si>
  <si>
    <t>Diego</t>
  </si>
  <si>
    <t>Medina</t>
  </si>
  <si>
    <t>Víctor</t>
  </si>
  <si>
    <t>Navarro</t>
  </si>
  <si>
    <t>Jesus</t>
  </si>
  <si>
    <t>Ojeda</t>
  </si>
  <si>
    <t>Rafael</t>
  </si>
  <si>
    <t>Ordaz</t>
  </si>
  <si>
    <t>Javier</t>
  </si>
  <si>
    <t>Quintero</t>
  </si>
  <si>
    <t>María Camila</t>
  </si>
  <si>
    <t>Carnevali Amarillo</t>
  </si>
  <si>
    <t>Rodrigues</t>
  </si>
  <si>
    <t>Luis</t>
  </si>
  <si>
    <t>Rodriguez</t>
  </si>
  <si>
    <t>Rojas</t>
  </si>
  <si>
    <t>Santaella</t>
  </si>
  <si>
    <t>Willian</t>
  </si>
  <si>
    <t>Sierra</t>
  </si>
  <si>
    <t>Maria</t>
  </si>
  <si>
    <t>Solorzano</t>
  </si>
  <si>
    <t>Valeria</t>
  </si>
  <si>
    <t>Retirado</t>
  </si>
  <si>
    <t>Sulbaran</t>
  </si>
  <si>
    <t>Abraham</t>
  </si>
  <si>
    <t>Toscano</t>
  </si>
  <si>
    <t>Sebastian</t>
  </si>
  <si>
    <t>Valero</t>
  </si>
  <si>
    <t>Reinaldo</t>
  </si>
  <si>
    <t>Vergel</t>
  </si>
  <si>
    <t>Diego Alejandro</t>
  </si>
  <si>
    <t>Lara Barreto</t>
  </si>
  <si>
    <t>Victor</t>
  </si>
  <si>
    <t>Jesús</t>
  </si>
  <si>
    <t>Rafael Alejandro</t>
  </si>
  <si>
    <t>Ojeda Ortega</t>
  </si>
  <si>
    <t>Javier Antonio</t>
  </si>
  <si>
    <t>Ordaz Errante</t>
  </si>
  <si>
    <t>Diego Andres</t>
  </si>
  <si>
    <t>Rodriguez Andretta</t>
  </si>
  <si>
    <t>Valeria Jose</t>
  </si>
  <si>
    <t>Solorzano 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</si>
</sst>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d mmm"/>
    <numFmt numFmtId="166" formatCode="0&quot;/20&quot;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Calibri"/>
    </font>
    <font>
      <b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readingOrder="0"/>
    </xf>
    <xf borderId="1" fillId="0" fontId="6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2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4" numFmtId="9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right" readingOrder="0"/>
    </xf>
    <xf borderId="0" fillId="0" fontId="4" numFmtId="0" xfId="0" applyAlignment="1" applyFont="1">
      <alignment horizontal="center"/>
    </xf>
    <xf borderId="0" fillId="0" fontId="7" numFmtId="166" xfId="0" applyAlignment="1" applyFont="1" applyNumberFormat="1">
      <alignment horizontal="right" readingOrder="0"/>
    </xf>
    <xf borderId="0" fillId="0" fontId="6" numFmtId="0" xfId="0" applyAlignment="1" applyFont="1">
      <alignment readingOrder="0" shrinkToFit="0" vertical="bottom" wrapText="0"/>
    </xf>
    <xf borderId="0" fillId="0" fontId="4" numFmtId="2" xfId="0" applyAlignment="1" applyFont="1" applyNumberForma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otal-style">
      <tableStyleElement dxfId="1" type="headerRow"/>
      <tableStyleElement dxfId="3" type="firstRowStripe"/>
      <tableStyleElement dxfId="4" type="secondRowStripe"/>
    </tableStyle>
    <tableStyle count="3" pivot="0" name="Partic-style">
      <tableStyleElement dxfId="2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S29" displayName="Table_1" name="Table_1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ar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M28" displayName="Table_2" name="Table_2" id="1">
  <tableColumns count="39">
    <tableColumn name="Nombre(s)" id="1"/>
    <tableColumn name="Apellido(s)" id="2"/>
    <tableColumn name="Número de ID" id="3"/>
    <tableColumn name="Examen Parcial I" id="4"/>
    <tableColumn name="Examen Parcial II" id="5"/>
    <tableColumn name="Quiz 1 de programación" id="6"/>
    <tableColumn name="Quiz 2 de programación (sec 1)" id="7"/>
    <tableColumn name="Total Quizzes de programación" id="8"/>
    <tableColumn name="Quiz 1 de Evaluación Continua - Bases conceptuales" id="9"/>
    <tableColumn name="Dinámica de la clase 2 - Expresiones y asignaciones" id="10"/>
    <tableColumn name="Quiz Prepa sem 1 - Expresiones y asignaciones" id="11"/>
    <tableColumn name="Dinámica clase 3 - Estructuras de Decisión" id="12"/>
    <tableColumn name="Dinámica clase 4 - Estructuras de Repetición" id="13"/>
    <tableColumn name="Quiz prepa sem 2 - Estructuras de Repetición" id="14"/>
    <tableColumn name="Dinámica clase 5 - Manejo de Arreglos" id="15"/>
    <tableColumn name="Quiz prepa sem 3 - Manejo de Arreglos" id="16"/>
    <tableColumn name="Quiz 6 de Evaluación Continua - Diccionarios" id="17"/>
    <tableColumn name="Quiz 7 de Evaluación Continua - Pase de parámetros" id="18"/>
    <tableColumn name="Actividad de Repaso (sec 1 y 5)" id="19"/>
    <tableColumn name="Quiz 8 de Evaluación Continua - Introducción a la POO" id="20"/>
    <tableColumn name="Dinámica clase 9 - Encapsulamiento" id="21"/>
    <tableColumn name="Quiz prepa sem 6 - Encapsulamiento" id="22"/>
    <tableColumn name="Quiz 10 de Evaluación Continua - Diagrama de Clases" id="23"/>
    <tableColumn name="Quiz 11 de Evaluación Continua - Entrada de datos" id="24"/>
    <tableColumn name="Dinámica clase 12 - Recursividad" id="25"/>
    <tableColumn name="Quiz prepa sem 8 - Recursividad" id="26"/>
    <tableColumn name="Dinámica clase 13 - Ordenamiento" id="27"/>
    <tableColumn name="Quiz 14 de Evaluación Contínua - Búsqueda" id="28"/>
    <tableColumn name="Quiz 15 de Evaluación Contínua - Complejidad" id="29"/>
    <tableColumn name="Total Evaluación Continua" id="30"/>
    <tableColumn name="Proyecto" id="31"/>
    <tableColumn name="Bono Quiz 1 de programación" id="32"/>
    <tableColumn name="Bono Quiz 2 de programación" id="33"/>
    <tableColumn name="Bono Proyecto" id="34"/>
    <tableColumn name="Bono Programación Competitiva" id="35"/>
    <tableColumn name="Total Bonos" id="36"/>
    <tableColumn name="Total del curso" id="37"/>
    <tableColumn name="Partic" id="38"/>
    <tableColumn name="Def" id="39"/>
  </tableColumns>
  <tableStyleInfo name="To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0.63"/>
    <col customWidth="1" min="3" max="3" width="8.13"/>
    <col customWidth="1" min="4" max="4" width="5.38"/>
    <col customWidth="1" min="5" max="9" width="6.25"/>
    <col customWidth="1" min="10" max="17" width="5.63"/>
    <col customWidth="1" min="18" max="18" width="6.25"/>
    <col customWidth="1" min="19" max="19" width="4.88"/>
  </cols>
  <sheetData>
    <row r="1">
      <c r="A1" s="1" t="s">
        <v>0</v>
      </c>
      <c r="B1" s="1" t="s">
        <v>2</v>
      </c>
      <c r="C1" s="1" t="s">
        <v>4</v>
      </c>
      <c r="D1" s="3">
        <v>45908.0</v>
      </c>
      <c r="E1" s="3">
        <v>45910.0</v>
      </c>
      <c r="F1" s="3">
        <v>45917.0</v>
      </c>
      <c r="G1" s="3">
        <v>45922.0</v>
      </c>
      <c r="H1" s="3">
        <v>45924.0</v>
      </c>
      <c r="I1" s="3">
        <v>45929.0</v>
      </c>
      <c r="J1" s="5">
        <v>45938.0</v>
      </c>
      <c r="K1" s="6">
        <v>45945.0</v>
      </c>
      <c r="L1" s="6">
        <v>45952.0</v>
      </c>
      <c r="M1" s="6">
        <v>45957.0</v>
      </c>
      <c r="N1" s="6">
        <v>45959.0</v>
      </c>
      <c r="O1" s="6">
        <v>45964.0</v>
      </c>
      <c r="P1" s="6">
        <v>45971.0</v>
      </c>
      <c r="Q1" s="6">
        <v>45973.0</v>
      </c>
      <c r="R1" s="5">
        <v>45978.0</v>
      </c>
      <c r="S1" s="7" t="s">
        <v>33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10">
        <v>2.9678921E7</v>
      </c>
      <c r="B2" s="10" t="s">
        <v>44</v>
      </c>
      <c r="C2" s="10" t="s">
        <v>43</v>
      </c>
      <c r="D2" s="12">
        <v>1.0</v>
      </c>
      <c r="E2" s="13"/>
      <c r="F2" s="12">
        <v>1.0</v>
      </c>
      <c r="G2" s="12">
        <v>1.0</v>
      </c>
      <c r="H2" s="12">
        <v>1.0</v>
      </c>
      <c r="I2" s="14"/>
      <c r="J2" s="15"/>
      <c r="K2" s="14"/>
      <c r="L2" s="12">
        <v>1.0</v>
      </c>
      <c r="M2" s="14"/>
      <c r="N2" s="12">
        <v>2.0</v>
      </c>
      <c r="O2" s="14"/>
      <c r="P2" s="14"/>
      <c r="Q2" s="12">
        <v>1.0</v>
      </c>
      <c r="R2" s="12">
        <v>1.0</v>
      </c>
      <c r="S2" s="18">
        <f t="shared" ref="S2:S28" si="1">SUM(D2:R2)/COUNTA(D$1:R$1)</f>
        <v>0.6</v>
      </c>
    </row>
    <row r="3">
      <c r="A3" s="10">
        <v>3.1377471E7</v>
      </c>
      <c r="B3" s="10" t="s">
        <v>44</v>
      </c>
      <c r="C3" s="10" t="s">
        <v>45</v>
      </c>
      <c r="D3" s="12">
        <v>1.0</v>
      </c>
      <c r="E3" s="13"/>
      <c r="F3" s="13"/>
      <c r="G3" s="12">
        <v>2.0</v>
      </c>
      <c r="H3" s="12">
        <v>1.0</v>
      </c>
      <c r="I3" s="12">
        <v>2.0</v>
      </c>
      <c r="J3" s="15"/>
      <c r="K3" s="12">
        <v>1.0</v>
      </c>
      <c r="L3" s="14"/>
      <c r="M3" s="14"/>
      <c r="N3" s="14"/>
      <c r="O3" s="12">
        <v>4.0</v>
      </c>
      <c r="P3" s="12">
        <v>1.0</v>
      </c>
      <c r="Q3" s="12">
        <v>1.0</v>
      </c>
      <c r="R3" s="12"/>
      <c r="S3" s="18">
        <f t="shared" si="1"/>
        <v>0.8666666667</v>
      </c>
    </row>
    <row r="4">
      <c r="A4" s="10">
        <v>3.0906297E7</v>
      </c>
      <c r="B4" s="10" t="s">
        <v>46</v>
      </c>
      <c r="C4" s="10" t="s">
        <v>47</v>
      </c>
      <c r="D4" s="13"/>
      <c r="E4" s="12">
        <v>1.0</v>
      </c>
      <c r="F4" s="13"/>
      <c r="G4" s="12">
        <v>1.0</v>
      </c>
      <c r="H4" s="13"/>
      <c r="I4" s="12">
        <v>3.0</v>
      </c>
      <c r="J4" s="12">
        <v>1.0</v>
      </c>
      <c r="K4" s="14"/>
      <c r="L4" s="12">
        <v>1.0</v>
      </c>
      <c r="M4" s="12">
        <v>1.0</v>
      </c>
      <c r="N4" s="12">
        <v>2.0</v>
      </c>
      <c r="O4" s="12">
        <v>1.0</v>
      </c>
      <c r="P4" s="14"/>
      <c r="Q4" s="12">
        <v>1.0</v>
      </c>
      <c r="R4" s="12">
        <v>3.0</v>
      </c>
      <c r="S4" s="18">
        <f t="shared" si="1"/>
        <v>1</v>
      </c>
    </row>
    <row r="5">
      <c r="A5" s="10">
        <v>3.1985434E7</v>
      </c>
      <c r="B5" s="10" t="s">
        <v>48</v>
      </c>
      <c r="C5" s="10" t="s">
        <v>49</v>
      </c>
      <c r="D5" s="12">
        <v>1.0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2">
        <v>1.0</v>
      </c>
      <c r="R5" s="12"/>
      <c r="S5" s="18">
        <f t="shared" si="1"/>
        <v>0.1333333333</v>
      </c>
    </row>
    <row r="6">
      <c r="A6" s="10">
        <v>3.0497006E7</v>
      </c>
      <c r="B6" s="10" t="s">
        <v>50</v>
      </c>
      <c r="C6" s="10" t="s">
        <v>51</v>
      </c>
      <c r="D6" s="12">
        <v>1.0</v>
      </c>
      <c r="E6" s="13"/>
      <c r="F6" s="12">
        <v>1.0</v>
      </c>
      <c r="G6" s="12">
        <v>1.0</v>
      </c>
      <c r="H6" s="14"/>
      <c r="I6" s="14"/>
      <c r="J6" s="14"/>
      <c r="K6" s="14"/>
      <c r="L6" s="14"/>
      <c r="M6" s="12">
        <v>3.0</v>
      </c>
      <c r="N6" s="14"/>
      <c r="O6" s="14"/>
      <c r="P6" s="14"/>
      <c r="Q6" s="12">
        <v>1.0</v>
      </c>
      <c r="R6" s="12">
        <v>2.0</v>
      </c>
      <c r="S6" s="18">
        <f t="shared" si="1"/>
        <v>0.6</v>
      </c>
    </row>
    <row r="7">
      <c r="A7" s="10">
        <v>3.2535152E7</v>
      </c>
      <c r="B7" s="10" t="s">
        <v>52</v>
      </c>
      <c r="C7" s="10" t="s">
        <v>53</v>
      </c>
      <c r="D7" s="12">
        <v>1.0</v>
      </c>
      <c r="E7" s="12">
        <v>1.0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2"/>
      <c r="S7" s="18">
        <f t="shared" si="1"/>
        <v>0.1333333333</v>
      </c>
    </row>
    <row r="8">
      <c r="A8" s="10">
        <v>3.0538925E7</v>
      </c>
      <c r="B8" s="10" t="s">
        <v>54</v>
      </c>
      <c r="C8" s="10" t="s">
        <v>55</v>
      </c>
      <c r="D8" s="12">
        <v>2.0</v>
      </c>
      <c r="E8" s="12">
        <v>1.0</v>
      </c>
      <c r="F8" s="13"/>
      <c r="G8" s="13"/>
      <c r="H8" s="13"/>
      <c r="I8" s="12">
        <v>1.0</v>
      </c>
      <c r="J8" s="12">
        <v>1.0</v>
      </c>
      <c r="K8" s="14"/>
      <c r="L8" s="12">
        <v>1.0</v>
      </c>
      <c r="M8" s="12">
        <v>1.0</v>
      </c>
      <c r="N8" s="12">
        <v>1.0</v>
      </c>
      <c r="O8" s="12">
        <v>3.0</v>
      </c>
      <c r="P8" s="14"/>
      <c r="Q8" s="14"/>
      <c r="R8" s="12"/>
      <c r="S8" s="18">
        <f t="shared" si="1"/>
        <v>0.7333333333</v>
      </c>
    </row>
    <row r="9">
      <c r="A9" s="10">
        <v>2.9947837E7</v>
      </c>
      <c r="B9" s="10" t="s">
        <v>56</v>
      </c>
      <c r="C9" s="10" t="s">
        <v>57</v>
      </c>
      <c r="D9" s="12">
        <v>1.0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2"/>
      <c r="S9" s="18">
        <f t="shared" si="1"/>
        <v>0.06666666667</v>
      </c>
    </row>
    <row r="10">
      <c r="A10" s="10">
        <v>3.1307883E7</v>
      </c>
      <c r="B10" s="10" t="s">
        <v>58</v>
      </c>
      <c r="C10" s="10" t="s">
        <v>55</v>
      </c>
      <c r="D10" s="12">
        <v>1.0</v>
      </c>
      <c r="E10" s="12">
        <v>2.0</v>
      </c>
      <c r="F10" s="13"/>
      <c r="G10" s="12">
        <v>1.0</v>
      </c>
      <c r="H10" s="13"/>
      <c r="I10" s="12">
        <v>3.0</v>
      </c>
      <c r="J10" s="15"/>
      <c r="K10" s="14"/>
      <c r="L10" s="12">
        <v>1.0</v>
      </c>
      <c r="M10" s="12">
        <v>1.0</v>
      </c>
      <c r="N10" s="14"/>
      <c r="O10" s="12">
        <v>1.0</v>
      </c>
      <c r="P10" s="12">
        <v>1.0</v>
      </c>
      <c r="Q10" s="14"/>
      <c r="R10" s="12">
        <v>1.0</v>
      </c>
      <c r="S10" s="18">
        <f t="shared" si="1"/>
        <v>0.8</v>
      </c>
    </row>
    <row r="11">
      <c r="A11" s="10">
        <v>3.1873852E7</v>
      </c>
      <c r="B11" s="10" t="s">
        <v>59</v>
      </c>
      <c r="C11" s="10" t="s">
        <v>60</v>
      </c>
      <c r="D11" s="12">
        <v>1.0</v>
      </c>
      <c r="E11" s="13"/>
      <c r="F11" s="12">
        <v>1.0</v>
      </c>
      <c r="G11" s="14"/>
      <c r="H11" s="14"/>
      <c r="I11" s="12">
        <v>3.0</v>
      </c>
      <c r="J11" s="15"/>
      <c r="K11" s="14"/>
      <c r="L11" s="14"/>
      <c r="M11" s="14"/>
      <c r="N11" s="14"/>
      <c r="O11" s="14"/>
      <c r="P11" s="14"/>
      <c r="Q11" s="14"/>
      <c r="R11" s="12"/>
      <c r="S11" s="18">
        <f t="shared" si="1"/>
        <v>0.3333333333</v>
      </c>
    </row>
    <row r="12">
      <c r="A12" s="10">
        <v>3.2515298E7</v>
      </c>
      <c r="B12" s="10" t="s">
        <v>63</v>
      </c>
      <c r="C12" s="10" t="s">
        <v>60</v>
      </c>
      <c r="D12" s="12">
        <v>1.0</v>
      </c>
      <c r="E12" s="13"/>
      <c r="F12" s="13"/>
      <c r="G12" s="13"/>
      <c r="H12" s="13"/>
      <c r="I12" s="13"/>
      <c r="J12" s="20"/>
      <c r="K12" s="13"/>
      <c r="L12" s="13"/>
      <c r="M12" s="13"/>
      <c r="N12" s="13"/>
      <c r="O12" s="13"/>
      <c r="P12" s="13"/>
      <c r="Q12" s="13"/>
      <c r="R12" s="12"/>
      <c r="S12" s="18">
        <f t="shared" si="1"/>
        <v>0.06666666667</v>
      </c>
    </row>
    <row r="13">
      <c r="A13" s="10">
        <v>3.1373493E7</v>
      </c>
      <c r="B13" s="10" t="s">
        <v>64</v>
      </c>
      <c r="C13" s="10" t="s">
        <v>65</v>
      </c>
      <c r="D13" s="13"/>
      <c r="E13" s="12">
        <v>1.0</v>
      </c>
      <c r="F13" s="13"/>
      <c r="G13" s="13"/>
      <c r="H13" s="13"/>
      <c r="I13" s="13"/>
      <c r="J13" s="20"/>
      <c r="K13" s="13"/>
      <c r="L13" s="13"/>
      <c r="M13" s="13"/>
      <c r="N13" s="13"/>
      <c r="O13" s="13"/>
      <c r="P13" s="13"/>
      <c r="Q13" s="13"/>
      <c r="R13" s="12"/>
      <c r="S13" s="18">
        <f t="shared" si="1"/>
        <v>0.06666666667</v>
      </c>
    </row>
    <row r="14">
      <c r="A14" s="10">
        <v>3.2347981E7</v>
      </c>
      <c r="B14" s="10" t="s">
        <v>66</v>
      </c>
      <c r="C14" s="10" t="s">
        <v>67</v>
      </c>
      <c r="D14" s="12">
        <v>1.0</v>
      </c>
      <c r="E14" s="13"/>
      <c r="F14" s="13"/>
      <c r="G14" s="13"/>
      <c r="H14" s="13"/>
      <c r="I14" s="13"/>
      <c r="J14" s="20"/>
      <c r="K14" s="13"/>
      <c r="L14" s="13"/>
      <c r="M14" s="13"/>
      <c r="N14" s="13"/>
      <c r="O14" s="13"/>
      <c r="P14" s="13"/>
      <c r="Q14" s="13"/>
      <c r="R14" s="12"/>
      <c r="S14" s="18">
        <f t="shared" si="1"/>
        <v>0.06666666667</v>
      </c>
    </row>
    <row r="15">
      <c r="A15" s="10">
        <v>3.2502105E7</v>
      </c>
      <c r="B15" s="10" t="s">
        <v>68</v>
      </c>
      <c r="C15" s="10" t="s">
        <v>69</v>
      </c>
      <c r="D15" s="12">
        <v>1.0</v>
      </c>
      <c r="E15" s="13"/>
      <c r="F15" s="13"/>
      <c r="G15" s="13"/>
      <c r="H15" s="13"/>
      <c r="I15" s="13"/>
      <c r="J15" s="20"/>
      <c r="K15" s="13"/>
      <c r="L15" s="13"/>
      <c r="M15" s="12">
        <v>2.0</v>
      </c>
      <c r="N15" s="13"/>
      <c r="O15" s="13"/>
      <c r="P15" s="12">
        <v>3.0</v>
      </c>
      <c r="Q15" s="12">
        <v>2.0</v>
      </c>
      <c r="R15" s="12"/>
      <c r="S15" s="18">
        <f t="shared" si="1"/>
        <v>0.5333333333</v>
      </c>
    </row>
    <row r="16">
      <c r="A16" s="10">
        <v>2.8318117E7</v>
      </c>
      <c r="B16" s="10" t="s">
        <v>70</v>
      </c>
      <c r="C16" s="10" t="s">
        <v>71</v>
      </c>
      <c r="D16" s="12">
        <v>1.0</v>
      </c>
      <c r="E16" s="13"/>
      <c r="F16" s="13"/>
      <c r="G16" s="13"/>
      <c r="H16" s="13"/>
      <c r="I16" s="13"/>
      <c r="J16" s="20"/>
      <c r="K16" s="13"/>
      <c r="L16" s="13"/>
      <c r="M16" s="13"/>
      <c r="N16" s="13"/>
      <c r="O16" s="13"/>
      <c r="P16" s="13"/>
      <c r="Q16" s="13"/>
      <c r="R16" s="12">
        <v>1.0</v>
      </c>
      <c r="S16" s="18">
        <f t="shared" si="1"/>
        <v>0.1333333333</v>
      </c>
    </row>
    <row r="17">
      <c r="A17" s="10">
        <v>3.0346514E7</v>
      </c>
      <c r="B17" s="10" t="s">
        <v>72</v>
      </c>
      <c r="C17" s="10" t="s">
        <v>73</v>
      </c>
      <c r="D17" s="12">
        <v>1.0</v>
      </c>
      <c r="E17" s="13"/>
      <c r="F17" s="13"/>
      <c r="G17" s="12">
        <v>1.0</v>
      </c>
      <c r="H17" s="12">
        <v>1.0</v>
      </c>
      <c r="I17" s="14"/>
      <c r="J17" s="15"/>
      <c r="K17" s="14"/>
      <c r="L17" s="14"/>
      <c r="M17" s="14"/>
      <c r="N17" s="14"/>
      <c r="O17" s="14"/>
      <c r="P17" s="14"/>
      <c r="Q17" s="14"/>
      <c r="R17" s="12">
        <v>1.0</v>
      </c>
      <c r="S17" s="18">
        <f t="shared" si="1"/>
        <v>0.2666666667</v>
      </c>
    </row>
    <row r="18">
      <c r="A18" s="10">
        <v>3.2124905E7</v>
      </c>
      <c r="B18" s="10" t="s">
        <v>74</v>
      </c>
      <c r="C18" s="10" t="s">
        <v>60</v>
      </c>
      <c r="D18" s="12">
        <v>1.0</v>
      </c>
      <c r="E18" s="13"/>
      <c r="F18" s="13"/>
      <c r="G18" s="13"/>
      <c r="H18" s="13"/>
      <c r="I18" s="13"/>
      <c r="J18" s="20"/>
      <c r="K18" s="13"/>
      <c r="L18" s="13"/>
      <c r="M18" s="13"/>
      <c r="N18" s="13"/>
      <c r="O18" s="13"/>
      <c r="P18" s="13"/>
      <c r="Q18" s="13"/>
      <c r="R18" s="12"/>
      <c r="S18" s="18">
        <f t="shared" si="1"/>
        <v>0.06666666667</v>
      </c>
    </row>
    <row r="19">
      <c r="A19" s="10">
        <v>3.2397222E7</v>
      </c>
      <c r="B19" s="10" t="s">
        <v>77</v>
      </c>
      <c r="C19" s="10" t="s">
        <v>78</v>
      </c>
      <c r="D19" s="12">
        <v>1.0</v>
      </c>
      <c r="E19" s="12">
        <v>1.0</v>
      </c>
      <c r="F19" s="13"/>
      <c r="G19" s="13"/>
      <c r="H19" s="13"/>
      <c r="I19" s="13"/>
      <c r="J19" s="20"/>
      <c r="K19" s="13"/>
      <c r="L19" s="13"/>
      <c r="M19" s="13"/>
      <c r="N19" s="13"/>
      <c r="O19" s="13"/>
      <c r="P19" s="13"/>
      <c r="Q19" s="13"/>
      <c r="R19" s="12"/>
      <c r="S19" s="18">
        <f t="shared" si="1"/>
        <v>0.1333333333</v>
      </c>
    </row>
    <row r="20">
      <c r="A20" s="10">
        <v>3.0156914E7</v>
      </c>
      <c r="B20" s="10" t="s">
        <v>79</v>
      </c>
      <c r="C20" s="10" t="s">
        <v>65</v>
      </c>
      <c r="D20" s="13"/>
      <c r="E20" s="13"/>
      <c r="F20" s="13"/>
      <c r="G20" s="13"/>
      <c r="H20" s="13"/>
      <c r="I20" s="13"/>
      <c r="J20" s="20"/>
      <c r="K20" s="13"/>
      <c r="L20" s="13"/>
      <c r="M20" s="13"/>
      <c r="N20" s="13"/>
      <c r="O20" s="13"/>
      <c r="P20" s="13"/>
      <c r="Q20" s="13"/>
      <c r="R20" s="12"/>
      <c r="S20" s="18">
        <f t="shared" si="1"/>
        <v>0</v>
      </c>
    </row>
    <row r="21">
      <c r="A21" s="10">
        <v>3.2333927E7</v>
      </c>
      <c r="B21" s="10" t="s">
        <v>80</v>
      </c>
      <c r="C21" s="10" t="s">
        <v>55</v>
      </c>
      <c r="D21" s="12">
        <v>1.0</v>
      </c>
      <c r="E21" s="12">
        <v>2.0</v>
      </c>
      <c r="F21" s="13"/>
      <c r="G21" s="12">
        <v>2.0</v>
      </c>
      <c r="H21" s="13"/>
      <c r="I21" s="13"/>
      <c r="J21" s="20"/>
      <c r="K21" s="13"/>
      <c r="L21" s="13"/>
      <c r="M21" s="13"/>
      <c r="N21" s="13"/>
      <c r="O21" s="13"/>
      <c r="P21" s="12">
        <v>3.0</v>
      </c>
      <c r="Q21" s="12">
        <v>2.0</v>
      </c>
      <c r="R21" s="12"/>
      <c r="S21" s="18">
        <f t="shared" si="1"/>
        <v>0.6666666667</v>
      </c>
    </row>
    <row r="22">
      <c r="A22" s="10">
        <v>2.7714378E7</v>
      </c>
      <c r="B22" s="10" t="s">
        <v>81</v>
      </c>
      <c r="C22" s="10" t="s">
        <v>82</v>
      </c>
      <c r="D22" s="12">
        <v>1.0</v>
      </c>
      <c r="E22" s="13"/>
      <c r="F22" s="13"/>
      <c r="G22" s="13"/>
      <c r="H22" s="13"/>
      <c r="I22" s="13"/>
      <c r="J22" s="20"/>
      <c r="K22" s="13"/>
      <c r="L22" s="13"/>
      <c r="M22" s="13"/>
      <c r="N22" s="13"/>
      <c r="O22" s="13"/>
      <c r="P22" s="13"/>
      <c r="Q22" s="13"/>
      <c r="R22" s="12"/>
      <c r="S22" s="18">
        <f t="shared" si="1"/>
        <v>0.06666666667</v>
      </c>
    </row>
    <row r="23">
      <c r="A23" s="10">
        <v>2.9662246E7</v>
      </c>
      <c r="B23" s="10" t="s">
        <v>83</v>
      </c>
      <c r="C23" s="10" t="s">
        <v>84</v>
      </c>
      <c r="D23" s="13"/>
      <c r="E23" s="13"/>
      <c r="F23" s="13"/>
      <c r="G23" s="13"/>
      <c r="H23" s="13"/>
      <c r="I23" s="13"/>
      <c r="J23" s="20"/>
      <c r="K23" s="13"/>
      <c r="L23" s="13"/>
      <c r="M23" s="13"/>
      <c r="N23" s="13"/>
      <c r="O23" s="13"/>
      <c r="P23" s="13"/>
      <c r="Q23" s="13"/>
      <c r="R23" s="12"/>
      <c r="S23" s="18">
        <f t="shared" si="1"/>
        <v>0</v>
      </c>
    </row>
    <row r="24">
      <c r="A24" s="10">
        <v>3.162326E7</v>
      </c>
      <c r="B24" s="10" t="s">
        <v>85</v>
      </c>
      <c r="C24" s="10" t="s">
        <v>86</v>
      </c>
      <c r="D24" s="12">
        <v>1.0</v>
      </c>
      <c r="E24" s="12">
        <v>1.0</v>
      </c>
      <c r="F24" s="13"/>
      <c r="G24" s="12">
        <v>2.0</v>
      </c>
      <c r="H24" s="12">
        <v>1.0</v>
      </c>
      <c r="I24" s="14"/>
      <c r="J24" s="15"/>
      <c r="K24" s="14"/>
      <c r="L24" s="12">
        <v>1.0</v>
      </c>
      <c r="M24" s="14"/>
      <c r="N24" s="14"/>
      <c r="O24" s="14"/>
      <c r="P24" s="14"/>
      <c r="Q24" s="14"/>
      <c r="R24" s="12">
        <v>1.0</v>
      </c>
      <c r="S24" s="18">
        <f t="shared" si="1"/>
        <v>0.4666666667</v>
      </c>
    </row>
    <row r="25">
      <c r="A25" s="10">
        <v>3.208079E7</v>
      </c>
      <c r="B25" s="10" t="s">
        <v>88</v>
      </c>
      <c r="C25" s="10" t="s">
        <v>89</v>
      </c>
      <c r="D25" s="12">
        <v>1.0</v>
      </c>
      <c r="E25" s="13"/>
      <c r="F25" s="13"/>
      <c r="G25" s="13"/>
      <c r="H25" s="13"/>
      <c r="I25" s="13"/>
      <c r="J25" s="20"/>
      <c r="K25" s="13"/>
      <c r="L25" s="13"/>
      <c r="M25" s="13"/>
      <c r="N25" s="13"/>
      <c r="O25" s="13"/>
      <c r="P25" s="13"/>
      <c r="Q25" s="13"/>
      <c r="R25" s="12"/>
      <c r="S25" s="18">
        <f t="shared" si="1"/>
        <v>0.06666666667</v>
      </c>
    </row>
    <row r="26">
      <c r="A26" s="10">
        <v>2.9678946E7</v>
      </c>
      <c r="B26" s="10" t="s">
        <v>90</v>
      </c>
      <c r="C26" s="10" t="s">
        <v>91</v>
      </c>
      <c r="D26" s="13"/>
      <c r="E26" s="13"/>
      <c r="F26" s="13"/>
      <c r="G26" s="13"/>
      <c r="H26" s="13"/>
      <c r="I26" s="13"/>
      <c r="J26" s="20"/>
      <c r="K26" s="13"/>
      <c r="L26" s="13"/>
      <c r="M26" s="13"/>
      <c r="N26" s="13"/>
      <c r="O26" s="13"/>
      <c r="P26" s="13"/>
      <c r="Q26" s="13"/>
      <c r="R26" s="12"/>
      <c r="S26" s="18">
        <f t="shared" si="1"/>
        <v>0</v>
      </c>
    </row>
    <row r="27">
      <c r="A27" s="10">
        <v>3.4202891E7</v>
      </c>
      <c r="B27" s="10" t="s">
        <v>92</v>
      </c>
      <c r="C27" s="10" t="s">
        <v>93</v>
      </c>
      <c r="D27" s="12">
        <v>1.0</v>
      </c>
      <c r="E27" s="13"/>
      <c r="F27" s="13"/>
      <c r="G27" s="13"/>
      <c r="H27" s="13"/>
      <c r="I27" s="13"/>
      <c r="J27" s="20"/>
      <c r="K27" s="13"/>
      <c r="L27" s="13"/>
      <c r="M27" s="13"/>
      <c r="N27" s="13"/>
      <c r="O27" s="13"/>
      <c r="P27" s="13"/>
      <c r="Q27" s="13"/>
      <c r="R27" s="12"/>
      <c r="S27" s="18">
        <f t="shared" si="1"/>
        <v>0.06666666667</v>
      </c>
    </row>
    <row r="28">
      <c r="A28" s="10">
        <v>3.1707262E7</v>
      </c>
      <c r="B28" s="10" t="s">
        <v>94</v>
      </c>
      <c r="C28" s="10" t="s">
        <v>47</v>
      </c>
      <c r="D28" s="12">
        <v>1.0</v>
      </c>
      <c r="E28" s="13"/>
      <c r="F28" s="13"/>
      <c r="G28" s="13"/>
      <c r="H28" s="13"/>
      <c r="I28" s="12"/>
      <c r="J28" s="15"/>
      <c r="K28" s="14"/>
      <c r="L28" s="14"/>
      <c r="M28" s="14"/>
      <c r="N28" s="14"/>
      <c r="O28" s="14"/>
      <c r="P28" s="14"/>
      <c r="Q28" s="14"/>
      <c r="R28" s="12"/>
      <c r="S28" s="18">
        <f t="shared" si="1"/>
        <v>0.06666666667</v>
      </c>
    </row>
    <row r="29">
      <c r="A29" s="22"/>
      <c r="B29" s="22"/>
      <c r="C29" s="22"/>
      <c r="D29" s="14">
        <f t="shared" ref="D29:R29" si="2">SUM(D2:D28)</f>
        <v>23</v>
      </c>
      <c r="E29" s="14">
        <f t="shared" si="2"/>
        <v>10</v>
      </c>
      <c r="F29" s="14">
        <f t="shared" si="2"/>
        <v>3</v>
      </c>
      <c r="G29" s="14">
        <f t="shared" si="2"/>
        <v>11</v>
      </c>
      <c r="H29" s="14">
        <f t="shared" si="2"/>
        <v>4</v>
      </c>
      <c r="I29" s="14">
        <f t="shared" si="2"/>
        <v>12</v>
      </c>
      <c r="J29" s="14">
        <f t="shared" si="2"/>
        <v>2</v>
      </c>
      <c r="K29" s="14">
        <f t="shared" si="2"/>
        <v>1</v>
      </c>
      <c r="L29" s="14">
        <f t="shared" si="2"/>
        <v>5</v>
      </c>
      <c r="M29" s="14">
        <f t="shared" si="2"/>
        <v>8</v>
      </c>
      <c r="N29" s="14">
        <f t="shared" si="2"/>
        <v>5</v>
      </c>
      <c r="O29" s="14">
        <f t="shared" si="2"/>
        <v>9</v>
      </c>
      <c r="P29" s="14">
        <f t="shared" si="2"/>
        <v>8</v>
      </c>
      <c r="Q29" s="14">
        <f t="shared" si="2"/>
        <v>9</v>
      </c>
      <c r="R29" s="14">
        <f t="shared" si="2"/>
        <v>10</v>
      </c>
      <c r="S29" s="18">
        <f>average(S2:S28)</f>
        <v>0.2962962963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1" max="31" width="7.63"/>
    <col customWidth="1" min="36" max="36" width="10.5"/>
    <col customWidth="1" min="38" max="38" width="5.25"/>
    <col customWidth="1" min="39" max="39" width="7.7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4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4" t="s">
        <v>32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4" t="s">
        <v>39</v>
      </c>
      <c r="AK1" s="4" t="s">
        <v>40</v>
      </c>
      <c r="AL1" s="2" t="s">
        <v>41</v>
      </c>
      <c r="AM1" s="2" t="s">
        <v>42</v>
      </c>
    </row>
    <row r="2">
      <c r="A2" s="2" t="s">
        <v>43</v>
      </c>
      <c r="B2" s="2" t="s">
        <v>44</v>
      </c>
      <c r="C2" s="2">
        <v>2.9678921E7</v>
      </c>
      <c r="D2" s="9">
        <v>13.5</v>
      </c>
      <c r="E2" s="9">
        <v>14.5</v>
      </c>
      <c r="F2" s="9">
        <v>19.0</v>
      </c>
      <c r="G2" s="9">
        <v>11.6</v>
      </c>
      <c r="H2" s="11">
        <v>15.3</v>
      </c>
      <c r="I2" s="9">
        <v>18.0</v>
      </c>
      <c r="J2" s="9">
        <v>20.0</v>
      </c>
      <c r="K2" s="9">
        <v>19.8</v>
      </c>
      <c r="L2" s="9">
        <v>15.0</v>
      </c>
      <c r="M2" s="9">
        <v>20.0</v>
      </c>
      <c r="N2" s="9">
        <v>20.0</v>
      </c>
      <c r="O2" s="9">
        <v>5.0</v>
      </c>
      <c r="P2" s="9">
        <v>18.0</v>
      </c>
      <c r="Q2" s="9">
        <v>20.0</v>
      </c>
      <c r="R2" s="9">
        <v>15.0</v>
      </c>
      <c r="S2" s="9">
        <v>20.0</v>
      </c>
      <c r="T2" s="9">
        <v>20.0</v>
      </c>
      <c r="U2" s="9">
        <v>20.0</v>
      </c>
      <c r="V2" s="9">
        <v>20.0</v>
      </c>
      <c r="W2" s="9">
        <v>20.0</v>
      </c>
      <c r="X2" s="9">
        <v>20.0</v>
      </c>
      <c r="Y2" s="9">
        <v>20.0</v>
      </c>
      <c r="Z2" s="9">
        <v>20.0</v>
      </c>
      <c r="AA2" s="9">
        <v>19.65</v>
      </c>
      <c r="AB2" s="9">
        <v>20.0</v>
      </c>
      <c r="AC2" s="9">
        <v>18.0</v>
      </c>
      <c r="AD2" s="11">
        <v>19.42</v>
      </c>
      <c r="AE2" s="9">
        <v>19.0</v>
      </c>
      <c r="AF2" s="9">
        <v>20.0</v>
      </c>
      <c r="AG2" s="2"/>
      <c r="AH2" s="9">
        <v>10.0</v>
      </c>
      <c r="AI2" s="2"/>
      <c r="AJ2" s="11">
        <v>3.0</v>
      </c>
      <c r="AK2" s="16">
        <v>16.94</v>
      </c>
      <c r="AL2" s="17">
        <f>Partic!S2</f>
        <v>0.6</v>
      </c>
      <c r="AM2" s="19">
        <f t="shared" ref="AM2:AM9" si="1">AK2+AL2</f>
        <v>17.54</v>
      </c>
    </row>
    <row r="3">
      <c r="A3" s="2" t="s">
        <v>45</v>
      </c>
      <c r="B3" s="2" t="s">
        <v>44</v>
      </c>
      <c r="C3" s="2">
        <v>3.1377471E7</v>
      </c>
      <c r="D3" s="9">
        <v>13.0</v>
      </c>
      <c r="E3" s="9">
        <v>13.5</v>
      </c>
      <c r="F3" s="9">
        <v>13.2</v>
      </c>
      <c r="G3" s="9">
        <v>5.2</v>
      </c>
      <c r="H3" s="11">
        <v>9.2</v>
      </c>
      <c r="I3" s="9">
        <v>20.0</v>
      </c>
      <c r="J3" s="9">
        <v>20.0</v>
      </c>
      <c r="K3" s="9">
        <v>19.8</v>
      </c>
      <c r="L3" s="9">
        <v>15.0</v>
      </c>
      <c r="M3" s="9">
        <v>20.0</v>
      </c>
      <c r="N3" s="9">
        <v>17.0</v>
      </c>
      <c r="O3" s="9">
        <v>10.0</v>
      </c>
      <c r="P3" s="9">
        <v>20.0</v>
      </c>
      <c r="Q3" s="9">
        <v>20.0</v>
      </c>
      <c r="R3" s="9">
        <v>17.0</v>
      </c>
      <c r="S3" s="9">
        <v>20.0</v>
      </c>
      <c r="T3" s="9">
        <v>14.0</v>
      </c>
      <c r="U3" s="9">
        <v>20.0</v>
      </c>
      <c r="V3" s="9">
        <v>20.0</v>
      </c>
      <c r="W3" s="9">
        <v>20.0</v>
      </c>
      <c r="X3" s="9">
        <v>19.0</v>
      </c>
      <c r="Y3" s="9">
        <v>20.0</v>
      </c>
      <c r="Z3" s="9">
        <v>20.0</v>
      </c>
      <c r="AA3" s="9">
        <v>19.65</v>
      </c>
      <c r="AB3" s="9">
        <v>18.0</v>
      </c>
      <c r="AC3" s="9">
        <v>18.0</v>
      </c>
      <c r="AD3" s="11">
        <v>19.37</v>
      </c>
      <c r="AE3" s="9">
        <v>19.0</v>
      </c>
      <c r="AF3" s="9">
        <v>10.0</v>
      </c>
      <c r="AG3" s="2"/>
      <c r="AH3" s="9">
        <v>10.0</v>
      </c>
      <c r="AI3" s="2"/>
      <c r="AJ3" s="11">
        <v>2.5</v>
      </c>
      <c r="AK3" s="16">
        <v>15.31</v>
      </c>
      <c r="AL3" s="17">
        <f>Partic!S3</f>
        <v>0.8666666667</v>
      </c>
      <c r="AM3" s="19">
        <f t="shared" si="1"/>
        <v>16.17666667</v>
      </c>
    </row>
    <row r="4">
      <c r="A4" s="2" t="s">
        <v>47</v>
      </c>
      <c r="B4" s="2" t="s">
        <v>46</v>
      </c>
      <c r="C4" s="2">
        <v>3.0906297E7</v>
      </c>
      <c r="D4" s="9">
        <v>12.5</v>
      </c>
      <c r="E4" s="9">
        <v>13.0</v>
      </c>
      <c r="F4" s="9">
        <v>6.6</v>
      </c>
      <c r="G4" s="9">
        <v>19.0</v>
      </c>
      <c r="H4" s="11">
        <v>12.8</v>
      </c>
      <c r="I4" s="9">
        <v>12.0</v>
      </c>
      <c r="J4" s="2"/>
      <c r="K4" s="9">
        <v>18.89</v>
      </c>
      <c r="L4" s="2"/>
      <c r="M4" s="2"/>
      <c r="N4" s="9">
        <v>20.0</v>
      </c>
      <c r="O4" s="2"/>
      <c r="P4" s="9">
        <v>18.0</v>
      </c>
      <c r="Q4" s="9">
        <v>16.0</v>
      </c>
      <c r="R4" s="9">
        <v>19.0</v>
      </c>
      <c r="S4" s="2"/>
      <c r="T4" s="9">
        <v>19.0</v>
      </c>
      <c r="U4" s="9">
        <v>0.0</v>
      </c>
      <c r="V4" s="9">
        <v>19.0</v>
      </c>
      <c r="W4" s="9">
        <v>19.0</v>
      </c>
      <c r="X4" s="9">
        <v>18.0</v>
      </c>
      <c r="Y4" s="9">
        <v>10.0</v>
      </c>
      <c r="Z4" s="9">
        <v>20.0</v>
      </c>
      <c r="AA4" s="9">
        <v>7.0</v>
      </c>
      <c r="AB4" s="9">
        <v>18.0</v>
      </c>
      <c r="AC4" s="9">
        <v>20.0</v>
      </c>
      <c r="AD4" s="11">
        <v>12.69</v>
      </c>
      <c r="AE4" s="9">
        <v>15.0</v>
      </c>
      <c r="AF4" s="2"/>
      <c r="AG4" s="2"/>
      <c r="AH4" s="2"/>
      <c r="AI4" s="2"/>
      <c r="AJ4" s="4"/>
      <c r="AK4" s="16">
        <v>13.2</v>
      </c>
      <c r="AL4" s="17">
        <f>Partic!S4</f>
        <v>1</v>
      </c>
      <c r="AM4" s="19">
        <f t="shared" si="1"/>
        <v>14.2</v>
      </c>
    </row>
    <row r="5">
      <c r="A5" s="2" t="s">
        <v>49</v>
      </c>
      <c r="B5" s="2" t="s">
        <v>48</v>
      </c>
      <c r="C5" s="2">
        <v>3.1985434E7</v>
      </c>
      <c r="D5" s="9">
        <v>18.0</v>
      </c>
      <c r="E5" s="9">
        <v>14.5</v>
      </c>
      <c r="F5" s="9">
        <v>6.6</v>
      </c>
      <c r="G5" s="9">
        <v>5.2</v>
      </c>
      <c r="H5" s="11">
        <v>5.9</v>
      </c>
      <c r="I5" s="9">
        <v>15.0</v>
      </c>
      <c r="J5" s="9">
        <v>20.0</v>
      </c>
      <c r="K5" s="9">
        <v>20.0</v>
      </c>
      <c r="L5" s="9">
        <v>20.0</v>
      </c>
      <c r="M5" s="9">
        <v>20.0</v>
      </c>
      <c r="N5" s="9">
        <v>13.0</v>
      </c>
      <c r="O5" s="9">
        <v>20.0</v>
      </c>
      <c r="P5" s="9">
        <v>12.0</v>
      </c>
      <c r="Q5" s="9">
        <v>20.0</v>
      </c>
      <c r="R5" s="9">
        <v>17.0</v>
      </c>
      <c r="S5" s="2"/>
      <c r="T5" s="9">
        <v>20.0</v>
      </c>
      <c r="U5" s="9">
        <v>20.0</v>
      </c>
      <c r="V5" s="9">
        <v>20.0</v>
      </c>
      <c r="W5" s="9">
        <v>20.0</v>
      </c>
      <c r="X5" s="9">
        <v>17.0</v>
      </c>
      <c r="Y5" s="9">
        <v>20.0</v>
      </c>
      <c r="Z5" s="9">
        <v>20.0</v>
      </c>
      <c r="AA5" s="9">
        <v>19.65</v>
      </c>
      <c r="AB5" s="9">
        <v>16.0</v>
      </c>
      <c r="AC5" s="9">
        <v>18.0</v>
      </c>
      <c r="AD5" s="11">
        <v>18.38</v>
      </c>
      <c r="AE5" s="9">
        <v>14.0</v>
      </c>
      <c r="AF5" s="2"/>
      <c r="AG5" s="2"/>
      <c r="AH5" s="9">
        <v>10.0</v>
      </c>
      <c r="AI5" s="2"/>
      <c r="AJ5" s="11">
        <v>2.0</v>
      </c>
      <c r="AK5" s="16">
        <v>14.56</v>
      </c>
      <c r="AL5" s="17">
        <f>Partic!S5</f>
        <v>0.1333333333</v>
      </c>
      <c r="AM5" s="19">
        <f t="shared" si="1"/>
        <v>14.69333333</v>
      </c>
    </row>
    <row r="6">
      <c r="A6" s="2" t="s">
        <v>61</v>
      </c>
      <c r="B6" s="2" t="s">
        <v>62</v>
      </c>
      <c r="C6" s="2">
        <v>3.0497006E7</v>
      </c>
      <c r="D6" s="9">
        <v>10.0</v>
      </c>
      <c r="E6" s="9">
        <v>13.0</v>
      </c>
      <c r="F6" s="2"/>
      <c r="G6" s="9">
        <v>12.6</v>
      </c>
      <c r="H6" s="11">
        <v>6.3</v>
      </c>
      <c r="I6" s="9">
        <v>10.0</v>
      </c>
      <c r="J6" s="2"/>
      <c r="K6" s="9">
        <v>16.0</v>
      </c>
      <c r="L6" s="2"/>
      <c r="M6" s="2"/>
      <c r="N6" s="9">
        <v>14.0</v>
      </c>
      <c r="O6" s="2"/>
      <c r="P6" s="9">
        <v>20.0</v>
      </c>
      <c r="Q6" s="9">
        <v>18.0</v>
      </c>
      <c r="R6" s="9">
        <v>13.0</v>
      </c>
      <c r="S6" s="9">
        <v>20.0</v>
      </c>
      <c r="T6" s="9">
        <v>19.0</v>
      </c>
      <c r="U6" s="2"/>
      <c r="V6" s="9">
        <v>20.0</v>
      </c>
      <c r="W6" s="9">
        <v>17.25</v>
      </c>
      <c r="X6" s="9">
        <v>19.0</v>
      </c>
      <c r="Y6" s="2"/>
      <c r="Z6" s="9">
        <v>17.0</v>
      </c>
      <c r="AA6" s="9">
        <v>18.6</v>
      </c>
      <c r="AB6" s="9">
        <v>20.0</v>
      </c>
      <c r="AC6" s="9">
        <v>14.0</v>
      </c>
      <c r="AD6" s="11">
        <v>12.79</v>
      </c>
      <c r="AE6" s="9">
        <v>19.0</v>
      </c>
      <c r="AF6" s="2"/>
      <c r="AG6" s="2"/>
      <c r="AH6" s="9">
        <v>10.0</v>
      </c>
      <c r="AI6" s="2"/>
      <c r="AJ6" s="11">
        <v>2.0</v>
      </c>
      <c r="AK6" s="16">
        <v>12.62</v>
      </c>
      <c r="AL6" s="17">
        <f>Partic!S6</f>
        <v>0.6</v>
      </c>
      <c r="AM6" s="19">
        <f t="shared" si="1"/>
        <v>13.22</v>
      </c>
    </row>
    <row r="7">
      <c r="A7" s="2" t="s">
        <v>53</v>
      </c>
      <c r="B7" s="2" t="s">
        <v>52</v>
      </c>
      <c r="C7" s="2">
        <v>3.2535152E7</v>
      </c>
      <c r="D7" s="9">
        <v>16.0</v>
      </c>
      <c r="E7" s="9">
        <v>13.5</v>
      </c>
      <c r="F7" s="9">
        <v>8.0</v>
      </c>
      <c r="G7" s="9">
        <v>20.0</v>
      </c>
      <c r="H7" s="11">
        <v>14.0</v>
      </c>
      <c r="I7" s="9">
        <v>14.3</v>
      </c>
      <c r="J7" s="9">
        <v>15.0</v>
      </c>
      <c r="K7" s="9">
        <v>15.0</v>
      </c>
      <c r="L7" s="9">
        <v>20.0</v>
      </c>
      <c r="M7" s="2"/>
      <c r="N7" s="9">
        <v>20.0</v>
      </c>
      <c r="O7" s="2"/>
      <c r="P7" s="9">
        <v>16.0</v>
      </c>
      <c r="Q7" s="9">
        <v>20.0</v>
      </c>
      <c r="R7" s="9">
        <v>19.0</v>
      </c>
      <c r="S7" s="2"/>
      <c r="T7" s="9">
        <v>19.0</v>
      </c>
      <c r="U7" s="2"/>
      <c r="V7" s="9">
        <v>20.0</v>
      </c>
      <c r="W7" s="9">
        <v>19.25</v>
      </c>
      <c r="X7" s="9">
        <v>19.0</v>
      </c>
      <c r="Y7" s="2"/>
      <c r="Z7" s="9">
        <v>20.0</v>
      </c>
      <c r="AA7" s="9">
        <v>18.6</v>
      </c>
      <c r="AB7" s="9">
        <v>18.0</v>
      </c>
      <c r="AC7" s="2"/>
      <c r="AD7" s="11">
        <v>13.66</v>
      </c>
      <c r="AE7" s="9">
        <v>14.0</v>
      </c>
      <c r="AF7" s="2"/>
      <c r="AG7" s="2"/>
      <c r="AH7" s="2"/>
      <c r="AI7" s="2"/>
      <c r="AJ7" s="4"/>
      <c r="AK7" s="16">
        <v>14.23</v>
      </c>
      <c r="AL7" s="17">
        <f>Partic!S7</f>
        <v>0.1333333333</v>
      </c>
      <c r="AM7" s="19">
        <f t="shared" si="1"/>
        <v>14.36333333</v>
      </c>
    </row>
    <row r="8">
      <c r="A8" s="2" t="s">
        <v>55</v>
      </c>
      <c r="B8" s="2" t="s">
        <v>54</v>
      </c>
      <c r="C8" s="2">
        <v>3.0538925E7</v>
      </c>
      <c r="D8" s="9">
        <v>9.5</v>
      </c>
      <c r="E8" s="9">
        <v>14.0</v>
      </c>
      <c r="F8" s="9">
        <v>2.6</v>
      </c>
      <c r="G8" s="9">
        <v>15.0</v>
      </c>
      <c r="H8" s="11">
        <v>8.8</v>
      </c>
      <c r="I8" s="9">
        <v>17.0</v>
      </c>
      <c r="J8" s="9">
        <v>20.0</v>
      </c>
      <c r="K8" s="9">
        <v>19.8</v>
      </c>
      <c r="L8" s="9">
        <v>10.0</v>
      </c>
      <c r="M8" s="2"/>
      <c r="N8" s="9">
        <v>20.0</v>
      </c>
      <c r="O8" s="9">
        <v>0.0</v>
      </c>
      <c r="P8" s="9">
        <v>18.0</v>
      </c>
      <c r="Q8" s="9">
        <v>16.0</v>
      </c>
      <c r="R8" s="2"/>
      <c r="S8" s="2"/>
      <c r="T8" s="9">
        <v>17.0</v>
      </c>
      <c r="U8" s="2"/>
      <c r="V8" s="9">
        <v>20.0</v>
      </c>
      <c r="W8" s="9">
        <v>11.2</v>
      </c>
      <c r="X8" s="9">
        <v>20.0</v>
      </c>
      <c r="Y8" s="9">
        <v>20.0</v>
      </c>
      <c r="Z8" s="9">
        <v>13.0</v>
      </c>
      <c r="AA8" s="9">
        <v>19.65</v>
      </c>
      <c r="AB8" s="9">
        <v>16.0</v>
      </c>
      <c r="AC8" s="2"/>
      <c r="AD8" s="11">
        <v>12.88</v>
      </c>
      <c r="AE8" s="9">
        <v>15.0</v>
      </c>
      <c r="AF8" s="9">
        <v>0.0</v>
      </c>
      <c r="AG8" s="2"/>
      <c r="AH8" s="2"/>
      <c r="AI8" s="2"/>
      <c r="AJ8" s="11">
        <v>0.0</v>
      </c>
      <c r="AK8" s="16">
        <v>12.04</v>
      </c>
      <c r="AL8" s="17">
        <f>Partic!S8</f>
        <v>0.7333333333</v>
      </c>
      <c r="AM8" s="19">
        <f t="shared" si="1"/>
        <v>12.77333333</v>
      </c>
    </row>
    <row r="9">
      <c r="A9" s="2" t="s">
        <v>75</v>
      </c>
      <c r="B9" s="2" t="s">
        <v>76</v>
      </c>
      <c r="C9" s="2">
        <v>2.9947837E7</v>
      </c>
      <c r="D9" s="2"/>
      <c r="E9" s="2"/>
      <c r="F9" s="2"/>
      <c r="G9" s="2"/>
      <c r="H9" s="4"/>
      <c r="I9" s="9">
        <v>11.0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1">
        <v>0.55</v>
      </c>
      <c r="AE9" s="2"/>
      <c r="AF9" s="2"/>
      <c r="AG9" s="2"/>
      <c r="AH9" s="2"/>
      <c r="AI9" s="2"/>
      <c r="AJ9" s="4"/>
      <c r="AK9" s="16">
        <v>0.11</v>
      </c>
      <c r="AL9" s="17">
        <f>Partic!S9</f>
        <v>0.06666666667</v>
      </c>
      <c r="AM9" s="19">
        <f t="shared" si="1"/>
        <v>0.1766666667</v>
      </c>
    </row>
    <row r="10">
      <c r="A10" s="2" t="s">
        <v>55</v>
      </c>
      <c r="B10" s="2" t="s">
        <v>58</v>
      </c>
      <c r="C10" s="2">
        <v>3.1307883E7</v>
      </c>
      <c r="D10" s="9">
        <v>16.0</v>
      </c>
      <c r="E10" s="9">
        <v>10.5</v>
      </c>
      <c r="F10" s="9">
        <v>17.2</v>
      </c>
      <c r="G10" s="9">
        <v>18.0</v>
      </c>
      <c r="H10" s="11">
        <v>17.6</v>
      </c>
      <c r="I10" s="9">
        <v>15.0</v>
      </c>
      <c r="J10" s="9">
        <v>20.0</v>
      </c>
      <c r="K10" s="9">
        <v>19.0</v>
      </c>
      <c r="L10" s="9">
        <v>15.0</v>
      </c>
      <c r="M10" s="9">
        <v>20.0</v>
      </c>
      <c r="N10" s="9">
        <v>20.0</v>
      </c>
      <c r="O10" s="9">
        <v>10.0</v>
      </c>
      <c r="P10" s="9">
        <v>18.0</v>
      </c>
      <c r="Q10" s="9">
        <v>15.0</v>
      </c>
      <c r="R10" s="9">
        <v>15.0</v>
      </c>
      <c r="S10" s="2"/>
      <c r="T10" s="9">
        <v>15.0</v>
      </c>
      <c r="U10" s="9">
        <v>18.0</v>
      </c>
      <c r="V10" s="9">
        <v>13.0</v>
      </c>
      <c r="W10" s="9">
        <v>14.25</v>
      </c>
      <c r="X10" s="9">
        <v>20.0</v>
      </c>
      <c r="Y10" s="9">
        <v>20.0</v>
      </c>
      <c r="Z10" s="9">
        <v>20.0</v>
      </c>
      <c r="AA10" s="9">
        <v>19.65</v>
      </c>
      <c r="AB10" s="9">
        <v>14.0</v>
      </c>
      <c r="AC10" s="9">
        <v>14.0</v>
      </c>
      <c r="AD10" s="11">
        <v>16.75</v>
      </c>
      <c r="AE10" s="9">
        <v>17.0</v>
      </c>
      <c r="AF10" s="2"/>
      <c r="AG10" s="2"/>
      <c r="AH10" s="2"/>
      <c r="AI10" s="2"/>
      <c r="AJ10" s="4"/>
      <c r="AK10" s="16">
        <v>15.57</v>
      </c>
      <c r="AL10" s="17">
        <f>Partic!S10</f>
        <v>0.8</v>
      </c>
      <c r="AM10" s="21">
        <v>17.0</v>
      </c>
    </row>
    <row r="11">
      <c r="A11" s="2" t="s">
        <v>60</v>
      </c>
      <c r="B11" s="2" t="s">
        <v>59</v>
      </c>
      <c r="C11" s="2">
        <v>3.1873852E7</v>
      </c>
      <c r="D11" s="9">
        <v>2.0</v>
      </c>
      <c r="E11" s="2"/>
      <c r="F11" s="9">
        <v>6.8</v>
      </c>
      <c r="G11" s="2"/>
      <c r="H11" s="11">
        <v>3.4</v>
      </c>
      <c r="I11" s="9">
        <v>13.0</v>
      </c>
      <c r="J11" s="9">
        <v>15.0</v>
      </c>
      <c r="K11" s="2"/>
      <c r="L11" s="2"/>
      <c r="M11" s="9">
        <v>20.0</v>
      </c>
      <c r="N11" s="2"/>
      <c r="O11" s="9">
        <v>15.0</v>
      </c>
      <c r="P11" s="2"/>
      <c r="Q11" s="9">
        <v>20.0</v>
      </c>
      <c r="R11" s="9">
        <v>15.0</v>
      </c>
      <c r="S11" s="9">
        <v>20.0</v>
      </c>
      <c r="T11" s="9">
        <v>15.0</v>
      </c>
      <c r="U11" s="9">
        <v>20.0</v>
      </c>
      <c r="V11" s="2"/>
      <c r="W11" s="9">
        <v>11.6</v>
      </c>
      <c r="X11" s="2"/>
      <c r="Y11" s="2"/>
      <c r="Z11" s="2"/>
      <c r="AA11" s="2"/>
      <c r="AB11" s="2"/>
      <c r="AC11" s="2"/>
      <c r="AD11" s="11">
        <v>8.23</v>
      </c>
      <c r="AE11" s="2"/>
      <c r="AF11" s="2"/>
      <c r="AG11" s="2"/>
      <c r="AH11" s="2"/>
      <c r="AI11" s="2"/>
      <c r="AJ11" s="4"/>
      <c r="AK11" s="16">
        <v>2.73</v>
      </c>
      <c r="AL11" s="17">
        <f>Partic!S11</f>
        <v>0.3333333333</v>
      </c>
      <c r="AM11" s="19" t="s">
        <v>87</v>
      </c>
    </row>
    <row r="12">
      <c r="A12" s="2" t="s">
        <v>60</v>
      </c>
      <c r="B12" s="2" t="s">
        <v>63</v>
      </c>
      <c r="C12" s="2">
        <v>3.2515298E7</v>
      </c>
      <c r="D12" s="9">
        <v>11.5</v>
      </c>
      <c r="E12" s="9">
        <v>12.0</v>
      </c>
      <c r="F12" s="9">
        <v>4.0</v>
      </c>
      <c r="G12" s="9">
        <v>10.6</v>
      </c>
      <c r="H12" s="11">
        <v>7.3</v>
      </c>
      <c r="I12" s="9">
        <v>12.0</v>
      </c>
      <c r="J12" s="9">
        <v>20.0</v>
      </c>
      <c r="K12" s="2"/>
      <c r="L12" s="9">
        <v>20.0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9">
        <v>16.9</v>
      </c>
      <c r="Z12" s="2"/>
      <c r="AA12" s="2"/>
      <c r="AB12" s="2"/>
      <c r="AC12" s="2"/>
      <c r="AD12" s="11">
        <v>3.45</v>
      </c>
      <c r="AE12" s="9">
        <v>10.0</v>
      </c>
      <c r="AF12" s="2"/>
      <c r="AG12" s="2"/>
      <c r="AH12" s="2"/>
      <c r="AI12" s="2"/>
      <c r="AJ12" s="4"/>
      <c r="AK12" s="16">
        <v>8.85</v>
      </c>
      <c r="AL12" s="17">
        <f>Partic!S12</f>
        <v>0.06666666667</v>
      </c>
      <c r="AM12" s="19">
        <f>AK12+AL12</f>
        <v>8.916666667</v>
      </c>
    </row>
    <row r="13">
      <c r="A13" s="2" t="s">
        <v>95</v>
      </c>
      <c r="B13" s="2" t="s">
        <v>96</v>
      </c>
      <c r="C13" s="2">
        <v>3.1373493E7</v>
      </c>
      <c r="D13" s="2"/>
      <c r="E13" s="2"/>
      <c r="F13" s="2"/>
      <c r="G13" s="2"/>
      <c r="H13" s="4"/>
      <c r="I13" s="2"/>
      <c r="J13" s="9">
        <v>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1">
        <v>0.0</v>
      </c>
      <c r="AE13" s="2"/>
      <c r="AF13" s="2"/>
      <c r="AG13" s="2"/>
      <c r="AH13" s="2"/>
      <c r="AI13" s="2"/>
      <c r="AJ13" s="4"/>
      <c r="AK13" s="16">
        <v>0.0</v>
      </c>
      <c r="AL13" s="17">
        <f>Partic!S13</f>
        <v>0.06666666667</v>
      </c>
      <c r="AM13" s="19" t="s">
        <v>87</v>
      </c>
    </row>
    <row r="14">
      <c r="A14" s="2" t="s">
        <v>97</v>
      </c>
      <c r="B14" s="2" t="s">
        <v>66</v>
      </c>
      <c r="C14" s="2">
        <v>3.2347981E7</v>
      </c>
      <c r="D14" s="9">
        <v>19.0</v>
      </c>
      <c r="E14" s="9">
        <v>17.5</v>
      </c>
      <c r="F14" s="9">
        <v>13.2</v>
      </c>
      <c r="G14" s="9">
        <v>15.6</v>
      </c>
      <c r="H14" s="11">
        <v>14.4</v>
      </c>
      <c r="I14" s="9">
        <v>18.0</v>
      </c>
      <c r="J14" s="2"/>
      <c r="K14" s="9">
        <v>15.0</v>
      </c>
      <c r="L14" s="9">
        <v>20.0</v>
      </c>
      <c r="M14" s="9">
        <v>20.0</v>
      </c>
      <c r="N14" s="9">
        <v>20.0</v>
      </c>
      <c r="O14" s="9">
        <v>0.0</v>
      </c>
      <c r="P14" s="9">
        <v>20.0</v>
      </c>
      <c r="Q14" s="9">
        <v>17.0</v>
      </c>
      <c r="R14" s="9">
        <v>20.0</v>
      </c>
      <c r="S14" s="9">
        <v>20.0</v>
      </c>
      <c r="T14" s="9">
        <v>19.0</v>
      </c>
      <c r="U14" s="9">
        <v>20.0</v>
      </c>
      <c r="V14" s="9">
        <v>19.0</v>
      </c>
      <c r="W14" s="9">
        <v>18.25</v>
      </c>
      <c r="X14" s="9">
        <v>18.0</v>
      </c>
      <c r="Y14" s="9">
        <v>16.9</v>
      </c>
      <c r="Z14" s="9">
        <v>9.0</v>
      </c>
      <c r="AA14" s="9">
        <v>19.65</v>
      </c>
      <c r="AB14" s="9">
        <v>18.0</v>
      </c>
      <c r="AC14" s="9">
        <v>16.0</v>
      </c>
      <c r="AD14" s="11">
        <v>17.19</v>
      </c>
      <c r="AE14" s="9">
        <v>19.0</v>
      </c>
      <c r="AF14" s="2"/>
      <c r="AG14" s="2"/>
      <c r="AH14" s="2"/>
      <c r="AI14" s="2"/>
      <c r="AJ14" s="4"/>
      <c r="AK14" s="16">
        <v>17.42</v>
      </c>
      <c r="AL14" s="17">
        <f>Partic!S14</f>
        <v>0.06666666667</v>
      </c>
      <c r="AM14" s="19">
        <f t="shared" ref="AM14:AM20" si="2">AK14+AL14</f>
        <v>17.48666667</v>
      </c>
    </row>
    <row r="15">
      <c r="A15" s="2" t="s">
        <v>98</v>
      </c>
      <c r="B15" s="2" t="s">
        <v>68</v>
      </c>
      <c r="C15" s="2">
        <v>3.2502105E7</v>
      </c>
      <c r="D15" s="9">
        <v>6.0</v>
      </c>
      <c r="E15" s="9">
        <v>10.0</v>
      </c>
      <c r="F15" s="9">
        <v>1.6</v>
      </c>
      <c r="G15" s="9">
        <v>4.2</v>
      </c>
      <c r="H15" s="11">
        <v>2.9</v>
      </c>
      <c r="I15" s="9">
        <v>15.0</v>
      </c>
      <c r="J15" s="9">
        <v>15.0</v>
      </c>
      <c r="K15" s="9">
        <v>20.0</v>
      </c>
      <c r="L15" s="2"/>
      <c r="M15" s="9">
        <v>6.0</v>
      </c>
      <c r="N15" s="9">
        <v>20.0</v>
      </c>
      <c r="O15" s="9">
        <v>0.0</v>
      </c>
      <c r="P15" s="9">
        <v>20.0</v>
      </c>
      <c r="Q15" s="9">
        <v>20.0</v>
      </c>
      <c r="R15" s="9">
        <v>19.0</v>
      </c>
      <c r="S15" s="2"/>
      <c r="T15" s="9">
        <v>16.0</v>
      </c>
      <c r="U15" s="9">
        <v>20.0</v>
      </c>
      <c r="V15" s="9">
        <v>18.0</v>
      </c>
      <c r="W15" s="9">
        <v>17.0</v>
      </c>
      <c r="X15" s="9">
        <v>18.0</v>
      </c>
      <c r="Y15" s="9">
        <v>15.8</v>
      </c>
      <c r="Z15" s="9">
        <v>11.0</v>
      </c>
      <c r="AA15" s="9">
        <v>19.65</v>
      </c>
      <c r="AB15" s="9">
        <v>16.0</v>
      </c>
      <c r="AC15" s="9">
        <v>14.0</v>
      </c>
      <c r="AD15" s="11">
        <v>15.02</v>
      </c>
      <c r="AE15" s="9">
        <v>15.0</v>
      </c>
      <c r="AF15" s="2"/>
      <c r="AG15" s="2"/>
      <c r="AH15" s="9">
        <v>10.0</v>
      </c>
      <c r="AI15" s="2"/>
      <c r="AJ15" s="11">
        <v>2.0</v>
      </c>
      <c r="AK15" s="16">
        <v>10.18</v>
      </c>
      <c r="AL15" s="17">
        <f>Partic!S15</f>
        <v>0.5333333333</v>
      </c>
      <c r="AM15" s="19">
        <f t="shared" si="2"/>
        <v>10.71333333</v>
      </c>
    </row>
    <row r="16">
      <c r="A16" s="2" t="s">
        <v>99</v>
      </c>
      <c r="B16" s="2" t="s">
        <v>100</v>
      </c>
      <c r="C16" s="2">
        <v>2.8318117E7</v>
      </c>
      <c r="D16" s="9">
        <v>15.0</v>
      </c>
      <c r="E16" s="9">
        <v>17.0</v>
      </c>
      <c r="F16" s="2"/>
      <c r="G16" s="9">
        <v>13.6</v>
      </c>
      <c r="H16" s="11">
        <v>6.8</v>
      </c>
      <c r="I16" s="9">
        <v>18.0</v>
      </c>
      <c r="J16" s="9">
        <v>20.0</v>
      </c>
      <c r="K16" s="2"/>
      <c r="L16" s="9">
        <v>0.0</v>
      </c>
      <c r="M16" s="9">
        <v>20.0</v>
      </c>
      <c r="N16" s="2"/>
      <c r="O16" s="9">
        <v>10.0</v>
      </c>
      <c r="P16" s="2"/>
      <c r="Q16" s="9">
        <v>20.0</v>
      </c>
      <c r="R16" s="9">
        <v>15.0</v>
      </c>
      <c r="S16" s="9">
        <v>20.0</v>
      </c>
      <c r="T16" s="2"/>
      <c r="U16" s="2"/>
      <c r="V16" s="2"/>
      <c r="W16" s="9">
        <v>17.25</v>
      </c>
      <c r="X16" s="9">
        <v>15.0</v>
      </c>
      <c r="Y16" s="2"/>
      <c r="Z16" s="2"/>
      <c r="AA16" s="9">
        <v>19.65</v>
      </c>
      <c r="AB16" s="9">
        <v>18.0</v>
      </c>
      <c r="AC16" s="9">
        <v>18.0</v>
      </c>
      <c r="AD16" s="11">
        <v>10.55</v>
      </c>
      <c r="AE16" s="9">
        <v>19.0</v>
      </c>
      <c r="AF16" s="2"/>
      <c r="AG16" s="2"/>
      <c r="AH16" s="9">
        <v>10.0</v>
      </c>
      <c r="AI16" s="2"/>
      <c r="AJ16" s="11">
        <v>2.0</v>
      </c>
      <c r="AK16" s="16">
        <v>14.07</v>
      </c>
      <c r="AL16" s="17">
        <f>Partic!S16</f>
        <v>0.1333333333</v>
      </c>
      <c r="AM16" s="19">
        <f t="shared" si="2"/>
        <v>14.20333333</v>
      </c>
    </row>
    <row r="17">
      <c r="A17" s="2" t="s">
        <v>101</v>
      </c>
      <c r="B17" s="2" t="s">
        <v>102</v>
      </c>
      <c r="C17" s="2">
        <v>3.0346514E7</v>
      </c>
      <c r="D17" s="9">
        <v>12.5</v>
      </c>
      <c r="E17" s="9">
        <v>16.0</v>
      </c>
      <c r="F17" s="9">
        <v>10.8</v>
      </c>
      <c r="G17" s="9">
        <v>15.6</v>
      </c>
      <c r="H17" s="11">
        <v>13.2</v>
      </c>
      <c r="I17" s="9">
        <v>14.0</v>
      </c>
      <c r="J17" s="9">
        <v>5.0</v>
      </c>
      <c r="K17" s="9">
        <v>14.0</v>
      </c>
      <c r="L17" s="9">
        <v>15.0</v>
      </c>
      <c r="M17" s="9">
        <v>20.0</v>
      </c>
      <c r="N17" s="9">
        <v>20.0</v>
      </c>
      <c r="O17" s="9">
        <v>10.0</v>
      </c>
      <c r="P17" s="9">
        <v>20.0</v>
      </c>
      <c r="Q17" s="9">
        <v>20.0</v>
      </c>
      <c r="R17" s="9">
        <v>12.0</v>
      </c>
      <c r="S17" s="9">
        <v>20.0</v>
      </c>
      <c r="T17" s="9">
        <v>20.0</v>
      </c>
      <c r="U17" s="9">
        <v>20.0</v>
      </c>
      <c r="V17" s="9">
        <v>20.0</v>
      </c>
      <c r="W17" s="9">
        <v>20.0</v>
      </c>
      <c r="X17" s="9">
        <v>19.0</v>
      </c>
      <c r="Y17" s="9">
        <v>20.0</v>
      </c>
      <c r="Z17" s="9">
        <v>19.0</v>
      </c>
      <c r="AA17" s="9">
        <v>19.65</v>
      </c>
      <c r="AB17" s="9">
        <v>20.0</v>
      </c>
      <c r="AC17" s="9">
        <v>18.0</v>
      </c>
      <c r="AD17" s="11">
        <v>18.28</v>
      </c>
      <c r="AE17" s="9">
        <v>19.0</v>
      </c>
      <c r="AF17" s="9">
        <v>20.0</v>
      </c>
      <c r="AG17" s="2"/>
      <c r="AH17" s="2"/>
      <c r="AI17" s="2"/>
      <c r="AJ17" s="11">
        <v>1.0</v>
      </c>
      <c r="AK17" s="16">
        <v>16.0</v>
      </c>
      <c r="AL17" s="17">
        <f>Partic!S17</f>
        <v>0.2666666667</v>
      </c>
      <c r="AM17" s="19">
        <f t="shared" si="2"/>
        <v>16.26666667</v>
      </c>
    </row>
    <row r="18">
      <c r="A18" s="2" t="s">
        <v>60</v>
      </c>
      <c r="B18" s="2" t="s">
        <v>74</v>
      </c>
      <c r="C18" s="2">
        <v>3.2124905E7</v>
      </c>
      <c r="D18" s="9">
        <v>14.0</v>
      </c>
      <c r="E18" s="9">
        <v>13.0</v>
      </c>
      <c r="F18" s="9">
        <v>0.6</v>
      </c>
      <c r="G18" s="9">
        <v>1.0</v>
      </c>
      <c r="H18" s="11">
        <v>0.8</v>
      </c>
      <c r="I18" s="9">
        <v>15.0</v>
      </c>
      <c r="J18" s="9">
        <v>15.0</v>
      </c>
      <c r="K18" s="2"/>
      <c r="L18" s="9">
        <v>7.5</v>
      </c>
      <c r="M18" s="9">
        <v>16.0</v>
      </c>
      <c r="N18" s="2"/>
      <c r="O18" s="9">
        <v>0.0</v>
      </c>
      <c r="P18" s="2"/>
      <c r="Q18" s="9">
        <v>12.0</v>
      </c>
      <c r="R18" s="9">
        <v>14.0</v>
      </c>
      <c r="S18" s="2"/>
      <c r="T18" s="2"/>
      <c r="U18" s="9">
        <v>0.0</v>
      </c>
      <c r="V18" s="2"/>
      <c r="W18" s="9">
        <v>7.0</v>
      </c>
      <c r="X18" s="9">
        <v>15.0</v>
      </c>
      <c r="Y18" s="9">
        <v>20.0</v>
      </c>
      <c r="Z18" s="9">
        <v>17.0</v>
      </c>
      <c r="AA18" s="9">
        <v>17.55</v>
      </c>
      <c r="AB18" s="2"/>
      <c r="AC18" s="2"/>
      <c r="AD18" s="11">
        <v>7.8</v>
      </c>
      <c r="AE18" s="9">
        <v>15.0</v>
      </c>
      <c r="AF18" s="2"/>
      <c r="AG18" s="2"/>
      <c r="AH18" s="9">
        <v>10.0</v>
      </c>
      <c r="AI18" s="2"/>
      <c r="AJ18" s="11">
        <v>2.0</v>
      </c>
      <c r="AK18" s="16">
        <v>10.52</v>
      </c>
      <c r="AL18" s="17">
        <f>Partic!S18</f>
        <v>0.06666666667</v>
      </c>
      <c r="AM18" s="19">
        <f t="shared" si="2"/>
        <v>10.58666667</v>
      </c>
    </row>
    <row r="19">
      <c r="A19" s="2" t="s">
        <v>78</v>
      </c>
      <c r="B19" s="2" t="s">
        <v>77</v>
      </c>
      <c r="C19" s="2">
        <v>3.2397222E7</v>
      </c>
      <c r="D19" s="9">
        <v>18.0</v>
      </c>
      <c r="E19" s="9">
        <v>10.5</v>
      </c>
      <c r="F19" s="9">
        <v>1.6</v>
      </c>
      <c r="G19" s="9">
        <v>2.0</v>
      </c>
      <c r="H19" s="11">
        <v>1.8</v>
      </c>
      <c r="I19" s="9">
        <v>12.0</v>
      </c>
      <c r="J19" s="9">
        <v>15.0</v>
      </c>
      <c r="K19" s="2"/>
      <c r="L19" s="2"/>
      <c r="M19" s="9">
        <v>20.0</v>
      </c>
      <c r="N19" s="2"/>
      <c r="O19" s="9">
        <v>5.0</v>
      </c>
      <c r="P19" s="2"/>
      <c r="Q19" s="9">
        <v>15.0</v>
      </c>
      <c r="R19" s="9">
        <v>14.0</v>
      </c>
      <c r="S19" s="2"/>
      <c r="T19" s="9">
        <v>18.0</v>
      </c>
      <c r="U19" s="9">
        <v>16.0</v>
      </c>
      <c r="V19" s="2"/>
      <c r="W19" s="9">
        <v>15.2</v>
      </c>
      <c r="X19" s="9">
        <v>16.0</v>
      </c>
      <c r="Y19" s="9">
        <v>18.6</v>
      </c>
      <c r="Z19" s="9">
        <v>19.0</v>
      </c>
      <c r="AA19" s="9">
        <v>19.35</v>
      </c>
      <c r="AB19" s="9">
        <v>16.0</v>
      </c>
      <c r="AC19" s="9">
        <v>18.0</v>
      </c>
      <c r="AD19" s="11">
        <v>11.86</v>
      </c>
      <c r="AE19" s="9">
        <v>14.0</v>
      </c>
      <c r="AF19" s="2"/>
      <c r="AG19" s="2"/>
      <c r="AH19" s="9">
        <v>10.0</v>
      </c>
      <c r="AI19" s="2"/>
      <c r="AJ19" s="11">
        <v>2.0</v>
      </c>
      <c r="AK19" s="16">
        <v>11.63</v>
      </c>
      <c r="AL19" s="17">
        <f>Partic!S19</f>
        <v>0.1333333333</v>
      </c>
      <c r="AM19" s="19">
        <f t="shared" si="2"/>
        <v>11.76333333</v>
      </c>
    </row>
    <row r="20">
      <c r="A20" s="2" t="s">
        <v>103</v>
      </c>
      <c r="B20" s="2" t="s">
        <v>104</v>
      </c>
      <c r="C20" s="2">
        <v>3.0156914E7</v>
      </c>
      <c r="D20" s="2"/>
      <c r="E20" s="2"/>
      <c r="F20" s="2"/>
      <c r="G20" s="2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4"/>
      <c r="AE20" s="2"/>
      <c r="AF20" s="2"/>
      <c r="AG20" s="2"/>
      <c r="AH20" s="2"/>
      <c r="AI20" s="2"/>
      <c r="AJ20" s="4"/>
      <c r="AK20" s="23"/>
      <c r="AL20" s="17">
        <f>Partic!S20</f>
        <v>0</v>
      </c>
      <c r="AM20" s="19">
        <f t="shared" si="2"/>
        <v>0</v>
      </c>
    </row>
    <row r="21">
      <c r="A21" s="2" t="s">
        <v>55</v>
      </c>
      <c r="B21" s="2" t="s">
        <v>80</v>
      </c>
      <c r="C21" s="2">
        <v>3.2333927E7</v>
      </c>
      <c r="D21" s="9">
        <v>8.0</v>
      </c>
      <c r="E21" s="9">
        <v>8.0</v>
      </c>
      <c r="F21" s="9">
        <v>7.8</v>
      </c>
      <c r="G21" s="9">
        <v>12.2</v>
      </c>
      <c r="H21" s="11">
        <v>10.0</v>
      </c>
      <c r="I21" s="9">
        <v>20.0</v>
      </c>
      <c r="J21" s="9">
        <v>10.0</v>
      </c>
      <c r="K21" s="9">
        <v>17.0</v>
      </c>
      <c r="L21" s="9">
        <v>15.0</v>
      </c>
      <c r="M21" s="9">
        <v>12.0</v>
      </c>
      <c r="N21" s="9">
        <v>18.0</v>
      </c>
      <c r="O21" s="9">
        <v>5.0</v>
      </c>
      <c r="P21" s="9">
        <v>20.0</v>
      </c>
      <c r="Q21" s="9">
        <v>16.0</v>
      </c>
      <c r="R21" s="9">
        <v>13.0</v>
      </c>
      <c r="S21" s="2"/>
      <c r="T21" s="9">
        <v>14.0</v>
      </c>
      <c r="U21" s="9">
        <v>16.0</v>
      </c>
      <c r="V21" s="9">
        <v>17.0</v>
      </c>
      <c r="W21" s="9">
        <v>18.0</v>
      </c>
      <c r="X21" s="9">
        <v>15.0</v>
      </c>
      <c r="Y21" s="9">
        <v>15.8</v>
      </c>
      <c r="Z21" s="9">
        <v>12.0</v>
      </c>
      <c r="AA21" s="9">
        <v>19.65</v>
      </c>
      <c r="AB21" s="9">
        <v>18.0</v>
      </c>
      <c r="AC21" s="9">
        <v>18.0</v>
      </c>
      <c r="AD21" s="11">
        <v>15.47</v>
      </c>
      <c r="AE21" s="9">
        <v>15.0</v>
      </c>
      <c r="AF21" s="2"/>
      <c r="AG21" s="2"/>
      <c r="AH21" s="9">
        <v>10.0</v>
      </c>
      <c r="AI21" s="2"/>
      <c r="AJ21" s="11">
        <v>2.0</v>
      </c>
      <c r="AK21" s="16">
        <v>11.69</v>
      </c>
      <c r="AL21" s="17">
        <f>Partic!S21</f>
        <v>0.6666666667</v>
      </c>
      <c r="AM21" s="21">
        <v>13.0</v>
      </c>
    </row>
    <row r="22">
      <c r="A22" s="2" t="s">
        <v>82</v>
      </c>
      <c r="B22" s="2" t="s">
        <v>81</v>
      </c>
      <c r="C22" s="2">
        <v>2.7714378E7</v>
      </c>
      <c r="D22" s="9">
        <v>19.5</v>
      </c>
      <c r="E22" s="9">
        <v>16.0</v>
      </c>
      <c r="F22" s="9">
        <v>14.4</v>
      </c>
      <c r="G22" s="9">
        <v>10.2</v>
      </c>
      <c r="H22" s="11">
        <v>12.3</v>
      </c>
      <c r="I22" s="9">
        <v>18.0</v>
      </c>
      <c r="J22" s="9">
        <v>20.0</v>
      </c>
      <c r="K22" s="9">
        <v>18.0</v>
      </c>
      <c r="L22" s="9">
        <v>20.0</v>
      </c>
      <c r="M22" s="9">
        <v>20.0</v>
      </c>
      <c r="N22" s="9">
        <v>5.0</v>
      </c>
      <c r="O22" s="9">
        <v>20.0</v>
      </c>
      <c r="P22" s="9">
        <v>18.0</v>
      </c>
      <c r="Q22" s="9">
        <v>20.0</v>
      </c>
      <c r="R22" s="9">
        <v>16.0</v>
      </c>
      <c r="S22" s="9">
        <v>20.0</v>
      </c>
      <c r="T22" s="9">
        <v>20.0</v>
      </c>
      <c r="U22" s="9">
        <v>20.0</v>
      </c>
      <c r="V22" s="9">
        <v>20.0</v>
      </c>
      <c r="W22" s="9">
        <v>20.0</v>
      </c>
      <c r="X22" s="9">
        <v>20.0</v>
      </c>
      <c r="Y22" s="9">
        <v>16.6</v>
      </c>
      <c r="Z22" s="9">
        <v>20.0</v>
      </c>
      <c r="AA22" s="9">
        <v>19.65</v>
      </c>
      <c r="AB22" s="9">
        <v>16.0</v>
      </c>
      <c r="AC22" s="9">
        <v>20.0</v>
      </c>
      <c r="AD22" s="11">
        <v>19.36</v>
      </c>
      <c r="AE22" s="9">
        <v>19.0</v>
      </c>
      <c r="AF22" s="2"/>
      <c r="AG22" s="2"/>
      <c r="AH22" s="2"/>
      <c r="AI22" s="2"/>
      <c r="AJ22" s="4"/>
      <c r="AK22" s="16">
        <v>17.23</v>
      </c>
      <c r="AL22" s="17">
        <f>Partic!S22</f>
        <v>0.06666666667</v>
      </c>
      <c r="AM22" s="19">
        <f t="shared" ref="AM22:AM28" si="3">AK22+AL22</f>
        <v>17.29666667</v>
      </c>
    </row>
    <row r="23">
      <c r="A23" s="2" t="s">
        <v>84</v>
      </c>
      <c r="B23" s="2" t="s">
        <v>83</v>
      </c>
      <c r="C23" s="2">
        <v>2.9662246E7</v>
      </c>
      <c r="D23" s="2"/>
      <c r="E23" s="2"/>
      <c r="F23" s="2"/>
      <c r="G23" s="2"/>
      <c r="H23" s="4"/>
      <c r="I23" s="9">
        <v>9.0</v>
      </c>
      <c r="J23" s="2"/>
      <c r="K23" s="2"/>
      <c r="L23" s="2"/>
      <c r="M23" s="2"/>
      <c r="N23" s="2"/>
      <c r="O23" s="9">
        <v>5.0</v>
      </c>
      <c r="P23" s="2"/>
      <c r="Q23" s="9">
        <v>16.0</v>
      </c>
      <c r="R23" s="2"/>
      <c r="S23" s="2"/>
      <c r="T23" s="2"/>
      <c r="U23" s="2"/>
      <c r="V23" s="9">
        <v>16.0</v>
      </c>
      <c r="W23" s="9">
        <v>13.0</v>
      </c>
      <c r="X23" s="9">
        <v>16.0</v>
      </c>
      <c r="Y23" s="9">
        <v>14.4</v>
      </c>
      <c r="Z23" s="9">
        <v>13.0</v>
      </c>
      <c r="AA23" s="9">
        <v>11.45</v>
      </c>
      <c r="AB23" s="9">
        <v>20.0</v>
      </c>
      <c r="AC23" s="2"/>
      <c r="AD23" s="11">
        <v>6.69</v>
      </c>
      <c r="AE23" s="9">
        <v>10.0</v>
      </c>
      <c r="AF23" s="2"/>
      <c r="AG23" s="2"/>
      <c r="AH23" s="2"/>
      <c r="AI23" s="2"/>
      <c r="AJ23" s="4"/>
      <c r="AK23" s="16">
        <v>3.34</v>
      </c>
      <c r="AL23" s="17">
        <f>Partic!S23</f>
        <v>0</v>
      </c>
      <c r="AM23" s="19">
        <f t="shared" si="3"/>
        <v>3.34</v>
      </c>
    </row>
    <row r="24">
      <c r="A24" s="2" t="s">
        <v>105</v>
      </c>
      <c r="B24" s="2" t="s">
        <v>106</v>
      </c>
      <c r="C24" s="2">
        <v>3.162326E7</v>
      </c>
      <c r="D24" s="9">
        <v>17.5</v>
      </c>
      <c r="E24" s="9">
        <v>14.5</v>
      </c>
      <c r="F24" s="9">
        <v>16.8</v>
      </c>
      <c r="G24" s="9">
        <v>19.0</v>
      </c>
      <c r="H24" s="11">
        <v>17.9</v>
      </c>
      <c r="I24" s="9">
        <v>14.0</v>
      </c>
      <c r="J24" s="9">
        <v>20.0</v>
      </c>
      <c r="K24" s="9">
        <v>20.0</v>
      </c>
      <c r="L24" s="9">
        <v>15.0</v>
      </c>
      <c r="M24" s="9">
        <v>20.0</v>
      </c>
      <c r="N24" s="9">
        <v>18.0</v>
      </c>
      <c r="O24" s="9">
        <v>5.0</v>
      </c>
      <c r="P24" s="9">
        <v>20.0</v>
      </c>
      <c r="Q24" s="9">
        <v>20.0</v>
      </c>
      <c r="R24" s="9">
        <v>10.0</v>
      </c>
      <c r="S24" s="9">
        <v>20.0</v>
      </c>
      <c r="T24" s="9">
        <v>19.0</v>
      </c>
      <c r="U24" s="9">
        <v>20.0</v>
      </c>
      <c r="V24" s="9">
        <v>20.0</v>
      </c>
      <c r="W24" s="9">
        <v>17.0</v>
      </c>
      <c r="X24" s="9">
        <v>17.0</v>
      </c>
      <c r="Y24" s="9">
        <v>20.0</v>
      </c>
      <c r="Z24" s="9">
        <v>17.0</v>
      </c>
      <c r="AA24" s="9">
        <v>17.85</v>
      </c>
      <c r="AB24" s="9">
        <v>12.0</v>
      </c>
      <c r="AC24" s="9">
        <v>20.0</v>
      </c>
      <c r="AD24" s="11">
        <v>18.09</v>
      </c>
      <c r="AE24" s="9">
        <v>17.0</v>
      </c>
      <c r="AF24" s="9">
        <v>15.0</v>
      </c>
      <c r="AG24" s="2"/>
      <c r="AH24" s="2"/>
      <c r="AI24" s="2"/>
      <c r="AJ24" s="11">
        <v>0.75</v>
      </c>
      <c r="AK24" s="16">
        <v>17.15</v>
      </c>
      <c r="AL24" s="17">
        <f>Partic!S24</f>
        <v>0.4666666667</v>
      </c>
      <c r="AM24" s="19">
        <f t="shared" si="3"/>
        <v>17.61666667</v>
      </c>
    </row>
    <row r="25">
      <c r="A25" s="2" t="s">
        <v>89</v>
      </c>
      <c r="B25" s="2" t="s">
        <v>88</v>
      </c>
      <c r="C25" s="2">
        <v>3.208079E7</v>
      </c>
      <c r="D25" s="9">
        <v>15.5</v>
      </c>
      <c r="E25" s="9">
        <v>13.5</v>
      </c>
      <c r="F25" s="9">
        <v>1.6</v>
      </c>
      <c r="G25" s="9">
        <v>18.6</v>
      </c>
      <c r="H25" s="11">
        <v>10.1</v>
      </c>
      <c r="I25" s="9">
        <v>12.0</v>
      </c>
      <c r="J25" s="9">
        <v>0.0</v>
      </c>
      <c r="K25" s="2"/>
      <c r="L25" s="9">
        <v>20.0</v>
      </c>
      <c r="M25" s="2"/>
      <c r="N25" s="2"/>
      <c r="O25" s="9">
        <v>5.0</v>
      </c>
      <c r="P25" s="2"/>
      <c r="Q25" s="9">
        <v>16.0</v>
      </c>
      <c r="R25" s="9">
        <v>20.0</v>
      </c>
      <c r="S25" s="9">
        <v>20.0</v>
      </c>
      <c r="T25" s="2"/>
      <c r="U25" s="2"/>
      <c r="V25" s="2"/>
      <c r="W25" s="9">
        <v>18.45</v>
      </c>
      <c r="X25" s="9">
        <v>18.0</v>
      </c>
      <c r="Y25" s="9">
        <v>18.6</v>
      </c>
      <c r="Z25" s="2"/>
      <c r="AA25" s="9">
        <v>19.65</v>
      </c>
      <c r="AB25" s="2"/>
      <c r="AC25" s="9">
        <v>18.0</v>
      </c>
      <c r="AD25" s="11">
        <v>9.29</v>
      </c>
      <c r="AE25" s="9">
        <v>15.0</v>
      </c>
      <c r="AF25" s="2"/>
      <c r="AG25" s="2"/>
      <c r="AH25" s="9">
        <v>10.0</v>
      </c>
      <c r="AI25" s="2"/>
      <c r="AJ25" s="11">
        <v>2.0</v>
      </c>
      <c r="AK25" s="16">
        <v>13.08</v>
      </c>
      <c r="AL25" s="17">
        <f>Partic!S25</f>
        <v>0.06666666667</v>
      </c>
      <c r="AM25" s="19">
        <f t="shared" si="3"/>
        <v>13.14666667</v>
      </c>
    </row>
    <row r="26">
      <c r="A26" s="2" t="s">
        <v>91</v>
      </c>
      <c r="B26" s="2" t="s">
        <v>90</v>
      </c>
      <c r="C26" s="2">
        <v>2.9678946E7</v>
      </c>
      <c r="D26" s="2"/>
      <c r="E26" s="2"/>
      <c r="F26" s="2"/>
      <c r="G26" s="2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"/>
      <c r="AE26" s="2"/>
      <c r="AF26" s="2"/>
      <c r="AG26" s="2"/>
      <c r="AH26" s="2"/>
      <c r="AI26" s="2"/>
      <c r="AJ26" s="4"/>
      <c r="AK26" s="23"/>
      <c r="AL26" s="17">
        <f>Partic!S26</f>
        <v>0</v>
      </c>
      <c r="AM26" s="19">
        <f t="shared" si="3"/>
        <v>0</v>
      </c>
    </row>
    <row r="27">
      <c r="A27" s="2" t="s">
        <v>93</v>
      </c>
      <c r="B27" s="2" t="s">
        <v>92</v>
      </c>
      <c r="C27" s="2">
        <v>3.4202891E7</v>
      </c>
      <c r="D27" s="9">
        <v>17.5</v>
      </c>
      <c r="E27" s="9">
        <v>18.5</v>
      </c>
      <c r="F27" s="9">
        <v>15.0</v>
      </c>
      <c r="G27" s="9">
        <v>17.0</v>
      </c>
      <c r="H27" s="11">
        <v>16.0</v>
      </c>
      <c r="I27" s="9">
        <v>20.0</v>
      </c>
      <c r="J27" s="9">
        <v>15.0</v>
      </c>
      <c r="K27" s="9">
        <v>20.0</v>
      </c>
      <c r="L27" s="9">
        <v>15.0</v>
      </c>
      <c r="M27" s="9">
        <v>20.0</v>
      </c>
      <c r="N27" s="9">
        <v>17.0</v>
      </c>
      <c r="O27" s="9">
        <v>20.0</v>
      </c>
      <c r="P27" s="9">
        <v>15.0</v>
      </c>
      <c r="Q27" s="9">
        <v>18.0</v>
      </c>
      <c r="R27" s="9">
        <v>14.0</v>
      </c>
      <c r="S27" s="9">
        <v>20.0</v>
      </c>
      <c r="T27" s="9">
        <v>20.0</v>
      </c>
      <c r="U27" s="9">
        <v>20.0</v>
      </c>
      <c r="V27" s="9">
        <v>20.0</v>
      </c>
      <c r="W27" s="9">
        <v>18.25</v>
      </c>
      <c r="X27" s="9">
        <v>20.0</v>
      </c>
      <c r="Y27" s="9">
        <v>16.9</v>
      </c>
      <c r="Z27" s="9">
        <v>15.0</v>
      </c>
      <c r="AA27" s="9">
        <v>19.65</v>
      </c>
      <c r="AB27" s="9">
        <v>16.0</v>
      </c>
      <c r="AC27" s="9">
        <v>16.0</v>
      </c>
      <c r="AD27" s="11">
        <v>18.79</v>
      </c>
      <c r="AE27" s="9">
        <v>19.0</v>
      </c>
      <c r="AF27" s="2"/>
      <c r="AG27" s="2"/>
      <c r="AH27" s="2"/>
      <c r="AI27" s="2"/>
      <c r="AJ27" s="4"/>
      <c r="AK27" s="16">
        <v>17.96</v>
      </c>
      <c r="AL27" s="17">
        <f>Partic!S27</f>
        <v>0.06666666667</v>
      </c>
      <c r="AM27" s="19">
        <f t="shared" si="3"/>
        <v>18.02666667</v>
      </c>
    </row>
    <row r="28">
      <c r="A28" s="2" t="s">
        <v>47</v>
      </c>
      <c r="B28" s="2" t="s">
        <v>94</v>
      </c>
      <c r="C28" s="2">
        <v>3.1707262E7</v>
      </c>
      <c r="D28" s="9">
        <v>10.5</v>
      </c>
      <c r="E28" s="9">
        <v>12.5</v>
      </c>
      <c r="F28" s="9">
        <v>7.6</v>
      </c>
      <c r="G28" s="9">
        <v>12.6</v>
      </c>
      <c r="H28" s="11">
        <v>10.1</v>
      </c>
      <c r="I28" s="9">
        <v>15.0</v>
      </c>
      <c r="J28" s="9">
        <v>10.0</v>
      </c>
      <c r="K28" s="9">
        <v>18.0</v>
      </c>
      <c r="L28" s="2"/>
      <c r="M28" s="9">
        <v>0.0</v>
      </c>
      <c r="N28" s="9">
        <v>15.0</v>
      </c>
      <c r="O28" s="9">
        <v>0.0</v>
      </c>
      <c r="P28" s="9">
        <v>15.0</v>
      </c>
      <c r="Q28" s="9">
        <v>18.0</v>
      </c>
      <c r="R28" s="9">
        <v>7.0</v>
      </c>
      <c r="S28" s="2"/>
      <c r="T28" s="9">
        <v>15.0</v>
      </c>
      <c r="U28" s="9">
        <v>20.0</v>
      </c>
      <c r="V28" s="9">
        <v>20.0</v>
      </c>
      <c r="W28" s="9">
        <v>12.0</v>
      </c>
      <c r="X28" s="9">
        <v>19.0</v>
      </c>
      <c r="Y28" s="2"/>
      <c r="Z28" s="9">
        <v>14.0</v>
      </c>
      <c r="AA28" s="9">
        <v>7.0</v>
      </c>
      <c r="AB28" s="9">
        <v>20.0</v>
      </c>
      <c r="AC28" s="2"/>
      <c r="AD28" s="11">
        <v>11.25</v>
      </c>
      <c r="AE28" s="9">
        <v>14.0</v>
      </c>
      <c r="AF28" s="9">
        <v>0.0</v>
      </c>
      <c r="AG28" s="2"/>
      <c r="AH28" s="2"/>
      <c r="AI28" s="2"/>
      <c r="AJ28" s="11">
        <v>0.0</v>
      </c>
      <c r="AK28" s="16">
        <v>11.67</v>
      </c>
      <c r="AL28" s="17">
        <f>Partic!S28</f>
        <v>0.06666666667</v>
      </c>
      <c r="AM28" s="19">
        <f t="shared" si="3"/>
        <v>11.73666667</v>
      </c>
    </row>
  </sheetData>
  <drawing r:id="rId1"/>
  <tableParts count="1">
    <tablePart r:id="rId3"/>
  </tableParts>
</worksheet>
</file>