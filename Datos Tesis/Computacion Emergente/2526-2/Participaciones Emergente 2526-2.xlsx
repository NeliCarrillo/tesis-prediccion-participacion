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URACION EMERGENTE" sheetId="1" r:id="rId5"/>
  </sheets>
  <definedNames/>
  <calcPr/>
</workbook>
</file>

<file path=xl/sharedStrings.xml><?xml version="1.0" encoding="utf-8"?>
<sst xmlns="http://schemas.openxmlformats.org/spreadsheetml/2006/main" count="60" uniqueCount="60">
  <si>
    <t>Participaciones Computacion Emergente - Enero-Marzo 2026</t>
  </si>
  <si>
    <t>Cédula</t>
  </si>
  <si>
    <t>Apellidos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</si>
  <si>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</si>
  <si>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</si>
  <si>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</si>
  <si>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</si>
  <si>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</si>
  <si>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</si>
  <si>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</si>
  <si>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</si>
  <si>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</si>
  <si>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</si>
  <si>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</si>
  <si>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</si>
  <si>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TOTAL</t>
  </si>
  <si>
    <t>percent</t>
  </si>
  <si>
    <t>SASantiago David Aristimuño Yaguaramay</t>
  </si>
  <si>
    <t>Albany Veronica Avila Blanco</t>
  </si>
  <si>
    <t>JBJhorman Bloom</t>
  </si>
  <si>
    <t>Andrés Alonso Camacho López</t>
  </si>
  <si>
    <t>Beatriz Elena Cardozo López</t>
  </si>
  <si>
    <t>CCCarlo Carpentieri Perez</t>
  </si>
  <si>
    <t>Ramón Carrasquel</t>
  </si>
  <si>
    <t>LCLuis Carreño</t>
  </si>
  <si>
    <t>Nicola Colarusso</t>
  </si>
  <si>
    <t>Diego De Jesús</t>
  </si>
  <si>
    <t>JDJuan Diaz</t>
  </si>
  <si>
    <t>AEAsier Errasti</t>
  </si>
  <si>
    <t>Gabriel Jesus Flores Baez</t>
  </si>
  <si>
    <t>Jose Ignacio Francisco alvarez</t>
  </si>
  <si>
    <t>JGJoel Eduardo Gascón Pulido</t>
  </si>
  <si>
    <t>Tomas Enrique Gonzalez Adrian</t>
  </si>
  <si>
    <t>Karelin Guzman</t>
  </si>
  <si>
    <t>Kevin Hernandez</t>
  </si>
  <si>
    <t>Alejo Hernandez</t>
  </si>
  <si>
    <t>VKVictoria Knuth</t>
  </si>
  <si>
    <t>Verónica Luna</t>
  </si>
  <si>
    <t>Rodolfo Marin</t>
  </si>
  <si>
    <t>VMVictor Martinez</t>
  </si>
  <si>
    <t>DMDavid Alejandro Mavares Delgado</t>
  </si>
  <si>
    <t>RMRicardo Mazziotta</t>
  </si>
  <si>
    <t>Mauricio Méndez</t>
  </si>
  <si>
    <t>Annabella Mendoza</t>
  </si>
  <si>
    <t>Andrés Alejandro Moreno Lombardo</t>
  </si>
  <si>
    <t>Elvira Esther Navas Piñate</t>
  </si>
  <si>
    <t>Juan Diego Nunes Peraza</t>
  </si>
  <si>
    <t>Gabriel Rafael Oba Aye Orozco Rodriguez</t>
  </si>
  <si>
    <t>Adrián Eduardo Pinzón Vásquez</t>
  </si>
  <si>
    <t>Jonathan Pizzurro Fortun</t>
  </si>
  <si>
    <t>CRChristian Ramos</t>
  </si>
  <si>
    <t>GRGonzalo Andrés Ramos De Sa Pinto</t>
  </si>
  <si>
    <t>ARAndrea Veronica Reyes Mejia</t>
  </si>
  <si>
    <t>IRIsabella Rondón</t>
  </si>
  <si>
    <t>MRMaria Antonella Ruiz Cianci</t>
  </si>
  <si>
    <t>Fernando Torre</t>
  </si>
  <si>
    <t>VTVirginia Torrealba</t>
  </si>
  <si>
    <t>Daniel Alejandro Tortorella Torres</t>
  </si>
  <si>
    <t>Arnaldo Andres Vallerugo Corral</t>
  </si>
  <si>
    <t>Diego Vivolo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</si>
</sst>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1D2125"/>
      <name val="Century Gothic"/>
    </font>
    <font>
      <u/>
      <sz val="11.0"/>
      <color theme="10"/>
      <name val="Aptos Narrow"/>
    </font>
    <font>
      <b/>
      <sz val="12.0"/>
      <color theme="1"/>
      <name val="Aptos Narrow"/>
    </font>
    <font>
      <u/>
      <sz val="11.0"/>
      <color theme="1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2" numFmtId="0" xfId="0" applyBorder="1" applyFont="1"/>
    <xf borderId="1" fillId="0" fontId="1" numFmtId="0" xfId="0" applyBorder="1" applyFont="1"/>
    <xf borderId="1" fillId="2" fontId="2" numFmtId="0" xfId="0" applyBorder="1" applyFill="1" applyFont="1"/>
    <xf borderId="0" fillId="2" fontId="1" numFmtId="0" xfId="0" applyAlignment="1" applyFill="1" applyFont="1">
      <alignment readingOrder="0"/>
    </xf>
    <xf borderId="0" fillId="2" fontId="1" numFmtId="9" xfId="0" applyAlignment="1" applyFill="1" applyFont="1" applyNumberFormat="1">
      <alignment readingOrder="0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1" fillId="3" fontId="5" numFmtId="0" xfId="0" applyAlignment="1" applyBorder="1" applyFill="1" applyFont="1">
      <alignment horizontal="center"/>
    </xf>
    <xf borderId="0" fillId="3" fontId="5" numFmtId="10" xfId="0" applyAlignment="1" applyFill="1" applyFont="1" applyNumberFormat="1">
      <alignment horizontal="center"/>
    </xf>
    <xf borderId="0" fillId="3" fontId="5" numFmtId="164" xfId="0" applyAlignment="1" applyFill="1" applyFont="1" applyNumberFormat="1">
      <alignment horizontal="center"/>
    </xf>
    <xf borderId="1" fillId="4" fontId="3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ill="1" applyFont="1">
      <alignment horizontal="right" shrinkToFit="0" vertical="center" wrapText="1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1">
    <tableStyle count="3" pivot="0" name="COMPURACION EMERGENTE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.jpg"/><Relationship Id="rId22" Type="http://schemas.openxmlformats.org/officeDocument/2006/relationships/image" Target="../media/image19.jpg"/><Relationship Id="rId21" Type="http://schemas.openxmlformats.org/officeDocument/2006/relationships/image" Target="../media/image14.png"/><Relationship Id="rId24" Type="http://schemas.openxmlformats.org/officeDocument/2006/relationships/image" Target="../media/image16.jpg"/><Relationship Id="rId23" Type="http://schemas.openxmlformats.org/officeDocument/2006/relationships/image" Target="../media/image23.png"/><Relationship Id="rId1" Type="http://schemas.openxmlformats.org/officeDocument/2006/relationships/image" Target="../media/image1.jpg"/><Relationship Id="rId2" Type="http://schemas.openxmlformats.org/officeDocument/2006/relationships/image" Target="../media/image5.jpg"/><Relationship Id="rId3" Type="http://schemas.openxmlformats.org/officeDocument/2006/relationships/image" Target="../media/image2.jpg"/><Relationship Id="rId4" Type="http://schemas.openxmlformats.org/officeDocument/2006/relationships/image" Target="../media/image22.jpg"/><Relationship Id="rId9" Type="http://schemas.openxmlformats.org/officeDocument/2006/relationships/image" Target="../media/image4.jpg"/><Relationship Id="rId26" Type="http://schemas.openxmlformats.org/officeDocument/2006/relationships/image" Target="../media/image11.jpg"/><Relationship Id="rId25" Type="http://schemas.openxmlformats.org/officeDocument/2006/relationships/image" Target="../media/image17.jpg"/><Relationship Id="rId27" Type="http://schemas.openxmlformats.org/officeDocument/2006/relationships/image" Target="../media/image20.jpg"/><Relationship Id="rId5" Type="http://schemas.openxmlformats.org/officeDocument/2006/relationships/image" Target="../media/image13.jpg"/><Relationship Id="rId6" Type="http://schemas.openxmlformats.org/officeDocument/2006/relationships/image" Target="../media/image9.jpg"/><Relationship Id="rId7" Type="http://schemas.openxmlformats.org/officeDocument/2006/relationships/image" Target="../media/image6.png"/><Relationship Id="rId8" Type="http://schemas.openxmlformats.org/officeDocument/2006/relationships/image" Target="../media/image18.jpg"/><Relationship Id="rId11" Type="http://schemas.openxmlformats.org/officeDocument/2006/relationships/image" Target="../media/image7.jpg"/><Relationship Id="rId10" Type="http://schemas.openxmlformats.org/officeDocument/2006/relationships/image" Target="../media/image15.jpg"/><Relationship Id="rId13" Type="http://schemas.openxmlformats.org/officeDocument/2006/relationships/image" Target="../media/image8.jpg"/><Relationship Id="rId12" Type="http://schemas.openxmlformats.org/officeDocument/2006/relationships/image" Target="../media/image24.jpg"/><Relationship Id="rId15" Type="http://schemas.openxmlformats.org/officeDocument/2006/relationships/image" Target="../media/image12.jpg"/><Relationship Id="rId14" Type="http://schemas.openxmlformats.org/officeDocument/2006/relationships/image" Target="../media/image26.jpg"/><Relationship Id="rId17" Type="http://schemas.openxmlformats.org/officeDocument/2006/relationships/image" Target="../media/image25.jpg"/><Relationship Id="rId16" Type="http://schemas.openxmlformats.org/officeDocument/2006/relationships/image" Target="../media/image3.jpg"/><Relationship Id="rId19" Type="http://schemas.openxmlformats.org/officeDocument/2006/relationships/image" Target="../media/image27.jpg"/><Relationship Id="rId18" Type="http://schemas.openxmlformats.org/officeDocument/2006/relationships/image" Target="../media/image2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33375" cy="866775"/>
    <xdr:pic>
      <xdr:nvPicPr>
        <xdr:cNvPr descr="https://aulasvirtuales.unimet.edu.ve/pluginfile.php/12483/user/icon/academi/f2?rev=121049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33375" cy="866775"/>
    <xdr:pic>
      <xdr:nvPicPr>
        <xdr:cNvPr descr="https://aulasvirtuales.unimet.edu.ve/pluginfile.php/122038/user/icon/academi/f2?rev=8480139"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33375" cy="866775"/>
    <xdr:pic>
      <xdr:nvPicPr>
        <xdr:cNvPr descr="https://aulasvirtuales.unimet.edu.ve/pluginfile.php/50505/user/icon/academi/f2?rev=1733892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33375" cy="504825"/>
    <xdr:pic>
      <xdr:nvPicPr>
        <xdr:cNvPr descr="https://aulasvirtuales.unimet.edu.ve/pluginfile.php/202379/user/icon/academi/f2?rev=3453220" id="0" name="image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33375" cy="504825"/>
    <xdr:pic>
      <xdr:nvPicPr>
        <xdr:cNvPr descr="https://aulasvirtuales.unimet.edu.ve/pluginfile.php/156876/user/icon/academi/f2?rev=3458952" id="0" name="image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33375" cy="504825"/>
    <xdr:pic>
      <xdr:nvPicPr>
        <xdr:cNvPr descr="https://aulasvirtuales.unimet.edu.ve/pluginfile.php/50313/user/icon/academi/f2?rev=3551779"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33375" cy="866775"/>
    <xdr:pic>
      <xdr:nvPicPr>
        <xdr:cNvPr descr="https://aulasvirtuales.unimet.edu.ve/pluginfile.php/122191/user/icon/academi/f2?rev=2804759"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33375" cy="866775"/>
    <xdr:pic>
      <xdr:nvPicPr>
        <xdr:cNvPr descr="https://aulasvirtuales.unimet.edu.ve/pluginfile.php/157023/user/icon/academi/f2?rev=4659824" id="0" name="image1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33375" cy="866775"/>
    <xdr:pic>
      <xdr:nvPicPr>
        <xdr:cNvPr descr="https://aulasvirtuales.unimet.edu.ve/pluginfile.php/12614/user/icon/academi/f2?rev=123302"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866775"/>
    <xdr:pic>
      <xdr:nvPicPr>
        <xdr:cNvPr descr="https://aulasvirtuales.unimet.edu.ve/pluginfile.php/179671/user/icon/academi/f2?rev=8386827"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504825"/>
    <xdr:pic>
      <xdr:nvPicPr>
        <xdr:cNvPr descr="https://aulasvirtuales.unimet.edu.ve/pluginfile.php/131919/user/icon/academi/f2?rev=1616109"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33375" cy="504825"/>
    <xdr:pic>
      <xdr:nvPicPr>
        <xdr:cNvPr descr="yo" id="0" name="image2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333375" cy="333375"/>
    <xdr:pic>
      <xdr:nvPicPr>
        <xdr:cNvPr descr="https://aulasvirtuales.unimet.edu.ve/pluginfile.php/36654/user/icon/academi/f2?rev=9575329" id="0" name="image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333375" cy="333375"/>
    <xdr:pic>
      <xdr:nvPicPr>
        <xdr:cNvPr descr="https://aulasvirtuales.unimet.edu.ve/pluginfile.php/13774/user/icon/academi/f2?rev=743069" id="0" name="image2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33375" cy="333375"/>
    <xdr:pic>
      <xdr:nvPicPr>
        <xdr:cNvPr descr="https://aulasvirtuales.unimet.edu.ve/pluginfile.php/18598/user/icon/academi/f2?rev=1942600" id="0" name="image1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33375" cy="333375"/>
    <xdr:pic>
      <xdr:nvPicPr>
        <xdr:cNvPr descr="https://aulasvirtuales.unimet.edu.ve/pluginfile.php/122143/user/icon/academi/f2?rev=1733660" id="0" name="image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33375" cy="333375"/>
    <xdr:pic>
      <xdr:nvPicPr>
        <xdr:cNvPr descr="https://aulasvirtuales.unimet.edu.ve/pluginfile.php/157141/user/icon/academi/f2?rev=3454050" id="0" name="image2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33375" cy="333375"/>
    <xdr:pic>
      <xdr:nvPicPr>
        <xdr:cNvPr descr="https://aulasvirtuales.unimet.edu.ve/pluginfile.php/157034/user/icon/academi/f2?rev=3534299" id="0" name="image2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33375" cy="333375"/>
    <xdr:pic>
      <xdr:nvPicPr>
        <xdr:cNvPr descr="Perfil Elvira Navas" id="0" name="image2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33375" cy="333375"/>
    <xdr:pic>
      <xdr:nvPicPr>
        <xdr:cNvPr descr="https://aulasvirtuales.unimet.edu.ve/pluginfile.php/68526/user/icon/academi/f2?rev=2332026" id="0" name="image1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33375" cy="333375"/>
    <xdr:pic>
      <xdr:nvPicPr>
        <xdr:cNvPr descr="https://aulasvirtuales.unimet.edu.ve/pluginfile.php/206076/user/icon/academi/f2?rev=3466284" id="0" name="image1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33375" cy="333375"/>
    <xdr:pic>
      <xdr:nvPicPr>
        <xdr:cNvPr descr="https://aulasvirtuales.unimet.edu.ve/pluginfile.php/18576/user/icon/academi/f2?rev=130493" id="0" name="image1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333375" cy="333375"/>
    <xdr:pic>
      <xdr:nvPicPr>
        <xdr:cNvPr descr="https://aulasvirtuales.unimet.edu.ve/pluginfile.php/131834/user/icon/academi/f2?rev=7672945"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333375" cy="333375"/>
    <xdr:pic>
      <xdr:nvPicPr>
        <xdr:cNvPr descr="https://aulasvirtuales.unimet.edu.ve/pluginfile.php/297723/user/icon/academi/f2?rev=8343542"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33375" cy="333375"/>
    <xdr:pic>
      <xdr:nvPicPr>
        <xdr:cNvPr descr="https://aulasvirtuales.unimet.edu.ve/pluginfile.php/156881/user/icon/academi/f2?rev=7036507" id="0" name="image1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333375" cy="333375"/>
    <xdr:pic>
      <xdr:nvPicPr>
        <xdr:cNvPr descr="https://aulasvirtuales.unimet.edu.ve/pluginfile.php/253739/user/icon/academi/f2?rev=6025912" id="0" name="image1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333375" cy="333375"/>
    <xdr:pic>
      <xdr:nvPicPr>
        <xdr:cNvPr descr="https://aulasvirtuales.unimet.edu.ve/pluginfile.php/226753/user/icon/academi/f2?rev=4069489" id="0" name="image2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Q45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URACION EMERGEN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ulasvirtuales.unimet.edu.ve/user/view.php?id=8546&amp;course=3479" TargetMode="External"/><Relationship Id="rId20" Type="http://schemas.openxmlformats.org/officeDocument/2006/relationships/hyperlink" Target="https://aulasvirtuales.unimet.edu.ve/user/view.php?id=1004&amp;course=3479" TargetMode="External"/><Relationship Id="rId42" Type="http://schemas.openxmlformats.org/officeDocument/2006/relationships/hyperlink" Target="https://aulasvirtuales.unimet.edu.ve/user/view.php?id=11173&amp;course=3479" TargetMode="External"/><Relationship Id="rId41" Type="http://schemas.openxmlformats.org/officeDocument/2006/relationships/hyperlink" Target="https://aulasvirtuales.unimet.edu.ve/user/view.php?id=11878&amp;course=3479" TargetMode="External"/><Relationship Id="rId22" Type="http://schemas.openxmlformats.org/officeDocument/2006/relationships/hyperlink" Target="https://aulasvirtuales.unimet.edu.ve/user/view.php?id=2221&amp;course=3479" TargetMode="External"/><Relationship Id="rId21" Type="http://schemas.openxmlformats.org/officeDocument/2006/relationships/hyperlink" Target="https://aulasvirtuales.unimet.edu.ve/user/view.php?id=1628&amp;course=3479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aulasvirtuales.unimet.edu.ve/user/view.php?id=10298&amp;course=3479" TargetMode="External"/><Relationship Id="rId23" Type="http://schemas.openxmlformats.org/officeDocument/2006/relationships/hyperlink" Target="https://aulasvirtuales.unimet.edu.ve/user/view.php?id=10285&amp;course=3479" TargetMode="External"/><Relationship Id="rId45" Type="http://schemas.openxmlformats.org/officeDocument/2006/relationships/table" Target="../tables/table1.xml"/><Relationship Id="rId1" Type="http://schemas.openxmlformats.org/officeDocument/2006/relationships/hyperlink" Target="https://aulasvirtuales.unimet.edu.ve/user/view.php?id=10171&amp;course=3479" TargetMode="External"/><Relationship Id="rId2" Type="http://schemas.openxmlformats.org/officeDocument/2006/relationships/hyperlink" Target="https://aulasvirtuales.unimet.edu.ve/user/view.php?id=817&amp;course=3479" TargetMode="External"/><Relationship Id="rId3" Type="http://schemas.openxmlformats.org/officeDocument/2006/relationships/hyperlink" Target="https://aulasvirtuales.unimet.edu.ve/user/view.php?id=1527&amp;course=3479" TargetMode="External"/><Relationship Id="rId4" Type="http://schemas.openxmlformats.org/officeDocument/2006/relationships/hyperlink" Target="https://aulasvirtuales.unimet.edu.ve/user/view.php?id=6829&amp;course=3479" TargetMode="External"/><Relationship Id="rId9" Type="http://schemas.openxmlformats.org/officeDocument/2006/relationships/hyperlink" Target="https://aulasvirtuales.unimet.edu.ve/user/view.php?id=8541&amp;course=3479" TargetMode="External"/><Relationship Id="rId26" Type="http://schemas.openxmlformats.org/officeDocument/2006/relationships/hyperlink" Target="https://aulasvirtuales.unimet.edu.ve/user/view.php?id=6934&amp;course=3479" TargetMode="External"/><Relationship Id="rId25" Type="http://schemas.openxmlformats.org/officeDocument/2006/relationships/hyperlink" Target="https://aulasvirtuales.unimet.edu.ve/user/view.php?id=10224&amp;course=3479" TargetMode="External"/><Relationship Id="rId28" Type="http://schemas.openxmlformats.org/officeDocument/2006/relationships/hyperlink" Target="https://aulasvirtuales.unimet.edu.ve/user/view.php?id=8699&amp;course=3479" TargetMode="External"/><Relationship Id="rId27" Type="http://schemas.openxmlformats.org/officeDocument/2006/relationships/hyperlink" Target="https://aulasvirtuales.unimet.edu.ve/user/view.php?id=8806&amp;course=3479" TargetMode="External"/><Relationship Id="rId5" Type="http://schemas.openxmlformats.org/officeDocument/2006/relationships/hyperlink" Target="https://aulasvirtuales.unimet.edu.ve/user/view.php?id=4378&amp;course=3479" TargetMode="External"/><Relationship Id="rId6" Type="http://schemas.openxmlformats.org/officeDocument/2006/relationships/hyperlink" Target="https://aulasvirtuales.unimet.edu.ve/user/view.php?id=5827&amp;course=3479" TargetMode="External"/><Relationship Id="rId29" Type="http://schemas.openxmlformats.org/officeDocument/2006/relationships/hyperlink" Target="https://aulasvirtuales.unimet.edu.ve/user/view.php?id=75&amp;course=3479" TargetMode="External"/><Relationship Id="rId7" Type="http://schemas.openxmlformats.org/officeDocument/2006/relationships/hyperlink" Target="https://aulasvirtuales.unimet.edu.ve/user/view.php?id=10132&amp;course=3479" TargetMode="External"/><Relationship Id="rId8" Type="http://schemas.openxmlformats.org/officeDocument/2006/relationships/hyperlink" Target="https://aulasvirtuales.unimet.edu.ve/user/view.php?id=8614&amp;course=3479" TargetMode="External"/><Relationship Id="rId31" Type="http://schemas.openxmlformats.org/officeDocument/2006/relationships/hyperlink" Target="https://aulasvirtuales.unimet.edu.ve/user/view.php?id=10503&amp;course=3479" TargetMode="External"/><Relationship Id="rId30" Type="http://schemas.openxmlformats.org/officeDocument/2006/relationships/hyperlink" Target="https://aulasvirtuales.unimet.edu.ve/user/view.php?id=5441&amp;course=3479" TargetMode="External"/><Relationship Id="rId11" Type="http://schemas.openxmlformats.org/officeDocument/2006/relationships/hyperlink" Target="https://aulasvirtuales.unimet.edu.ve/user/view.php?id=8370&amp;course=3479" TargetMode="External"/><Relationship Id="rId33" Type="http://schemas.openxmlformats.org/officeDocument/2006/relationships/hyperlink" Target="https://aulasvirtuales.unimet.edu.ve/user/view.php?id=7313&amp;course=3479" TargetMode="External"/><Relationship Id="rId10" Type="http://schemas.openxmlformats.org/officeDocument/2006/relationships/hyperlink" Target="https://aulasvirtuales.unimet.edu.ve/user/view.php?id=4186&amp;course=3479" TargetMode="External"/><Relationship Id="rId32" Type="http://schemas.openxmlformats.org/officeDocument/2006/relationships/hyperlink" Target="https://aulasvirtuales.unimet.edu.ve/user/view.php?id=2199&amp;course=3479" TargetMode="External"/><Relationship Id="rId13" Type="http://schemas.openxmlformats.org/officeDocument/2006/relationships/hyperlink" Target="https://aulasvirtuales.unimet.edu.ve/user/view.php?id=6982&amp;course=3479" TargetMode="External"/><Relationship Id="rId35" Type="http://schemas.openxmlformats.org/officeDocument/2006/relationships/hyperlink" Target="https://aulasvirtuales.unimet.edu.ve/user/view.php?id=8624&amp;course=3479" TargetMode="External"/><Relationship Id="rId12" Type="http://schemas.openxmlformats.org/officeDocument/2006/relationships/hyperlink" Target="https://aulasvirtuales.unimet.edu.ve/user/view.php?id=8647&amp;course=3479" TargetMode="External"/><Relationship Id="rId34" Type="http://schemas.openxmlformats.org/officeDocument/2006/relationships/hyperlink" Target="https://aulasvirtuales.unimet.edu.ve/user/view.php?id=18737&amp;course=3479" TargetMode="External"/><Relationship Id="rId15" Type="http://schemas.openxmlformats.org/officeDocument/2006/relationships/hyperlink" Target="https://aulasvirtuales.unimet.edu.ve/user/view.php?id=9262&amp;course=3479" TargetMode="External"/><Relationship Id="rId37" Type="http://schemas.openxmlformats.org/officeDocument/2006/relationships/hyperlink" Target="https://aulasvirtuales.unimet.edu.ve/user/view.php?id=19673&amp;course=3479" TargetMode="External"/><Relationship Id="rId14" Type="http://schemas.openxmlformats.org/officeDocument/2006/relationships/hyperlink" Target="https://aulasvirtuales.unimet.edu.ve/user/view.php?id=8688&amp;course=3479" TargetMode="External"/><Relationship Id="rId36" Type="http://schemas.openxmlformats.org/officeDocument/2006/relationships/hyperlink" Target="https://aulasvirtuales.unimet.edu.ve/user/view.php?id=4645&amp;course=3479" TargetMode="External"/><Relationship Id="rId17" Type="http://schemas.openxmlformats.org/officeDocument/2006/relationships/hyperlink" Target="https://aulasvirtuales.unimet.edu.ve/user/view.php?id=7362&amp;course=3479" TargetMode="External"/><Relationship Id="rId39" Type="http://schemas.openxmlformats.org/officeDocument/2006/relationships/hyperlink" Target="https://aulasvirtuales.unimet.edu.ve/user/view.php?id=13668&amp;course=3479" TargetMode="External"/><Relationship Id="rId16" Type="http://schemas.openxmlformats.org/officeDocument/2006/relationships/hyperlink" Target="https://aulasvirtuales.unimet.edu.ve/user/view.php?id=866&amp;course=3479" TargetMode="External"/><Relationship Id="rId38" Type="http://schemas.openxmlformats.org/officeDocument/2006/relationships/hyperlink" Target="https://aulasvirtuales.unimet.edu.ve/user/view.php?id=10093&amp;course=3479" TargetMode="External"/><Relationship Id="rId19" Type="http://schemas.openxmlformats.org/officeDocument/2006/relationships/hyperlink" Target="https://aulasvirtuales.unimet.edu.ve/user/view.php?id=3523&amp;course=3479" TargetMode="External"/><Relationship Id="rId18" Type="http://schemas.openxmlformats.org/officeDocument/2006/relationships/hyperlink" Target="https://aulasvirtuales.unimet.edu.ve/user/view.php?id=5830&amp;course=3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88"/>
    <col customWidth="1" min="2" max="2" width="36.88"/>
    <col customWidth="1" min="3" max="11" width="8.25"/>
    <col customWidth="1" min="12" max="14" width="9.25"/>
    <col customWidth="1" min="15" max="17" width="8.63"/>
  </cols>
  <sheetData>
    <row r="1">
      <c r="B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5" t="s">
        <v>15</v>
      </c>
      <c r="P2" s="6" t="s">
        <v>16</v>
      </c>
      <c r="Q2" s="7">
        <v>0.05</v>
      </c>
    </row>
    <row r="3" ht="26.25" customHeight="1">
      <c r="A3" s="8">
        <v>3.1068474E7</v>
      </c>
      <c r="B3" s="9" t="s">
        <v>17</v>
      </c>
      <c r="C3" s="3"/>
      <c r="D3" s="3">
        <v>1.0</v>
      </c>
      <c r="E3" s="3"/>
      <c r="F3" s="3"/>
      <c r="G3" s="3"/>
      <c r="H3" s="3"/>
      <c r="I3" s="3"/>
      <c r="J3" s="3"/>
      <c r="K3" s="3"/>
      <c r="L3" s="3"/>
      <c r="M3" s="3"/>
      <c r="N3" s="3"/>
      <c r="O3" s="10">
        <f>SUM('COMPURACION EMERGENTE'!$C3:$N3)</f>
        <v>1</v>
      </c>
      <c r="P3" s="11">
        <f t="shared" ref="P3:P45" si="1">O3/15</f>
        <v>0.06666666667</v>
      </c>
      <c r="Q3" s="12">
        <f t="shared" ref="Q3:Q45" si="2">P3*5</f>
        <v>0.3333333333</v>
      </c>
    </row>
    <row r="4" ht="26.25" customHeight="1">
      <c r="A4" s="13">
        <v>2.9510447E7</v>
      </c>
      <c r="B4" s="14" t="s">
        <v>18</v>
      </c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10">
        <f>SUM('COMPURACION EMERGENTE'!$C4:$N4)</f>
        <v>0</v>
      </c>
      <c r="P4" s="11">
        <f t="shared" si="1"/>
        <v>0</v>
      </c>
      <c r="Q4" s="12">
        <f t="shared" si="2"/>
        <v>0</v>
      </c>
    </row>
    <row r="5" ht="26.25" customHeight="1">
      <c r="A5" s="8">
        <v>2.5947729E7</v>
      </c>
      <c r="B5" s="9" t="s">
        <v>19</v>
      </c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10">
        <f>SUM('COMPURACION EMERGENTE'!$C5:$N5)</f>
        <v>0</v>
      </c>
      <c r="P5" s="11">
        <f t="shared" si="1"/>
        <v>0</v>
      </c>
      <c r="Q5" s="12">
        <f t="shared" si="2"/>
        <v>0</v>
      </c>
    </row>
    <row r="6" ht="26.25" customHeight="1">
      <c r="A6" s="13">
        <v>2.7849723E7</v>
      </c>
      <c r="B6" s="14" t="s">
        <v>20</v>
      </c>
      <c r="C6" s="3"/>
      <c r="D6" s="3"/>
      <c r="E6" s="4">
        <v>1.0</v>
      </c>
      <c r="F6" s="3">
        <v>2.0</v>
      </c>
      <c r="G6" s="3"/>
      <c r="H6" s="3">
        <v>1.0</v>
      </c>
      <c r="I6" s="3"/>
      <c r="J6" s="3">
        <v>1.0</v>
      </c>
      <c r="K6" s="3">
        <v>1.0</v>
      </c>
      <c r="L6" s="3"/>
      <c r="M6" s="3"/>
      <c r="N6" s="3"/>
      <c r="O6" s="10">
        <f>SUM('COMPURACION EMERGENTE'!$C6:$N6)</f>
        <v>6</v>
      </c>
      <c r="P6" s="11">
        <f t="shared" si="1"/>
        <v>0.4</v>
      </c>
      <c r="Q6" s="12">
        <f t="shared" si="2"/>
        <v>2</v>
      </c>
    </row>
    <row r="7" ht="26.25" customHeight="1">
      <c r="A7" s="8">
        <v>3.0057442E7</v>
      </c>
      <c r="B7" s="9" t="s">
        <v>21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0">
        <f>SUM('COMPURACION EMERGENTE'!$C7:$N7)</f>
        <v>0</v>
      </c>
      <c r="P7" s="11">
        <f t="shared" si="1"/>
        <v>0</v>
      </c>
      <c r="Q7" s="12">
        <f t="shared" si="2"/>
        <v>0</v>
      </c>
    </row>
    <row r="8" ht="26.25" customHeight="1">
      <c r="A8" s="13">
        <v>2.8021957E7</v>
      </c>
      <c r="B8" s="14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0">
        <f>SUM('COMPURACION EMERGENTE'!$C8:$N8)</f>
        <v>0</v>
      </c>
      <c r="P8" s="11">
        <f t="shared" si="1"/>
        <v>0</v>
      </c>
      <c r="Q8" s="12">
        <f t="shared" si="2"/>
        <v>0</v>
      </c>
    </row>
    <row r="9" ht="26.25" customHeight="1">
      <c r="A9" s="8">
        <v>2.9508689E7</v>
      </c>
      <c r="B9" s="9" t="s">
        <v>23</v>
      </c>
      <c r="C9" s="3"/>
      <c r="D9" s="3">
        <v>1.0</v>
      </c>
      <c r="E9" s="4">
        <v>2.0</v>
      </c>
      <c r="F9" s="3">
        <v>2.0</v>
      </c>
      <c r="G9" s="3"/>
      <c r="H9" s="3">
        <v>1.0</v>
      </c>
      <c r="I9" s="3"/>
      <c r="J9" s="3">
        <v>1.0</v>
      </c>
      <c r="K9" s="3">
        <v>1.0</v>
      </c>
      <c r="L9" s="3">
        <v>1.0</v>
      </c>
      <c r="M9" s="3">
        <v>1.0</v>
      </c>
      <c r="N9" s="3"/>
      <c r="O9" s="10">
        <f>SUM('COMPURACION EMERGENTE'!$C9:$N9)</f>
        <v>10</v>
      </c>
      <c r="P9" s="11">
        <f t="shared" si="1"/>
        <v>0.6666666667</v>
      </c>
      <c r="Q9" s="12">
        <f t="shared" si="2"/>
        <v>3.333333333</v>
      </c>
    </row>
    <row r="10" ht="26.25" customHeight="1">
      <c r="A10" s="13">
        <v>3.0496325E7</v>
      </c>
      <c r="B10" s="14" t="s">
        <v>24</v>
      </c>
      <c r="C10" s="3"/>
      <c r="D10" s="3">
        <v>1.0</v>
      </c>
      <c r="E10" s="3">
        <v>1.0</v>
      </c>
      <c r="F10" s="3"/>
      <c r="G10" s="3"/>
      <c r="H10" s="3"/>
      <c r="I10" s="3"/>
      <c r="J10" s="3"/>
      <c r="K10" s="3"/>
      <c r="L10" s="3"/>
      <c r="M10" s="3"/>
      <c r="N10" s="3"/>
      <c r="O10" s="10">
        <f>SUM('COMPURACION EMERGENTE'!$C10:$N10)</f>
        <v>2</v>
      </c>
      <c r="P10" s="11">
        <f t="shared" si="1"/>
        <v>0.1333333333</v>
      </c>
      <c r="Q10" s="12">
        <f t="shared" si="2"/>
        <v>0.6666666667</v>
      </c>
    </row>
    <row r="11" ht="26.25" customHeight="1">
      <c r="A11" s="8">
        <v>3.0358773E7</v>
      </c>
      <c r="B11" s="9" t="s">
        <v>25</v>
      </c>
      <c r="C11" s="3"/>
      <c r="D11" s="3">
        <v>2.0</v>
      </c>
      <c r="E11" s="3">
        <v>2.0</v>
      </c>
      <c r="F11" s="3">
        <v>2.0</v>
      </c>
      <c r="G11" s="3"/>
      <c r="H11" s="3">
        <v>1.0</v>
      </c>
      <c r="I11" s="3"/>
      <c r="J11" s="3">
        <v>1.0</v>
      </c>
      <c r="K11" s="3">
        <v>1.0</v>
      </c>
      <c r="L11" s="3"/>
      <c r="M11" s="3"/>
      <c r="N11" s="3"/>
      <c r="O11" s="10">
        <f>SUM('COMPURACION EMERGENTE'!$C11:$N11)</f>
        <v>9</v>
      </c>
      <c r="P11" s="11">
        <f t="shared" si="1"/>
        <v>0.6</v>
      </c>
      <c r="Q11" s="12">
        <f t="shared" si="2"/>
        <v>3</v>
      </c>
    </row>
    <row r="12" ht="26.25" customHeight="1">
      <c r="A12" s="13">
        <v>2.974176E7</v>
      </c>
      <c r="B12" s="14" t="s">
        <v>26</v>
      </c>
      <c r="C12" s="3"/>
      <c r="D12" s="3"/>
      <c r="E12" s="4"/>
      <c r="F12" s="3"/>
      <c r="G12" s="3"/>
      <c r="H12" s="3"/>
      <c r="I12" s="3"/>
      <c r="J12" s="3"/>
      <c r="K12" s="3"/>
      <c r="L12" s="3"/>
      <c r="M12" s="3"/>
      <c r="N12" s="3"/>
      <c r="O12" s="10">
        <f>SUM('COMPURACION EMERGENTE'!$C12:$N12)</f>
        <v>0</v>
      </c>
      <c r="P12" s="11">
        <f t="shared" si="1"/>
        <v>0</v>
      </c>
      <c r="Q12" s="12">
        <f t="shared" si="2"/>
        <v>0</v>
      </c>
    </row>
    <row r="13" ht="26.25" customHeight="1">
      <c r="A13" s="8">
        <v>2.9983279E7</v>
      </c>
      <c r="B13" s="9" t="s">
        <v>27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0">
        <f>SUM('COMPURACION EMERGENTE'!$C13:$N13)</f>
        <v>0</v>
      </c>
      <c r="P13" s="11">
        <f t="shared" si="1"/>
        <v>0</v>
      </c>
      <c r="Q13" s="12">
        <f t="shared" si="2"/>
        <v>0</v>
      </c>
    </row>
    <row r="14" ht="26.25" customHeight="1">
      <c r="A14" s="13">
        <v>3.0497244E7</v>
      </c>
      <c r="B14" s="14" t="s">
        <v>28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0">
        <f>SUM('COMPURACION EMERGENTE'!$C14:$N14)</f>
        <v>0</v>
      </c>
      <c r="P14" s="11">
        <f t="shared" si="1"/>
        <v>0</v>
      </c>
      <c r="Q14" s="12">
        <f t="shared" si="2"/>
        <v>0</v>
      </c>
    </row>
    <row r="15" ht="26.25" customHeight="1">
      <c r="A15" s="8">
        <v>3.0030632E7</v>
      </c>
      <c r="B15" s="9" t="s">
        <v>29</v>
      </c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10">
        <f>SUM('COMPURACION EMERGENTE'!$C15:$N15)</f>
        <v>0</v>
      </c>
      <c r="P15" s="11">
        <f t="shared" si="1"/>
        <v>0</v>
      </c>
      <c r="Q15" s="12">
        <f t="shared" si="2"/>
        <v>0</v>
      </c>
    </row>
    <row r="16" ht="26.25" customHeight="1">
      <c r="A16" s="13">
        <v>3.0579903E7</v>
      </c>
      <c r="B16" s="14" t="s">
        <v>30</v>
      </c>
      <c r="C16" s="4"/>
      <c r="D16" s="4">
        <v>1.0</v>
      </c>
      <c r="E16" s="3">
        <v>1.0</v>
      </c>
      <c r="F16" s="3"/>
      <c r="G16" s="3">
        <v>1.0</v>
      </c>
      <c r="H16" s="3"/>
      <c r="I16" s="3"/>
      <c r="J16" s="3"/>
      <c r="K16" s="3">
        <v>1.0</v>
      </c>
      <c r="L16" s="3"/>
      <c r="M16" s="3"/>
      <c r="N16" s="3"/>
      <c r="O16" s="10">
        <f>SUM('COMPURACION EMERGENTE'!$C16:$N16)</f>
        <v>4</v>
      </c>
      <c r="P16" s="11">
        <f t="shared" si="1"/>
        <v>0.2666666667</v>
      </c>
      <c r="Q16" s="12">
        <f t="shared" si="2"/>
        <v>1.333333333</v>
      </c>
    </row>
    <row r="17" ht="26.25" customHeight="1">
      <c r="A17" s="8">
        <v>3.1065516E7</v>
      </c>
      <c r="B17" s="9" t="s">
        <v>31</v>
      </c>
      <c r="C17" s="4"/>
      <c r="D17" s="4"/>
      <c r="E17" s="4"/>
      <c r="F17" s="3"/>
      <c r="G17" s="4"/>
      <c r="H17" s="4">
        <v>1.0</v>
      </c>
      <c r="I17" s="3"/>
      <c r="J17" s="3"/>
      <c r="K17" s="3"/>
      <c r="L17" s="3"/>
      <c r="M17" s="3"/>
      <c r="N17" s="3"/>
      <c r="O17" s="10">
        <f>SUM('COMPURACION EMERGENTE'!$C17:$N17)</f>
        <v>1</v>
      </c>
      <c r="P17" s="11">
        <f t="shared" si="1"/>
        <v>0.06666666667</v>
      </c>
      <c r="Q17" s="12">
        <f t="shared" si="2"/>
        <v>0.3333333333</v>
      </c>
    </row>
    <row r="18" ht="26.25" customHeight="1">
      <c r="A18" s="13">
        <v>2.8127331E7</v>
      </c>
      <c r="B18" s="14" t="s">
        <v>32</v>
      </c>
      <c r="C18" s="3"/>
      <c r="D18" s="3"/>
      <c r="E18" s="4"/>
      <c r="F18" s="3"/>
      <c r="G18" s="4"/>
      <c r="H18" s="3"/>
      <c r="I18" s="3"/>
      <c r="J18" s="3"/>
      <c r="K18" s="3"/>
      <c r="L18" s="3"/>
      <c r="M18" s="3"/>
      <c r="N18" s="3"/>
      <c r="O18" s="10">
        <f>SUM('COMPURACION EMERGENTE'!$C18:$N18)</f>
        <v>0</v>
      </c>
      <c r="P18" s="11">
        <f t="shared" si="1"/>
        <v>0</v>
      </c>
      <c r="Q18" s="12">
        <f t="shared" si="2"/>
        <v>0</v>
      </c>
    </row>
    <row r="19" ht="26.25" customHeight="1">
      <c r="A19" s="13">
        <v>3.0157257E7</v>
      </c>
      <c r="B19" s="14" t="s">
        <v>33</v>
      </c>
      <c r="C19" s="3">
        <v>1.0</v>
      </c>
      <c r="D19" s="3"/>
      <c r="E19" s="3">
        <v>1.0</v>
      </c>
      <c r="F19" s="3">
        <v>2.0</v>
      </c>
      <c r="G19" s="3"/>
      <c r="H19" s="3"/>
      <c r="I19" s="3"/>
      <c r="J19" s="3"/>
      <c r="K19" s="3">
        <v>1.0</v>
      </c>
      <c r="L19" s="3"/>
      <c r="M19" s="3"/>
      <c r="N19" s="3"/>
      <c r="O19" s="10">
        <f>SUM('COMPURACION EMERGENTE'!$C19:$N19)</f>
        <v>5</v>
      </c>
      <c r="P19" s="11">
        <f t="shared" si="1"/>
        <v>0.3333333333</v>
      </c>
      <c r="Q19" s="12">
        <f t="shared" si="2"/>
        <v>1.666666667</v>
      </c>
    </row>
    <row r="20" ht="26.25" customHeight="1">
      <c r="A20" s="8">
        <v>2.573671E7</v>
      </c>
      <c r="B20" s="9" t="s">
        <v>34</v>
      </c>
      <c r="C20" s="3"/>
      <c r="D20" s="3">
        <v>1.0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10">
        <f>SUM('COMPURACION EMERGENTE'!$C20:$N20)</f>
        <v>1</v>
      </c>
      <c r="P20" s="11">
        <f t="shared" si="1"/>
        <v>0.06666666667</v>
      </c>
      <c r="Q20" s="12">
        <f t="shared" si="2"/>
        <v>0.3333333333</v>
      </c>
    </row>
    <row r="21" ht="26.25" customHeight="1">
      <c r="A21" s="13">
        <v>2.9506315E7</v>
      </c>
      <c r="B21" s="14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0">
        <f>SUM('COMPURACION EMERGENTE'!$C21:$N21)</f>
        <v>0</v>
      </c>
      <c r="P21" s="11">
        <f t="shared" si="1"/>
        <v>0</v>
      </c>
      <c r="Q21" s="12">
        <f t="shared" si="2"/>
        <v>0</v>
      </c>
    </row>
    <row r="22" ht="26.25" customHeight="1">
      <c r="A22" s="8">
        <v>2.9662587E7</v>
      </c>
      <c r="B22" s="9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0">
        <f>SUM('COMPURACION EMERGENTE'!$C22:$N22)</f>
        <v>0</v>
      </c>
      <c r="P22" s="11">
        <f t="shared" si="1"/>
        <v>0</v>
      </c>
      <c r="Q22" s="12">
        <f t="shared" si="2"/>
        <v>0</v>
      </c>
    </row>
    <row r="23" ht="26.25" customHeight="1">
      <c r="A23" s="13">
        <v>2.8462135E7</v>
      </c>
      <c r="B23" s="14" t="s">
        <v>37</v>
      </c>
      <c r="C23" s="4"/>
      <c r="D23" s="4"/>
      <c r="E23" s="4"/>
      <c r="F23" s="3"/>
      <c r="G23" s="4"/>
      <c r="H23" s="4"/>
      <c r="I23" s="3"/>
      <c r="J23" s="3"/>
      <c r="K23" s="3"/>
      <c r="L23" s="3"/>
      <c r="M23" s="3"/>
      <c r="N23" s="3"/>
      <c r="O23" s="10">
        <f>SUM('COMPURACION EMERGENTE'!$C23:$N23)</f>
        <v>0</v>
      </c>
      <c r="P23" s="11">
        <f t="shared" si="1"/>
        <v>0</v>
      </c>
      <c r="Q23" s="12">
        <f t="shared" si="2"/>
        <v>0</v>
      </c>
    </row>
    <row r="24" ht="26.25" customHeight="1">
      <c r="A24" s="8">
        <v>2.6895167E7</v>
      </c>
      <c r="B24" s="9" t="s">
        <v>38</v>
      </c>
      <c r="C24" s="3"/>
      <c r="D24" s="3"/>
      <c r="E24" s="3">
        <v>1.0</v>
      </c>
      <c r="F24" s="3"/>
      <c r="G24" s="3"/>
      <c r="H24" s="3"/>
      <c r="I24" s="3"/>
      <c r="J24" s="3"/>
      <c r="K24" s="3"/>
      <c r="L24" s="3"/>
      <c r="M24" s="3"/>
      <c r="N24" s="3"/>
      <c r="O24" s="10">
        <f>SUM('COMPURACION EMERGENTE'!$C24:$N24)</f>
        <v>1</v>
      </c>
      <c r="P24" s="11">
        <f t="shared" si="1"/>
        <v>0.06666666667</v>
      </c>
      <c r="Q24" s="12">
        <f t="shared" si="2"/>
        <v>0.3333333333</v>
      </c>
    </row>
    <row r="25" ht="26.25" customHeight="1">
      <c r="A25" s="13">
        <v>3.0727488E7</v>
      </c>
      <c r="B25" s="14" t="s">
        <v>39</v>
      </c>
      <c r="C25" s="3">
        <v>1.0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5">
        <f>SUM('COMPURACION EMERGENTE'!$C25:$N25)</f>
        <v>1</v>
      </c>
      <c r="P25" s="11">
        <f t="shared" si="1"/>
        <v>0.06666666667</v>
      </c>
      <c r="Q25" s="12">
        <f t="shared" si="2"/>
        <v>0.3333333333</v>
      </c>
    </row>
    <row r="26" ht="26.25" customHeight="1">
      <c r="A26" s="8">
        <v>3.0821945E7</v>
      </c>
      <c r="B26" s="9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5">
        <f>SUM('COMPURACION EMERGENTE'!$C26:$N26)</f>
        <v>0</v>
      </c>
      <c r="P26" s="11">
        <f t="shared" si="1"/>
        <v>0</v>
      </c>
      <c r="Q26" s="12">
        <f t="shared" si="2"/>
        <v>0</v>
      </c>
    </row>
    <row r="27" ht="26.25" customHeight="1">
      <c r="A27" s="13">
        <v>3.0330786E7</v>
      </c>
      <c r="B27" s="14" t="s">
        <v>41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5">
        <f>SUM('COMPURACION EMERGENTE'!$C27:$N27)</f>
        <v>0</v>
      </c>
      <c r="P27" s="11">
        <f t="shared" si="1"/>
        <v>0</v>
      </c>
      <c r="Q27" s="12">
        <f t="shared" si="2"/>
        <v>0</v>
      </c>
    </row>
    <row r="28" ht="26.25" customHeight="1">
      <c r="A28" s="8">
        <v>2.9850491E7</v>
      </c>
      <c r="B28" s="9" t="s">
        <v>42</v>
      </c>
      <c r="C28" s="3"/>
      <c r="D28" s="3">
        <v>1.0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15">
        <f>SUM('COMPURACION EMERGENTE'!$C28:$N28)</f>
        <v>1</v>
      </c>
      <c r="P28" s="11">
        <f t="shared" si="1"/>
        <v>0.06666666667</v>
      </c>
      <c r="Q28" s="12">
        <f t="shared" si="2"/>
        <v>0.3333333333</v>
      </c>
    </row>
    <row r="29" ht="26.25" customHeight="1">
      <c r="A29" s="13">
        <v>3.0751145E7</v>
      </c>
      <c r="B29" s="14" t="s">
        <v>43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5">
        <f>SUM('COMPURACION EMERGENTE'!$C29:$N29)</f>
        <v>0</v>
      </c>
      <c r="P29" s="11">
        <f t="shared" si="1"/>
        <v>0</v>
      </c>
      <c r="Q29" s="12">
        <f t="shared" si="2"/>
        <v>0</v>
      </c>
    </row>
    <row r="30" ht="26.25" customHeight="1">
      <c r="A30" s="8">
        <v>3.0612944E7</v>
      </c>
      <c r="B30" s="9" t="s">
        <v>44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15">
        <f>SUM('COMPURACION EMERGENTE'!$C30:$N30)</f>
        <v>0</v>
      </c>
      <c r="P30" s="11">
        <f t="shared" si="1"/>
        <v>0</v>
      </c>
      <c r="Q30" s="12">
        <f t="shared" si="2"/>
        <v>0</v>
      </c>
    </row>
    <row r="31" ht="26.25" customHeight="1">
      <c r="A31" s="13"/>
      <c r="B31" s="14" t="s">
        <v>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15">
        <f>SUM('COMPURACION EMERGENTE'!$C31:$N31)</f>
        <v>0</v>
      </c>
      <c r="P31" s="11">
        <f t="shared" si="1"/>
        <v>0</v>
      </c>
      <c r="Q31" s="12">
        <f t="shared" si="2"/>
        <v>0</v>
      </c>
    </row>
    <row r="32" ht="26.25" customHeight="1">
      <c r="A32" s="8">
        <v>2.9677861E7</v>
      </c>
      <c r="B32" s="9" t="s">
        <v>46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5">
        <f>SUM('COMPURACION EMERGENTE'!$C32:$N32)</f>
        <v>0</v>
      </c>
      <c r="P32" s="11">
        <f t="shared" si="1"/>
        <v>0</v>
      </c>
      <c r="Q32" s="12">
        <f t="shared" si="2"/>
        <v>0</v>
      </c>
    </row>
    <row r="33" ht="26.25" customHeight="1">
      <c r="A33" s="13">
        <v>2.966199E7</v>
      </c>
      <c r="B33" s="14" t="s">
        <v>47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15">
        <f>SUM('COMPURACION EMERGENTE'!$C33:$N33)</f>
        <v>0</v>
      </c>
      <c r="P33" s="11">
        <f t="shared" si="1"/>
        <v>0</v>
      </c>
      <c r="Q33" s="12">
        <f t="shared" si="2"/>
        <v>0</v>
      </c>
    </row>
    <row r="34" ht="26.25" customHeight="1">
      <c r="A34" s="8">
        <v>2.7472721E7</v>
      </c>
      <c r="B34" s="9" t="s">
        <v>48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15">
        <f>SUM('COMPURACION EMERGENTE'!$C34:$N34)</f>
        <v>0</v>
      </c>
      <c r="P34" s="11">
        <f t="shared" si="1"/>
        <v>0</v>
      </c>
      <c r="Q34" s="12">
        <f t="shared" si="2"/>
        <v>0</v>
      </c>
    </row>
    <row r="35" ht="26.25" customHeight="1">
      <c r="A35" s="13">
        <v>2.9887224E7</v>
      </c>
      <c r="B35" s="14" t="s">
        <v>49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15">
        <f>SUM('COMPURACION EMERGENTE'!$C35:$N35)</f>
        <v>0</v>
      </c>
      <c r="P35" s="11">
        <f t="shared" si="1"/>
        <v>0</v>
      </c>
      <c r="Q35" s="12">
        <f t="shared" si="2"/>
        <v>0</v>
      </c>
    </row>
    <row r="36" ht="26.25" customHeight="1">
      <c r="A36" s="8">
        <v>2.8317519E7</v>
      </c>
      <c r="B36" s="9" t="s">
        <v>50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5">
        <f>SUM('COMPURACION EMERGENTE'!$C36:$N36)</f>
        <v>0</v>
      </c>
      <c r="P36" s="11">
        <f t="shared" si="1"/>
        <v>0</v>
      </c>
      <c r="Q36" s="12">
        <f t="shared" si="2"/>
        <v>0</v>
      </c>
    </row>
    <row r="37" ht="26.25" customHeight="1">
      <c r="A37" s="13">
        <v>3.0496487E7</v>
      </c>
      <c r="B37" s="14" t="s">
        <v>51</v>
      </c>
      <c r="C37" s="3">
        <v>1.0</v>
      </c>
      <c r="D37" s="3"/>
      <c r="E37" s="3">
        <v>1.0</v>
      </c>
      <c r="F37" s="3"/>
      <c r="G37" s="3"/>
      <c r="H37" s="3"/>
      <c r="I37" s="3"/>
      <c r="J37" s="3"/>
      <c r="K37" s="3"/>
      <c r="L37" s="3"/>
      <c r="M37" s="3"/>
      <c r="N37" s="3"/>
      <c r="O37" s="15">
        <f>SUM('COMPURACION EMERGENTE'!$C37:$N37)</f>
        <v>2</v>
      </c>
      <c r="P37" s="11">
        <f t="shared" si="1"/>
        <v>0.1333333333</v>
      </c>
      <c r="Q37" s="12">
        <f t="shared" si="2"/>
        <v>0.6666666667</v>
      </c>
    </row>
    <row r="38" ht="26.25" customHeight="1">
      <c r="A38" s="8">
        <v>3.0411279E7</v>
      </c>
      <c r="B38" s="9" t="s">
        <v>52</v>
      </c>
      <c r="C38" s="3">
        <v>1.0</v>
      </c>
      <c r="D38" s="3">
        <v>1.0</v>
      </c>
      <c r="E38" s="3">
        <v>1.0</v>
      </c>
      <c r="F38" s="3"/>
      <c r="G38" s="3"/>
      <c r="H38" s="3"/>
      <c r="I38" s="3"/>
      <c r="J38" s="3"/>
      <c r="K38" s="3"/>
      <c r="L38" s="3"/>
      <c r="M38" s="3"/>
      <c r="N38" s="3"/>
      <c r="O38" s="15">
        <f>SUM('COMPURACION EMERGENTE'!$C38:$N38)</f>
        <v>3</v>
      </c>
      <c r="P38" s="11">
        <f t="shared" si="1"/>
        <v>0.2</v>
      </c>
      <c r="Q38" s="12">
        <f t="shared" si="2"/>
        <v>1</v>
      </c>
    </row>
    <row r="39" ht="26.25" customHeight="1">
      <c r="A39" s="13">
        <v>2.6783022E7</v>
      </c>
      <c r="B39" s="14" t="s">
        <v>53</v>
      </c>
      <c r="C39" s="3"/>
      <c r="D39" s="3">
        <v>1.0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15">
        <f>SUM('COMPURACION EMERGENTE'!$C39:$N39)</f>
        <v>1</v>
      </c>
      <c r="P39" s="11">
        <f t="shared" si="1"/>
        <v>0.06666666667</v>
      </c>
      <c r="Q39" s="12">
        <f t="shared" si="2"/>
        <v>0.3333333333</v>
      </c>
    </row>
    <row r="40" ht="26.25" customHeight="1">
      <c r="A40" s="8">
        <v>3.1460153E7</v>
      </c>
      <c r="B40" s="9" t="s">
        <v>54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15">
        <f>SUM('COMPURACION EMERGENTE'!$C40:$N40)</f>
        <v>0</v>
      </c>
      <c r="P40" s="11">
        <f t="shared" si="1"/>
        <v>0</v>
      </c>
      <c r="Q40" s="12">
        <f t="shared" si="2"/>
        <v>0</v>
      </c>
    </row>
    <row r="41" ht="26.25" customHeight="1">
      <c r="A41" s="13">
        <v>2.1132576E7</v>
      </c>
      <c r="B41" s="14" t="s">
        <v>55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15">
        <f>SUM('COMPURACION EMERGENTE'!$C41:$N41)</f>
        <v>0</v>
      </c>
      <c r="P41" s="11">
        <f t="shared" si="1"/>
        <v>0</v>
      </c>
      <c r="Q41" s="12">
        <f t="shared" si="2"/>
        <v>0</v>
      </c>
    </row>
    <row r="42" ht="26.25" customHeight="1">
      <c r="A42" s="8">
        <v>2.6994959E7</v>
      </c>
      <c r="B42" s="9" t="s">
        <v>56</v>
      </c>
      <c r="C42" s="3">
        <v>1.0</v>
      </c>
      <c r="D42" s="3">
        <v>2.0</v>
      </c>
      <c r="E42" s="3">
        <v>2.0</v>
      </c>
      <c r="F42" s="3"/>
      <c r="G42" s="3">
        <v>1.0</v>
      </c>
      <c r="H42" s="3"/>
      <c r="I42" s="3">
        <v>2.0</v>
      </c>
      <c r="J42" s="3">
        <v>1.0</v>
      </c>
      <c r="K42" s="3">
        <v>1.0</v>
      </c>
      <c r="L42" s="3">
        <v>1.0</v>
      </c>
      <c r="M42" s="3">
        <v>1.0</v>
      </c>
      <c r="N42" s="3"/>
      <c r="O42" s="15">
        <f>SUM('COMPURACION EMERGENTE'!$C42:$N42)</f>
        <v>12</v>
      </c>
      <c r="P42" s="11">
        <f t="shared" si="1"/>
        <v>0.8</v>
      </c>
      <c r="Q42" s="12">
        <f t="shared" si="2"/>
        <v>4</v>
      </c>
    </row>
    <row r="43" ht="26.25" customHeight="1">
      <c r="A43" s="13">
        <v>3.0370768E7</v>
      </c>
      <c r="B43" s="14" t="s">
        <v>57</v>
      </c>
      <c r="C43" s="3"/>
      <c r="D43" s="3"/>
      <c r="E43" s="3">
        <v>1.0</v>
      </c>
      <c r="F43" s="3"/>
      <c r="G43" s="3"/>
      <c r="H43" s="3"/>
      <c r="I43" s="3"/>
      <c r="J43" s="3"/>
      <c r="K43" s="3"/>
      <c r="L43" s="3"/>
      <c r="M43" s="3"/>
      <c r="N43" s="3"/>
      <c r="O43" s="15">
        <f>SUM('COMPURACION EMERGENTE'!$C43:$N43)</f>
        <v>1</v>
      </c>
      <c r="P43" s="11">
        <f t="shared" si="1"/>
        <v>0.06666666667</v>
      </c>
      <c r="Q43" s="12">
        <f t="shared" si="2"/>
        <v>0.3333333333</v>
      </c>
    </row>
    <row r="44" ht="26.25" customHeight="1">
      <c r="A44" s="8">
        <v>3.0906842E7</v>
      </c>
      <c r="B44" s="9" t="s">
        <v>58</v>
      </c>
      <c r="C44" s="3"/>
      <c r="D44" s="3"/>
      <c r="E44" s="3"/>
      <c r="F44" s="3"/>
      <c r="G44" s="3"/>
      <c r="I44" s="3"/>
      <c r="J44" s="3">
        <v>3.0</v>
      </c>
      <c r="K44" s="3"/>
      <c r="L44" s="3"/>
      <c r="M44" s="3"/>
      <c r="N44" s="3"/>
      <c r="O44" s="15">
        <f>SUM('COMPURACION EMERGENTE'!$C44:$N44)</f>
        <v>3</v>
      </c>
      <c r="P44" s="11">
        <f t="shared" si="1"/>
        <v>0.2</v>
      </c>
      <c r="Q44" s="12">
        <f t="shared" si="2"/>
        <v>1</v>
      </c>
    </row>
    <row r="45" ht="26.25" customHeight="1">
      <c r="A45" s="13">
        <v>2.7545301E7</v>
      </c>
      <c r="B45" s="14" t="s">
        <v>59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15">
        <f>SUM('COMPURACION EMERGENTE'!$C45:$N45)</f>
        <v>0</v>
      </c>
      <c r="P45" s="11">
        <f t="shared" si="1"/>
        <v>0</v>
      </c>
      <c r="Q45" s="12">
        <f t="shared" si="2"/>
        <v>0</v>
      </c>
    </row>
    <row r="46" ht="15.75" customHeight="1">
      <c r="B46" s="1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3"/>
    <hyperlink r:id="rId41" ref="B44"/>
    <hyperlink r:id="rId42" ref="B45"/>
  </hyperlinks>
  <printOptions/>
  <pageMargins bottom="0.75" footer="0.0" header="0.0" left="0.7" right="0.7" top="0.75"/>
  <pageSetup orientation="landscape"/>
  <drawing r:id="rId43"/>
  <tableParts count="1">
    <tablePart r:id="rId45"/>
  </tableParts>
</worksheet>
</file>