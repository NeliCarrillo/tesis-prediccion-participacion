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cturas" sheetId="1" r:id="rId5"/>
    <sheet state="visible" name="Intervenciones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9">
      <text>
        <t xml:space="preserve">Notion</t>
      </text>
    </comment>
    <comment authorId="0" ref="L9">
      <text>
        <t xml:space="preserve">Notion</t>
      </text>
    </comment>
    <comment authorId="0" ref="P9">
      <text>
        <t xml:space="preserve">Notion</t>
      </text>
    </comment>
    <comment authorId="0" ref="C28">
      <text>
        <t xml:space="preserve">Justificado</t>
      </text>
    </comment>
    <comment authorId="0" ref="D28">
      <text>
        <t xml:space="preserve">Justificado</t>
      </text>
    </comment>
    <comment authorId="0" ref="C24">
      <text>
        <t xml:space="preserve">Justificado</t>
      </text>
    </comment>
    <comment authorId="0" ref="G24">
      <text>
        <t xml:space="preserve">Notion</t>
      </text>
    </comment>
    <comment authorId="0" ref="F22">
      <text>
        <t xml:space="preserve">Justificado</t>
      </text>
    </comment>
    <comment authorId="0" ref="L24">
      <text>
        <t xml:space="preserve">Notion</t>
      </text>
    </comment>
    <comment authorId="0" ref="C14">
      <text>
        <t xml:space="preserve">Justificado</t>
      </text>
    </comment>
    <comment authorId="0" ref="N24">
      <text>
        <t xml:space="preserve">Notion</t>
      </text>
    </comment>
    <comment authorId="0" ref="H16">
      <text>
        <t xml:space="preserve">Justificado</t>
      </text>
    </comment>
    <comment authorId="0" ref="P24">
      <text>
        <t xml:space="preserve">Notion</t>
      </text>
    </comment>
    <comment authorId="0" ref="C6">
      <text>
        <t xml:space="preserve">Justificado</t>
      </text>
    </comment>
    <comment authorId="0" ref="C4">
      <text>
        <t xml:space="preserve">Justificado</t>
      </text>
    </comment>
    <comment authorId="0" ref="G6">
      <text>
        <t xml:space="preserve">Justificado</t>
      </text>
    </comment>
    <comment authorId="0" ref="H6">
      <text>
        <t xml:space="preserve">Justificado</t>
      </text>
    </comment>
    <comment authorId="0" ref="C27">
      <text>
        <t xml:space="preserve">Justificado</t>
      </text>
    </comment>
    <comment authorId="0" ref="D27">
      <text>
        <t xml:space="preserve">Justificado</t>
      </text>
    </comment>
    <comment authorId="0" ref="G29">
      <text>
        <t xml:space="preserve">Notion</t>
      </text>
    </comment>
    <comment authorId="0" ref="N2">
      <text>
        <t xml:space="preserve">Se pueden entregar en cualquier semana siguiente</t>
      </text>
    </comment>
    <comment authorId="0" ref="J29">
      <text>
        <t xml:space="preserve">Justificado</t>
      </text>
    </comment>
    <comment authorId="0" ref="K29">
      <text>
        <t xml:space="preserve">Justificado</t>
      </text>
    </comment>
    <comment authorId="0" ref="J27">
      <text>
        <t xml:space="preserve">Justificado</t>
      </text>
    </comment>
    <comment authorId="0" ref="E21">
      <text>
        <t xml:space="preserve">Notion</t>
      </text>
    </comment>
    <comment authorId="0" ref="M29">
      <text>
        <t xml:space="preserve">Notion</t>
      </text>
    </comment>
    <comment authorId="0" ref="L27">
      <text>
        <t xml:space="preserve">Notion</t>
      </text>
    </comment>
    <comment authorId="0" ref="M27">
      <text>
        <t xml:space="preserve">Notion</t>
      </text>
    </comment>
    <comment authorId="0" ref="O27">
      <text>
        <t xml:space="preserve">Notion</t>
      </text>
    </comment>
    <comment authorId="0" ref="P27">
      <text>
        <t xml:space="preserve">Notion</t>
      </text>
    </comment>
    <comment authorId="0" ref="Q27">
      <text>
        <t xml:space="preserve">Notion</t>
      </text>
    </comment>
    <comment authorId="0" ref="C11">
      <text>
        <t xml:space="preserve">Justificado</t>
      </text>
    </comment>
    <comment authorId="0" ref="D11">
      <text>
        <t xml:space="preserve">Justificado</t>
      </text>
    </comment>
    <comment authorId="0" ref="J17">
      <text>
        <t xml:space="preserve">Justificado</t>
      </text>
    </comment>
    <comment authorId="0" ref="D7">
      <text>
        <t xml:space="preserve">Justificado</t>
      </text>
    </comment>
  </commentList>
</comments>
</file>

<file path=xl/sharedStrings.xml><?xml version="1.0" encoding="utf-8"?>
<sst xmlns="http://schemas.openxmlformats.org/spreadsheetml/2006/main" count="86" uniqueCount="72">
  <si>
    <t>Sem 1</t>
  </si>
  <si>
    <t>Sem 2</t>
  </si>
  <si>
    <t>Sem 3</t>
  </si>
  <si>
    <t>Sem 4</t>
  </si>
  <si>
    <t>Sem 5</t>
  </si>
  <si>
    <t>Sem 6</t>
  </si>
  <si>
    <t>Sem 7</t>
  </si>
  <si>
    <t>Sem 8</t>
  </si>
  <si>
    <t>Sem 9</t>
  </si>
  <si>
    <t>Sem 10</t>
  </si>
  <si>
    <t>Sem 11</t>
  </si>
  <si>
    <t>Nombre</t>
  </si>
  <si>
    <t>Cédula</t>
  </si>
  <si>
    <t>Total</t>
  </si>
  <si>
    <t>Est. base 5</t>
  </si>
  <si>
    <t>sobre 10</t>
  </si>
  <si>
    <r>
      <rPr>
        <rFont val="&quot;Century Gothic&quot;, Arial, Helvetica, sans-serif"/>
        <color rgb="FF1155CC"/>
        <sz val="11.0"/>
        <u/>
      </rPr>
      <t>FB</t>
    </r>
    <r>
      <rPr>
        <rFont val="&quot;Century Gothic&quot;, Arial, Helvetica, sans-serif"/>
        <color rgb="FF1155CC"/>
        <sz val="11.0"/>
        <u/>
      </rPr>
      <t>Fidel Eduardo Barreat Lemoine</t>
    </r>
  </si>
  <si>
    <r>
      <rPr>
        <rFont val="&quot;Century Gothic&quot;, Arial, Helvetica, sans-serif"/>
        <color rgb="FF1155CC"/>
        <sz val="11.0"/>
        <u/>
      </rPr>
      <t>FB</t>
    </r>
    <r>
      <rPr>
        <rFont val="&quot;Century Gothic&quot;, Arial, Helvetica, sans-serif"/>
        <color rgb="FF1155CC"/>
        <sz val="11.0"/>
        <u/>
      </rPr>
      <t>Fidel Eduardo Barreat Lemoine</t>
    </r>
  </si>
  <si>
    <r>
      <rPr>
        <rFont val="&quot;Century Gothic&quot;, Arial, Helvetica, sans-serif"/>
        <b/>
        <color rgb="FF1155CC"/>
        <sz val="11.0"/>
        <u/>
      </rPr>
      <t>Carlos Eduardo Bastidas Sulvaran</t>
    </r>
  </si>
  <si>
    <r>
      <rPr>
        <rFont val="&quot;Century Gothic&quot;, Arial, Helvetica, sans-serif"/>
        <b/>
        <color rgb="FF1155CC"/>
        <sz val="11.0"/>
        <u/>
      </rPr>
      <t>Carlos Eduardo Bastidas Sulvaran</t>
    </r>
  </si>
  <si>
    <r>
      <rPr>
        <rFont val="&quot;Century Gothic&quot;, Arial, Helvetica, sans-serif"/>
        <color rgb="FF1155CC"/>
        <sz val="11.0"/>
        <u/>
      </rPr>
      <t>JB</t>
    </r>
    <r>
      <rPr>
        <rFont val="&quot;Century Gothic&quot;, Arial, Helvetica, sans-serif"/>
        <color rgb="FF1155CC"/>
        <sz val="11.0"/>
        <u/>
      </rPr>
      <t>Jhorman Bloom</t>
    </r>
  </si>
  <si>
    <r>
      <rPr>
        <rFont val="&quot;Century Gothic&quot;, Arial, Helvetica, sans-serif"/>
        <color rgb="FF1155CC"/>
        <sz val="11.0"/>
        <u/>
      </rPr>
      <t>JB</t>
    </r>
    <r>
      <rPr>
        <rFont val="&quot;Century Gothic&quot;, Arial, Helvetica, sans-serif"/>
        <color rgb="FF1155CC"/>
        <sz val="11.0"/>
        <u/>
      </rPr>
      <t>Jhorman Bloom</t>
    </r>
  </si>
  <si>
    <r>
      <rPr>
        <rFont val="&quot;Century Gothic&quot;, Arial, Helvetica, sans-serif"/>
        <color rgb="FF1155CC"/>
        <sz val="11.0"/>
        <u/>
      </rPr>
      <t>SB</t>
    </r>
    <r>
      <rPr>
        <rFont val="&quot;Century Gothic&quot;, Arial, Helvetica, sans-serif"/>
        <color rgb="FF1155CC"/>
        <sz val="11.0"/>
        <u/>
      </rPr>
      <t>Stefano Boschetti</t>
    </r>
  </si>
  <si>
    <r>
      <rPr>
        <rFont val="&quot;Century Gothic&quot;, Arial, Helvetica, sans-serif"/>
        <color rgb="FF1155CC"/>
        <sz val="11.0"/>
        <u/>
      </rPr>
      <t>SB</t>
    </r>
    <r>
      <rPr>
        <rFont val="&quot;Century Gothic&quot;, Arial, Helvetica, sans-serif"/>
        <color rgb="FF1155CC"/>
        <sz val="11.0"/>
        <u/>
      </rPr>
      <t>Stefano Boschetti</t>
    </r>
  </si>
  <si>
    <r>
      <rPr>
        <rFont val="&quot;Century Gothic&quot;, Arial, Helvetica, sans-serif"/>
        <b/>
        <color rgb="FF1155CC"/>
        <sz val="11.0"/>
        <u/>
      </rPr>
      <t>Paula Briceno</t>
    </r>
  </si>
  <si>
    <r>
      <rPr>
        <rFont val="&quot;Century Gothic&quot;, Arial, Helvetica, sans-serif"/>
        <b/>
        <color rgb="FF1155CC"/>
        <sz val="11.0"/>
        <u/>
      </rPr>
      <t>Paula Briceno</t>
    </r>
  </si>
  <si>
    <r>
      <rPr>
        <rFont val="&quot;Century Gothic&quot;, Arial, Helvetica, sans-serif"/>
        <b/>
        <color rgb="FF1155CC"/>
        <sz val="11.0"/>
        <u/>
      </rPr>
      <t>Adolfo Alexander Castillo Hernandez</t>
    </r>
  </si>
  <si>
    <r>
      <rPr>
        <rFont val="&quot;Century Gothic&quot;, Arial, Helvetica, sans-serif"/>
        <b/>
        <color rgb="FF1155CC"/>
        <sz val="11.0"/>
        <u/>
      </rPr>
      <t>Adolfo Alexander Castillo Hernandez</t>
    </r>
  </si>
  <si>
    <r>
      <rPr>
        <rFont val="&quot;Century Gothic&quot;, Arial, Helvetica, sans-serif"/>
        <b/>
        <color rgb="FF1155CC"/>
        <sz val="11.0"/>
        <u/>
      </rPr>
      <t>Eduardo Curiel Elizondo</t>
    </r>
  </si>
  <si>
    <r>
      <rPr>
        <rFont val="&quot;Century Gothic&quot;, Arial, Helvetica, sans-serif"/>
        <b/>
        <color rgb="FF1155CC"/>
        <sz val="11.0"/>
        <u/>
      </rPr>
      <t>Eduardo Curiel Elizondo</t>
    </r>
  </si>
  <si>
    <r>
      <rPr>
        <rFont val="&quot;Century Gothic&quot;, Arial, Helvetica, sans-serif"/>
        <b/>
        <color rgb="FF1155CC"/>
        <sz val="11.0"/>
        <u/>
      </rPr>
      <t>Daniel Antonio De Oliveira Beñose</t>
    </r>
  </si>
  <si>
    <r>
      <rPr>
        <rFont val="&quot;Century Gothic&quot;, Arial, Helvetica, sans-serif"/>
        <b/>
        <color rgb="FF1155CC"/>
        <sz val="11.0"/>
        <u/>
      </rPr>
      <t>Daniel Antonio De Oliveira Beñose</t>
    </r>
  </si>
  <si>
    <r>
      <rPr>
        <rFont val="&quot;Century Gothic&quot;, Arial, Helvetica, sans-serif"/>
        <b/>
        <color rgb="FF1155CC"/>
        <sz val="11.0"/>
        <u/>
      </rPr>
      <t>Rodrigo Di Giulio</t>
    </r>
  </si>
  <si>
    <r>
      <rPr>
        <rFont val="&quot;Century Gothic&quot;, Arial, Helvetica, sans-serif"/>
        <b/>
        <color rgb="FF1155CC"/>
        <sz val="11.0"/>
        <u/>
      </rPr>
      <t>Rodrigo Di Giulio</t>
    </r>
  </si>
  <si>
    <r>
      <rPr>
        <rFont val="&quot;Century Gothic&quot;, Arial, Helvetica, sans-serif"/>
        <color rgb="FF1155CC"/>
        <sz val="11.0"/>
        <u/>
      </rPr>
      <t>RE</t>
    </r>
    <r>
      <rPr>
        <rFont val="&quot;Century Gothic&quot;, Arial, Helvetica, sans-serif"/>
        <color rgb="FF1155CC"/>
        <sz val="11.0"/>
        <u/>
      </rPr>
      <t>Rodrigo Ignacio Egaña Urdaneta</t>
    </r>
  </si>
  <si>
    <r>
      <rPr>
        <rFont val="&quot;Century Gothic&quot;, Arial, Helvetica, sans-serif"/>
        <color rgb="FF1155CC"/>
        <sz val="11.0"/>
        <u/>
      </rPr>
      <t>RE</t>
    </r>
    <r>
      <rPr>
        <rFont val="&quot;Century Gothic&quot;, Arial, Helvetica, sans-serif"/>
        <color rgb="FF1155CC"/>
        <sz val="11.0"/>
        <u/>
      </rPr>
      <t>Rodrigo Ignacio Egaña Urdaneta</t>
    </r>
  </si>
  <si>
    <r>
      <rPr>
        <rFont val="&quot;Century Gothic&quot;, Arial, Helvetica, sans-serif"/>
        <b/>
        <color rgb="FF1155CC"/>
        <sz val="11.0"/>
        <u/>
      </rPr>
      <t>Francisco Fustero</t>
    </r>
  </si>
  <si>
    <r>
      <rPr>
        <rFont val="&quot;Century Gothic&quot;, Arial, Helvetica, sans-serif"/>
        <b/>
        <color rgb="FF1155CC"/>
        <sz val="11.0"/>
        <u/>
      </rPr>
      <t>Francisco Fustero</t>
    </r>
  </si>
  <si>
    <r>
      <rPr>
        <rFont val="&quot;Century Gothic&quot;, Arial, Helvetica, sans-serif"/>
        <b/>
        <color rgb="FF1155CC"/>
        <sz val="11.0"/>
        <u/>
      </rPr>
      <t>Angelo Johan Guerrero Pilligua</t>
    </r>
  </si>
  <si>
    <r>
      <rPr>
        <rFont val="&quot;Century Gothic&quot;, Arial, Helvetica, sans-serif"/>
        <b/>
        <color rgb="FF1155CC"/>
        <sz val="11.0"/>
        <u/>
      </rPr>
      <t>Angelo Johan Guerrero Pilligua</t>
    </r>
  </si>
  <si>
    <r>
      <rPr>
        <rFont val="&quot;Century Gothic&quot;, Arial, Helvetica, sans-serif"/>
        <b/>
        <color rgb="FF1155CC"/>
        <sz val="11.0"/>
        <u/>
      </rPr>
      <t>Sofia Cristina León Sevilla</t>
    </r>
  </si>
  <si>
    <r>
      <rPr>
        <rFont val="&quot;Century Gothic&quot;, Arial, Helvetica, sans-serif"/>
        <b/>
        <color rgb="FF1155CC"/>
        <sz val="11.0"/>
        <u/>
      </rPr>
      <t>Sofia Cristina León Sevilla</t>
    </r>
  </si>
  <si>
    <r>
      <rPr>
        <rFont val="&quot;Century Gothic&quot;, Arial, Helvetica, sans-serif"/>
        <b/>
        <color rgb="FF1155CC"/>
        <sz val="11.0"/>
        <u/>
      </rPr>
      <t>Ricardo Machado</t>
    </r>
  </si>
  <si>
    <r>
      <rPr>
        <rFont val="&quot;Century Gothic&quot;, Arial, Helvetica, sans-serif"/>
        <b/>
        <color rgb="FF1155CC"/>
        <sz val="11.0"/>
        <u/>
      </rPr>
      <t>Ricardo Machado</t>
    </r>
  </si>
  <si>
    <r>
      <rPr>
        <rFont val="&quot;Century Gothic&quot;, Arial, Helvetica, sans-serif"/>
        <color rgb="FF1155CC"/>
        <sz val="11.0"/>
        <u/>
      </rPr>
      <t>JM</t>
    </r>
    <r>
      <rPr>
        <rFont val="&quot;Century Gothic&quot;, Arial, Helvetica, sans-serif"/>
        <color rgb="FF1155CC"/>
        <sz val="11.0"/>
        <u/>
      </rPr>
      <t>Juan Martin</t>
    </r>
  </si>
  <si>
    <r>
      <rPr>
        <rFont val="&quot;Century Gothic&quot;, Arial, Helvetica, sans-serif"/>
        <color rgb="FF1155CC"/>
        <sz val="11.0"/>
        <u/>
      </rPr>
      <t>DM</t>
    </r>
    <r>
      <rPr>
        <rFont val="&quot;Century Gothic&quot;, Arial, Helvetica, sans-serif"/>
        <color rgb="FF1155CC"/>
        <sz val="11.0"/>
        <u/>
      </rPr>
      <t>David Alejandro Mavares Delgado</t>
    </r>
  </si>
  <si>
    <r>
      <rPr>
        <rFont val="&quot;Century Gothic&quot;, Arial, Helvetica, sans-serif"/>
        <color rgb="FF1155CC"/>
        <sz val="11.0"/>
        <u/>
      </rPr>
      <t>JM</t>
    </r>
    <r>
      <rPr>
        <rFont val="&quot;Century Gothic&quot;, Arial, Helvetica, sans-serif"/>
        <color rgb="FF1155CC"/>
        <sz val="11.0"/>
        <u/>
      </rPr>
      <t>Juan Martin</t>
    </r>
  </si>
  <si>
    <r>
      <rPr>
        <rFont val="&quot;Century Gothic&quot;, Arial, Helvetica, sans-serif"/>
        <b/>
        <color rgb="FF1155CC"/>
        <sz val="11.0"/>
        <u/>
      </rPr>
      <t>David Mayora</t>
    </r>
  </si>
  <si>
    <r>
      <rPr>
        <rFont val="&quot;Century Gothic&quot;, Arial, Helvetica, sans-serif"/>
        <color rgb="FF1155CC"/>
        <sz val="11.0"/>
        <u/>
      </rPr>
      <t>DM</t>
    </r>
    <r>
      <rPr>
        <rFont val="&quot;Century Gothic&quot;, Arial, Helvetica, sans-serif"/>
        <color rgb="FF1155CC"/>
        <sz val="11.0"/>
        <u/>
      </rPr>
      <t>David Alejandro Mavares Delgado</t>
    </r>
  </si>
  <si>
    <r>
      <rPr>
        <rFont val="&quot;Century Gothic&quot;, Arial, Helvetica, sans-serif"/>
        <color rgb="FF1155CC"/>
        <sz val="11.0"/>
        <u/>
      </rPr>
      <t>MM</t>
    </r>
    <r>
      <rPr>
        <rFont val="&quot;Century Gothic&quot;, Arial, Helvetica, sans-serif"/>
        <color rgb="FF1155CC"/>
        <sz val="11.0"/>
        <u/>
      </rPr>
      <t>Miguel Alejandro Menéndez Stea</t>
    </r>
  </si>
  <si>
    <r>
      <rPr>
        <rFont val="&quot;Century Gothic&quot;, Arial, Helvetica, sans-serif"/>
        <b/>
        <color rgb="FF1155CC"/>
        <sz val="11.0"/>
        <u/>
      </rPr>
      <t>David Mayora</t>
    </r>
  </si>
  <si>
    <r>
      <rPr>
        <rFont val="&quot;Century Gothic&quot;, Arial, Helvetica, sans-serif"/>
        <b/>
        <color rgb="FF1155CC"/>
        <sz val="11.0"/>
        <u/>
      </rPr>
      <t>Gustavo Elias Merida Perez</t>
    </r>
  </si>
  <si>
    <r>
      <rPr>
        <rFont val="&quot;Century Gothic&quot;, Arial, Helvetica, sans-serif"/>
        <color rgb="FF1155CC"/>
        <sz val="11.0"/>
        <u/>
      </rPr>
      <t>MM</t>
    </r>
    <r>
      <rPr>
        <rFont val="&quot;Century Gothic&quot;, Arial, Helvetica, sans-serif"/>
        <color rgb="FF1155CC"/>
        <sz val="11.0"/>
        <u/>
      </rPr>
      <t>Miguel Alejandro Menéndez Stea</t>
    </r>
  </si>
  <si>
    <r>
      <rPr>
        <rFont val="&quot;Century Gothic&quot;, Arial, Helvetica, sans-serif"/>
        <color rgb="FF1155CC"/>
        <sz val="11.0"/>
        <u/>
      </rPr>
      <t>VM</t>
    </r>
    <r>
      <rPr>
        <rFont val="&quot;Century Gothic&quot;, Arial, Helvetica, sans-serif"/>
        <color rgb="FF1155CC"/>
        <sz val="11.0"/>
        <u/>
      </rPr>
      <t>Vincenzo Daniele Miraglia Lagrutta</t>
    </r>
  </si>
  <si>
    <r>
      <rPr>
        <rFont val="&quot;Century Gothic&quot;, Arial, Helvetica, sans-serif"/>
        <b/>
        <color rgb="FF1155CC"/>
        <sz val="11.0"/>
        <u/>
      </rPr>
      <t>Gustavo Elias Merida Perez</t>
    </r>
  </si>
  <si>
    <r>
      <rPr>
        <rFont val="&quot;Century Gothic&quot;, Arial, Helvetica, sans-serif"/>
        <b/>
        <color rgb="FF1155CC"/>
        <sz val="11.0"/>
        <u/>
      </rPr>
      <t>Samuel Moreno</t>
    </r>
  </si>
  <si>
    <r>
      <rPr>
        <rFont val="&quot;Century Gothic&quot;, Arial, Helvetica, sans-serif"/>
        <color rgb="FF1155CC"/>
        <sz val="11.0"/>
        <u/>
      </rPr>
      <t>VM</t>
    </r>
    <r>
      <rPr>
        <rFont val="&quot;Century Gothic&quot;, Arial, Helvetica, sans-serif"/>
        <color rgb="FF1155CC"/>
        <sz val="11.0"/>
        <u/>
      </rPr>
      <t>Vincenzo Daniele Miraglia Lagrutta</t>
    </r>
  </si>
  <si>
    <r>
      <rPr>
        <rFont val="&quot;Century Gothic&quot;, Arial, Helvetica, sans-serif"/>
        <color rgb="FF1155CC"/>
        <sz val="11.0"/>
        <u/>
      </rPr>
      <t>IP</t>
    </r>
    <r>
      <rPr>
        <rFont val="&quot;Century Gothic&quot;, Arial, Helvetica, sans-serif"/>
        <color rgb="FF1155CC"/>
        <sz val="11.0"/>
        <u/>
      </rPr>
      <t>Isabella Pereira</t>
    </r>
  </si>
  <si>
    <r>
      <rPr>
        <rFont val="&quot;Century Gothic&quot;, Arial, Helvetica, sans-serif"/>
        <b/>
        <color rgb="FF1155CC"/>
        <sz val="11.0"/>
        <u/>
      </rPr>
      <t>Samuel Moreno</t>
    </r>
  </si>
  <si>
    <r>
      <rPr>
        <rFont val="&quot;Century Gothic&quot;, Arial, Helvetica, sans-serif"/>
        <color rgb="FF1155CC"/>
        <sz val="11.0"/>
        <u/>
      </rPr>
      <t>VP</t>
    </r>
    <r>
      <rPr>
        <rFont val="&quot;Century Gothic&quot;, Arial, Helvetica, sans-serif"/>
        <color rgb="FF1155CC"/>
        <sz val="11.0"/>
        <u/>
      </rPr>
      <t>Vincent Pérez</t>
    </r>
  </si>
  <si>
    <r>
      <rPr>
        <rFont val="&quot;Century Gothic&quot;, Arial, Helvetica, sans-serif"/>
        <color rgb="FF1155CC"/>
        <sz val="11.0"/>
        <u/>
      </rPr>
      <t>IP</t>
    </r>
    <r>
      <rPr>
        <rFont val="&quot;Century Gothic&quot;, Arial, Helvetica, sans-serif"/>
        <color rgb="FF1155CC"/>
        <sz val="11.0"/>
        <u/>
      </rPr>
      <t>Isabella Pereira</t>
    </r>
  </si>
  <si>
    <r>
      <rPr>
        <rFont val="&quot;Century Gothic&quot;, Arial, Helvetica, sans-serif"/>
        <b/>
        <color rgb="FF1155CC"/>
        <sz val="11.0"/>
        <u/>
      </rPr>
      <t>Andrés Ignacio Pérez Puelles De Faria</t>
    </r>
  </si>
  <si>
    <r>
      <rPr>
        <rFont val="&quot;Century Gothic&quot;, Arial, Helvetica, sans-serif"/>
        <color rgb="FF1155CC"/>
        <sz val="11.0"/>
        <u/>
      </rPr>
      <t>VP</t>
    </r>
    <r>
      <rPr>
        <rFont val="&quot;Century Gothic&quot;, Arial, Helvetica, sans-serif"/>
        <color rgb="FF1155CC"/>
        <sz val="11.0"/>
        <u/>
      </rPr>
      <t>Vincent Pérez</t>
    </r>
  </si>
  <si>
    <r>
      <rPr>
        <rFont val="&quot;Century Gothic&quot;, Arial, Helvetica, sans-serif"/>
        <b/>
        <color rgb="FF1155CC"/>
        <sz val="11.0"/>
        <u/>
      </rPr>
      <t>Arianne Perret Gentil</t>
    </r>
  </si>
  <si>
    <r>
      <rPr>
        <rFont val="&quot;Century Gothic&quot;, Arial, Helvetica, sans-serif"/>
        <b/>
        <color rgb="FF1155CC"/>
        <sz val="11.0"/>
        <u/>
      </rPr>
      <t>Andrés Ignacio Pérez Puelles De Faria</t>
    </r>
  </si>
  <si>
    <r>
      <rPr>
        <rFont val="&quot;Century Gothic&quot;, Arial, Helvetica, sans-serif"/>
        <b/>
        <color rgb="FF1155CC"/>
        <sz val="11.0"/>
        <u/>
      </rPr>
      <t>Guillermo Enrique Pinzón Quero</t>
    </r>
  </si>
  <si>
    <r>
      <rPr>
        <rFont val="&quot;Century Gothic&quot;, Arial, Helvetica, sans-serif"/>
        <color rgb="FF1155CC"/>
        <sz val="11.0"/>
        <u/>
      </rPr>
      <t>VP</t>
    </r>
    <r>
      <rPr>
        <rFont val="&quot;Century Gothic&quot;, Arial, Helvetica, sans-serif"/>
        <color rgb="FF1155CC"/>
        <sz val="11.0"/>
        <u/>
      </rPr>
      <t>Victor Ernesto Pointud Torres</t>
    </r>
  </si>
  <si>
    <r>
      <rPr>
        <rFont val="&quot;Century Gothic&quot;, Arial, Helvetica, sans-serif"/>
        <b/>
        <color rgb="FF1155CC"/>
        <sz val="11.0"/>
        <u/>
      </rPr>
      <t>Arianne Perret Gentil</t>
    </r>
  </si>
  <si>
    <r>
      <rPr>
        <rFont val="&quot;Century Gothic&quot;, Arial, Helvetica, sans-serif"/>
        <color rgb="FF1155CC"/>
        <sz val="11.0"/>
        <u/>
      </rPr>
      <t>CR</t>
    </r>
    <r>
      <rPr>
        <rFont val="&quot;Century Gothic&quot;, Arial, Helvetica, sans-serif"/>
        <color rgb="FF1155CC"/>
        <sz val="11.0"/>
        <u/>
      </rPr>
      <t>Christian Ramos</t>
    </r>
  </si>
  <si>
    <r>
      <rPr>
        <rFont val="&quot;Century Gothic&quot;, Arial, Helvetica, sans-serif"/>
        <b/>
        <color rgb="FF1155CC"/>
        <sz val="11.0"/>
        <u/>
      </rPr>
      <t>Guillermo Enrique Pinzón Quero</t>
    </r>
  </si>
  <si>
    <r>
      <rPr>
        <rFont val="&quot;Century Gothic&quot;, Arial, Helvetica, sans-serif"/>
        <color rgb="FF1155CC"/>
        <sz val="11.0"/>
        <u/>
      </rPr>
      <t>VP</t>
    </r>
    <r>
      <rPr>
        <rFont val="&quot;Century Gothic&quot;, Arial, Helvetica, sans-serif"/>
        <color rgb="FF1155CC"/>
        <sz val="11.0"/>
        <u/>
      </rPr>
      <t>Victor Ernesto Pointud Torres</t>
    </r>
  </si>
  <si>
    <r>
      <rPr>
        <rFont val="&quot;Century Gothic&quot;, Arial, Helvetica, sans-serif"/>
        <color rgb="FF1155CC"/>
        <sz val="11.0"/>
        <u/>
      </rPr>
      <t>CR</t>
    </r>
    <r>
      <rPr>
        <rFont val="&quot;Century Gothic&quot;, Arial, Helvetica, sans-serif"/>
        <color rgb="FF1155CC"/>
        <sz val="11.0"/>
        <u/>
      </rPr>
      <t>Christian Ramos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</si>
</sst>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"/>
    <numFmt numFmtId="165" formatCode="d mmm"/>
  </numFmts>
  <fonts count="15">
    <font>
      <sz val="10.0"/>
      <color rgb="FF000000"/>
      <name val="Arial"/>
      <scheme val="minor"/>
    </font>
    <font>
      <b/>
      <sz val="11.0"/>
      <color theme="1"/>
      <name val="&quot;Century Gothic&quot;"/>
    </font>
    <font>
      <b/>
      <sz val="11.0"/>
      <color rgb="FFFF0000"/>
      <name val="&quot;Century Gothic&quot;"/>
    </font>
    <font>
      <color theme="1"/>
      <name val="Arial"/>
      <scheme val="minor"/>
    </font>
    <font>
      <b/>
      <sz val="11.0"/>
      <color rgb="FFFFFFFF"/>
      <name val="&quot;Century Gothic&quot;"/>
    </font>
    <font>
      <b/>
      <color rgb="FFFFFFFF"/>
      <name val="Arial"/>
      <scheme val="minor"/>
    </font>
    <font>
      <u/>
      <sz val="11.0"/>
      <color rgb="FF0000FF"/>
      <name val="&quot;Century Gothic&quot;"/>
    </font>
    <font>
      <sz val="11.0"/>
      <color rgb="FF1D2125"/>
      <name val="&quot;Century Gothic&quot;"/>
    </font>
    <font>
      <sz val="11.0"/>
      <color theme="1"/>
      <name val="&quot;Century Gothic&quot;"/>
    </font>
    <font>
      <b/>
      <sz val="8.0"/>
      <color theme="1"/>
      <name val="&quot;Century Gothic&quot;"/>
    </font>
    <font>
      <b/>
      <color theme="1"/>
      <name val="Arial"/>
      <scheme val="minor"/>
    </font>
    <font>
      <b/>
      <u/>
      <sz val="11.0"/>
      <color rgb="FF0000FF"/>
      <name val="&quot;Century Gothic&quot;"/>
    </font>
    <font>
      <b/>
      <sz val="11.0"/>
      <color rgb="FF1D2125"/>
      <name val="&quot;Century Gothic&quot;"/>
    </font>
    <font>
      <sz val="8.0"/>
      <color theme="1"/>
      <name val="&quot;Century Gothic&quot;"/>
    </font>
    <font>
      <b/>
      <sz val="11.0"/>
      <color rgb="FFFF0000"/>
      <name val="Century Gothic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top style="thin">
        <color rgb="FFDEE2E6"/>
      </top>
      <bottom style="medium">
        <color rgb="FFDEE2E6"/>
      </bottom>
    </border>
    <border>
      <top style="thin">
        <color rgb="FFDEE2E6"/>
      </top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4" xfId="0" applyFont="1" applyNumberFormat="1"/>
    <xf borderId="1" fillId="0" fontId="4" numFmtId="0" xfId="0" applyAlignment="1" applyBorder="1" applyFont="1">
      <alignment horizontal="left" readingOrder="0"/>
    </xf>
    <xf borderId="1" fillId="0" fontId="4" numFmtId="164" xfId="0" applyAlignment="1" applyBorder="1" applyFont="1" applyNumberFormat="1">
      <alignment horizontal="center" readingOrder="0"/>
    </xf>
    <xf borderId="0" fillId="0" fontId="5" numFmtId="165" xfId="0" applyAlignment="1" applyFont="1" applyNumberForma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4" xfId="0" applyAlignment="1" applyFont="1" applyNumberFormat="1">
      <alignment horizontal="center" readingOrder="0"/>
    </xf>
    <xf borderId="2" fillId="0" fontId="6" numFmtId="0" xfId="0" applyAlignment="1" applyBorder="1" applyFont="1">
      <alignment horizontal="left" readingOrder="0"/>
    </xf>
    <xf borderId="2" fillId="0" fontId="7" numFmtId="0" xfId="0" applyAlignment="1" applyBorder="1" applyFont="1">
      <alignment horizontal="left" readingOrder="0"/>
    </xf>
    <xf borderId="2" fillId="0" fontId="7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2" fillId="0" fontId="8" numFmtId="0" xfId="0" applyAlignment="1" applyBorder="1" applyFont="1">
      <alignment horizontal="center" readingOrder="0"/>
    </xf>
    <xf borderId="0" fillId="0" fontId="3" numFmtId="9" xfId="0" applyFont="1" applyNumberFormat="1"/>
    <xf borderId="2" fillId="0" fontId="9" numFmtId="0" xfId="0" applyAlignment="1" applyBorder="1" applyFont="1">
      <alignment horizontal="center" readingOrder="0" shrinkToFit="0" wrapText="0"/>
    </xf>
    <xf borderId="0" fillId="0" fontId="10" numFmtId="9" xfId="0" applyFont="1" applyNumberFormat="1"/>
    <xf borderId="0" fillId="0" fontId="10" numFmtId="4" xfId="0" applyFont="1" applyNumberFormat="1"/>
    <xf borderId="0" fillId="0" fontId="3" numFmtId="2" xfId="0" applyFont="1" applyNumberFormat="1"/>
    <xf borderId="2" fillId="0" fontId="11" numFmtId="0" xfId="0" applyAlignment="1" applyBorder="1" applyFont="1">
      <alignment horizontal="left" readingOrder="0"/>
    </xf>
    <xf borderId="2" fillId="0" fontId="2" numFmtId="0" xfId="0" applyAlignment="1" applyBorder="1" applyFont="1">
      <alignment horizontal="center" readingOrder="0"/>
    </xf>
    <xf borderId="2" fillId="0" fontId="12" numFmtId="0" xfId="0" applyAlignment="1" applyBorder="1" applyFont="1">
      <alignment horizontal="center" readingOrder="0"/>
    </xf>
    <xf borderId="2" fillId="0" fontId="13" numFmtId="0" xfId="0" applyAlignment="1" applyBorder="1" applyFont="1">
      <alignment horizontal="center" readingOrder="0" shrinkToFit="0" wrapText="0"/>
    </xf>
    <xf borderId="2" fillId="2" fontId="14" numFmtId="0" xfId="0" applyAlignment="1" applyBorder="1" applyFill="1" applyFont="1">
      <alignment horizontal="center" vertical="bottom"/>
    </xf>
    <xf borderId="2" fillId="0" fontId="1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2">
    <tableStyle count="3" pivot="0" name="Intervenciones-style">
      <tableStyleElement dxfId="1" type="headerRow"/>
      <tableStyleElement dxfId="2" type="firstRowStripe"/>
      <tableStyleElement dxfId="4" type="secondRowStripe"/>
    </tableStyle>
    <tableStyle count="3" pivot="0" name="Lecturas-style">
      <tableStyleElement dxfId="3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S30" displayName="Table_2" name="Table_2" id="2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Lectura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2:S30" displayName="Table_1" name="Table_1" id="1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Intervencion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aulasvirtuales.unimet.edu.ve/user/view.php?id=8365&amp;course=2710" TargetMode="External"/><Relationship Id="rId22" Type="http://schemas.openxmlformats.org/officeDocument/2006/relationships/hyperlink" Target="https://aulasvirtuales.unimet.edu.ve/user/view.php?id=3964&amp;course=2710" TargetMode="External"/><Relationship Id="rId21" Type="http://schemas.openxmlformats.org/officeDocument/2006/relationships/hyperlink" Target="https://aulasvirtuales.unimet.edu.ve/user/view.php?id=8697&amp;course=2710" TargetMode="External"/><Relationship Id="rId24" Type="http://schemas.openxmlformats.org/officeDocument/2006/relationships/hyperlink" Target="https://aulasvirtuales.unimet.edu.ve/user/view.php?id=19595&amp;course=2710" TargetMode="External"/><Relationship Id="rId23" Type="http://schemas.openxmlformats.org/officeDocument/2006/relationships/hyperlink" Target="https://aulasvirtuales.unimet.edu.ve/user/view.php?id=7046&amp;course=2710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aulasvirtuales.unimet.edu.ve/user/view.php?id=2392&amp;course=2710" TargetMode="External"/><Relationship Id="rId3" Type="http://schemas.openxmlformats.org/officeDocument/2006/relationships/hyperlink" Target="https://aulasvirtuales.unimet.edu.ve/user/view.php?id=10041&amp;course=2710" TargetMode="External"/><Relationship Id="rId4" Type="http://schemas.openxmlformats.org/officeDocument/2006/relationships/hyperlink" Target="https://aulasvirtuales.unimet.edu.ve/user/view.php?id=1527&amp;course=2710" TargetMode="External"/><Relationship Id="rId9" Type="http://schemas.openxmlformats.org/officeDocument/2006/relationships/hyperlink" Target="https://aulasvirtuales.unimet.edu.ve/user/view.php?id=1275&amp;course=2710" TargetMode="External"/><Relationship Id="rId26" Type="http://schemas.openxmlformats.org/officeDocument/2006/relationships/hyperlink" Target="https://aulasvirtuales.unimet.edu.ve/user/view.php?id=4336&amp;course=2710" TargetMode="External"/><Relationship Id="rId25" Type="http://schemas.openxmlformats.org/officeDocument/2006/relationships/hyperlink" Target="https://aulasvirtuales.unimet.edu.ve/user/view.php?id=4483&amp;course=2710" TargetMode="External"/><Relationship Id="rId28" Type="http://schemas.openxmlformats.org/officeDocument/2006/relationships/hyperlink" Target="https://aulasvirtuales.unimet.edu.ve/user/view.php?id=4444&amp;course=2710" TargetMode="External"/><Relationship Id="rId27" Type="http://schemas.openxmlformats.org/officeDocument/2006/relationships/hyperlink" Target="https://aulasvirtuales.unimet.edu.ve/user/view.php?id=3188&amp;course=2710" TargetMode="External"/><Relationship Id="rId5" Type="http://schemas.openxmlformats.org/officeDocument/2006/relationships/hyperlink" Target="https://aulasvirtuales.unimet.edu.ve/user/view.php?id=11443&amp;course=2710" TargetMode="External"/><Relationship Id="rId6" Type="http://schemas.openxmlformats.org/officeDocument/2006/relationships/hyperlink" Target="https://aulasvirtuales.unimet.edu.ve/user/view.php?id=8729&amp;course=2710" TargetMode="External"/><Relationship Id="rId29" Type="http://schemas.openxmlformats.org/officeDocument/2006/relationships/hyperlink" Target="https://aulasvirtuales.unimet.edu.ve/user/view.php?id=18737&amp;course=2710" TargetMode="External"/><Relationship Id="rId7" Type="http://schemas.openxmlformats.org/officeDocument/2006/relationships/hyperlink" Target="https://aulasvirtuales.unimet.edu.ve/user/view.php?id=7104&amp;course=2710" TargetMode="External"/><Relationship Id="rId8" Type="http://schemas.openxmlformats.org/officeDocument/2006/relationships/hyperlink" Target="https://aulasvirtuales.unimet.edu.ve/user/view.php?id=5504&amp;course=2710" TargetMode="External"/><Relationship Id="rId31" Type="http://schemas.openxmlformats.org/officeDocument/2006/relationships/vmlDrawing" Target="../drawings/vmlDrawing1.vml"/><Relationship Id="rId30" Type="http://schemas.openxmlformats.org/officeDocument/2006/relationships/drawing" Target="../drawings/drawing1.xml"/><Relationship Id="rId11" Type="http://schemas.openxmlformats.org/officeDocument/2006/relationships/hyperlink" Target="https://aulasvirtuales.unimet.edu.ve/user/view.php?id=3705&amp;course=2710" TargetMode="External"/><Relationship Id="rId33" Type="http://schemas.openxmlformats.org/officeDocument/2006/relationships/table" Target="../tables/table1.xml"/><Relationship Id="rId10" Type="http://schemas.openxmlformats.org/officeDocument/2006/relationships/hyperlink" Target="https://aulasvirtuales.unimet.edu.ve/user/view.php?id=9803&amp;course=2710" TargetMode="External"/><Relationship Id="rId13" Type="http://schemas.openxmlformats.org/officeDocument/2006/relationships/hyperlink" Target="https://aulasvirtuales.unimet.edu.ve/user/view.php?id=10191&amp;course=2710" TargetMode="External"/><Relationship Id="rId12" Type="http://schemas.openxmlformats.org/officeDocument/2006/relationships/hyperlink" Target="https://aulasvirtuales.unimet.edu.ve/user/view.php?id=1281&amp;course=2710" TargetMode="External"/><Relationship Id="rId15" Type="http://schemas.openxmlformats.org/officeDocument/2006/relationships/hyperlink" Target="https://aulasvirtuales.unimet.edu.ve/user/view.php?id=7568&amp;course=2710" TargetMode="External"/><Relationship Id="rId14" Type="http://schemas.openxmlformats.org/officeDocument/2006/relationships/hyperlink" Target="https://aulasvirtuales.unimet.edu.ve/user/view.php?id=7938&amp;course=2710" TargetMode="External"/><Relationship Id="rId17" Type="http://schemas.openxmlformats.org/officeDocument/2006/relationships/hyperlink" Target="https://aulasvirtuales.unimet.edu.ve/user/view.php?id=10298&amp;course=2710" TargetMode="External"/><Relationship Id="rId16" Type="http://schemas.openxmlformats.org/officeDocument/2006/relationships/hyperlink" Target="https://aulasvirtuales.unimet.edu.ve/user/view.php?id=3052&amp;course=2710" TargetMode="External"/><Relationship Id="rId19" Type="http://schemas.openxmlformats.org/officeDocument/2006/relationships/hyperlink" Target="https://aulasvirtuales.unimet.edu.ve/user/view.php?id=7425&amp;course=2710" TargetMode="External"/><Relationship Id="rId18" Type="http://schemas.openxmlformats.org/officeDocument/2006/relationships/hyperlink" Target="https://aulasvirtuales.unimet.edu.ve/user/view.php?id=9172&amp;course=2710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aulasvirtuales.unimet.edu.ve/user/view.php?id=8697&amp;course=2710" TargetMode="External"/><Relationship Id="rId22" Type="http://schemas.openxmlformats.org/officeDocument/2006/relationships/hyperlink" Target="https://aulasvirtuales.unimet.edu.ve/user/view.php?id=7046&amp;course=2710" TargetMode="External"/><Relationship Id="rId21" Type="http://schemas.openxmlformats.org/officeDocument/2006/relationships/hyperlink" Target="https://aulasvirtuales.unimet.edu.ve/user/view.php?id=3964&amp;course=2710" TargetMode="External"/><Relationship Id="rId24" Type="http://schemas.openxmlformats.org/officeDocument/2006/relationships/hyperlink" Target="https://aulasvirtuales.unimet.edu.ve/user/view.php?id=4483&amp;course=2710" TargetMode="External"/><Relationship Id="rId23" Type="http://schemas.openxmlformats.org/officeDocument/2006/relationships/hyperlink" Target="https://aulasvirtuales.unimet.edu.ve/user/view.php?id=19595&amp;course=2710" TargetMode="External"/><Relationship Id="rId1" Type="http://schemas.openxmlformats.org/officeDocument/2006/relationships/hyperlink" Target="https://aulasvirtuales.unimet.edu.ve/user/view.php?id=2392&amp;course=2710" TargetMode="External"/><Relationship Id="rId2" Type="http://schemas.openxmlformats.org/officeDocument/2006/relationships/hyperlink" Target="https://aulasvirtuales.unimet.edu.ve/user/view.php?id=10041&amp;course=2710" TargetMode="External"/><Relationship Id="rId3" Type="http://schemas.openxmlformats.org/officeDocument/2006/relationships/hyperlink" Target="https://aulasvirtuales.unimet.edu.ve/user/view.php?id=1527&amp;course=2710" TargetMode="External"/><Relationship Id="rId4" Type="http://schemas.openxmlformats.org/officeDocument/2006/relationships/hyperlink" Target="https://aulasvirtuales.unimet.edu.ve/user/view.php?id=11443&amp;course=2710" TargetMode="External"/><Relationship Id="rId9" Type="http://schemas.openxmlformats.org/officeDocument/2006/relationships/hyperlink" Target="https://aulasvirtuales.unimet.edu.ve/user/view.php?id=9803&amp;course=2710" TargetMode="External"/><Relationship Id="rId26" Type="http://schemas.openxmlformats.org/officeDocument/2006/relationships/hyperlink" Target="https://aulasvirtuales.unimet.edu.ve/user/view.php?id=3188&amp;course=2710" TargetMode="External"/><Relationship Id="rId25" Type="http://schemas.openxmlformats.org/officeDocument/2006/relationships/hyperlink" Target="https://aulasvirtuales.unimet.edu.ve/user/view.php?id=4336&amp;course=2710" TargetMode="External"/><Relationship Id="rId28" Type="http://schemas.openxmlformats.org/officeDocument/2006/relationships/hyperlink" Target="https://aulasvirtuales.unimet.edu.ve/user/view.php?id=18737&amp;course=2710" TargetMode="External"/><Relationship Id="rId27" Type="http://schemas.openxmlformats.org/officeDocument/2006/relationships/hyperlink" Target="https://aulasvirtuales.unimet.edu.ve/user/view.php?id=4444&amp;course=2710" TargetMode="External"/><Relationship Id="rId5" Type="http://schemas.openxmlformats.org/officeDocument/2006/relationships/hyperlink" Target="https://aulasvirtuales.unimet.edu.ve/user/view.php?id=8729&amp;course=2710" TargetMode="External"/><Relationship Id="rId6" Type="http://schemas.openxmlformats.org/officeDocument/2006/relationships/hyperlink" Target="https://aulasvirtuales.unimet.edu.ve/user/view.php?id=7104&amp;course=2710" TargetMode="External"/><Relationship Id="rId29" Type="http://schemas.openxmlformats.org/officeDocument/2006/relationships/drawing" Target="../drawings/drawing2.xml"/><Relationship Id="rId7" Type="http://schemas.openxmlformats.org/officeDocument/2006/relationships/hyperlink" Target="https://aulasvirtuales.unimet.edu.ve/user/view.php?id=5504&amp;course=2710" TargetMode="External"/><Relationship Id="rId8" Type="http://schemas.openxmlformats.org/officeDocument/2006/relationships/hyperlink" Target="https://aulasvirtuales.unimet.edu.ve/user/view.php?id=1275&amp;course=2710" TargetMode="External"/><Relationship Id="rId31" Type="http://schemas.openxmlformats.org/officeDocument/2006/relationships/table" Target="../tables/table2.xml"/><Relationship Id="rId11" Type="http://schemas.openxmlformats.org/officeDocument/2006/relationships/hyperlink" Target="https://aulasvirtuales.unimet.edu.ve/user/view.php?id=1281&amp;course=2710" TargetMode="External"/><Relationship Id="rId10" Type="http://schemas.openxmlformats.org/officeDocument/2006/relationships/hyperlink" Target="https://aulasvirtuales.unimet.edu.ve/user/view.php?id=3705&amp;course=2710" TargetMode="External"/><Relationship Id="rId13" Type="http://schemas.openxmlformats.org/officeDocument/2006/relationships/hyperlink" Target="https://aulasvirtuales.unimet.edu.ve/user/view.php?id=7938&amp;course=2710" TargetMode="External"/><Relationship Id="rId12" Type="http://schemas.openxmlformats.org/officeDocument/2006/relationships/hyperlink" Target="https://aulasvirtuales.unimet.edu.ve/user/view.php?id=10191&amp;course=2710" TargetMode="External"/><Relationship Id="rId15" Type="http://schemas.openxmlformats.org/officeDocument/2006/relationships/hyperlink" Target="https://aulasvirtuales.unimet.edu.ve/user/view.php?id=3052&amp;course=2710" TargetMode="External"/><Relationship Id="rId14" Type="http://schemas.openxmlformats.org/officeDocument/2006/relationships/hyperlink" Target="https://aulasvirtuales.unimet.edu.ve/user/view.php?id=7568&amp;course=2710" TargetMode="External"/><Relationship Id="rId17" Type="http://schemas.openxmlformats.org/officeDocument/2006/relationships/hyperlink" Target="https://aulasvirtuales.unimet.edu.ve/user/view.php?id=9172&amp;course=2710" TargetMode="External"/><Relationship Id="rId16" Type="http://schemas.openxmlformats.org/officeDocument/2006/relationships/hyperlink" Target="https://aulasvirtuales.unimet.edu.ve/user/view.php?id=10298&amp;course=2710" TargetMode="External"/><Relationship Id="rId19" Type="http://schemas.openxmlformats.org/officeDocument/2006/relationships/hyperlink" Target="https://aulasvirtuales.unimet.edu.ve/user/view.php?id=8365&amp;course=2710" TargetMode="External"/><Relationship Id="rId18" Type="http://schemas.openxmlformats.org/officeDocument/2006/relationships/hyperlink" Target="https://aulasvirtuales.unimet.edu.ve/user/view.php?id=7425&amp;course=27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35.13"/>
    <col customWidth="1" min="2" max="2" width="9.13"/>
    <col customWidth="1" min="3" max="17" width="7.25"/>
    <col customWidth="1" min="18" max="18" width="4.88"/>
  </cols>
  <sheetData>
    <row r="1">
      <c r="A1" s="1"/>
      <c r="B1" s="1"/>
      <c r="C1" s="2" t="s">
        <v>0</v>
      </c>
      <c r="E1" s="2" t="s">
        <v>1</v>
      </c>
      <c r="G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N1" s="3" t="s">
        <v>7</v>
      </c>
      <c r="O1" s="2" t="s">
        <v>8</v>
      </c>
      <c r="P1" s="2" t="s">
        <v>9</v>
      </c>
      <c r="Q1" s="2" t="s">
        <v>10</v>
      </c>
      <c r="S1" s="5"/>
    </row>
    <row r="2">
      <c r="A2" s="6" t="s">
        <v>11</v>
      </c>
      <c r="B2" s="6" t="s">
        <v>12</v>
      </c>
      <c r="C2" s="7">
        <v>45909.0</v>
      </c>
      <c r="D2" s="7">
        <v>45911.0</v>
      </c>
      <c r="E2" s="7">
        <v>45916.0</v>
      </c>
      <c r="F2" s="7">
        <v>45918.0</v>
      </c>
      <c r="G2" s="7">
        <v>45923.0</v>
      </c>
      <c r="H2" s="7">
        <v>45925.0</v>
      </c>
      <c r="I2" s="7">
        <v>45930.0</v>
      </c>
      <c r="J2" s="7">
        <v>45939.0</v>
      </c>
      <c r="K2" s="7">
        <v>45944.0</v>
      </c>
      <c r="L2" s="7">
        <v>45951.0</v>
      </c>
      <c r="M2" s="7">
        <v>45953.0</v>
      </c>
      <c r="N2" s="9">
        <v>45958.0</v>
      </c>
      <c r="O2" s="7">
        <v>45967.0</v>
      </c>
      <c r="P2" s="7">
        <v>45972.0</v>
      </c>
      <c r="Q2" s="7">
        <v>45979.0</v>
      </c>
      <c r="R2" s="10" t="s">
        <v>13</v>
      </c>
      <c r="S2" s="11" t="s">
        <v>15</v>
      </c>
    </row>
    <row r="3">
      <c r="A3" s="12" t="s">
        <v>17</v>
      </c>
      <c r="B3" s="13">
        <v>2.6739759E7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7"/>
      <c r="N3" s="17"/>
      <c r="O3" s="14"/>
      <c r="P3" s="19"/>
      <c r="Q3" s="19"/>
      <c r="R3" s="20">
        <f t="shared" ref="R3:R30" si="1">SUM(C3:Q3)/COUNTA(C$2:Q$2)</f>
        <v>0</v>
      </c>
      <c r="S3" s="21">
        <f t="shared" ref="S3:S30" si="2">R3*10</f>
        <v>0</v>
      </c>
    </row>
    <row r="4">
      <c r="A4" s="23" t="s">
        <v>18</v>
      </c>
      <c r="B4" s="13">
        <v>3.061295E7</v>
      </c>
      <c r="C4" s="24">
        <v>1.0</v>
      </c>
      <c r="D4" s="24"/>
      <c r="E4" s="14">
        <v>1.0</v>
      </c>
      <c r="F4" s="14"/>
      <c r="G4" s="14">
        <v>1.0</v>
      </c>
      <c r="H4" s="14">
        <v>1.0</v>
      </c>
      <c r="I4" s="14">
        <v>1.0</v>
      </c>
      <c r="J4" s="14"/>
      <c r="K4" s="14"/>
      <c r="L4" s="14"/>
      <c r="M4" s="17"/>
      <c r="N4" s="17"/>
      <c r="O4" s="14"/>
      <c r="P4" s="19"/>
      <c r="Q4" s="19"/>
      <c r="R4" s="20">
        <f t="shared" si="1"/>
        <v>0.3333333333</v>
      </c>
      <c r="S4" s="21">
        <f t="shared" si="2"/>
        <v>3.333333333</v>
      </c>
    </row>
    <row r="5">
      <c r="A5" s="12" t="s">
        <v>20</v>
      </c>
      <c r="B5" s="13">
        <v>2.5947729E7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7"/>
      <c r="N5" s="17"/>
      <c r="O5" s="14"/>
      <c r="P5" s="19"/>
      <c r="Q5" s="19"/>
      <c r="R5" s="20">
        <f t="shared" si="1"/>
        <v>0</v>
      </c>
      <c r="S5" s="21">
        <f t="shared" si="2"/>
        <v>0</v>
      </c>
    </row>
    <row r="6">
      <c r="A6" s="12" t="s">
        <v>22</v>
      </c>
      <c r="B6" s="13">
        <v>3.0124314E7</v>
      </c>
      <c r="C6" s="24">
        <v>1.0</v>
      </c>
      <c r="D6" s="24"/>
      <c r="E6" s="14">
        <v>1.0</v>
      </c>
      <c r="F6" s="24"/>
      <c r="G6" s="24">
        <v>1.0</v>
      </c>
      <c r="H6" s="24">
        <v>1.0</v>
      </c>
      <c r="I6" s="14">
        <v>1.0</v>
      </c>
      <c r="J6" s="14">
        <v>1.0</v>
      </c>
      <c r="K6" s="14"/>
      <c r="L6" s="14"/>
      <c r="M6" s="17"/>
      <c r="N6" s="17"/>
      <c r="O6" s="14"/>
      <c r="P6" s="19"/>
      <c r="Q6" s="19"/>
      <c r="R6" s="20">
        <f t="shared" si="1"/>
        <v>0.4</v>
      </c>
      <c r="S6" s="21">
        <f t="shared" si="2"/>
        <v>4</v>
      </c>
    </row>
    <row r="7">
      <c r="A7" s="23" t="s">
        <v>25</v>
      </c>
      <c r="B7" s="13">
        <v>3.0673633E7</v>
      </c>
      <c r="C7" s="16">
        <v>1.0</v>
      </c>
      <c r="D7" s="24">
        <v>1.0</v>
      </c>
      <c r="E7" s="14">
        <v>1.0</v>
      </c>
      <c r="F7" s="14">
        <v>1.0</v>
      </c>
      <c r="G7" s="14">
        <v>1.0</v>
      </c>
      <c r="H7" s="14">
        <v>1.0</v>
      </c>
      <c r="I7" s="14">
        <v>1.0</v>
      </c>
      <c r="J7" s="14"/>
      <c r="K7" s="14">
        <v>1.0</v>
      </c>
      <c r="L7" s="14">
        <v>1.0</v>
      </c>
      <c r="M7" s="17">
        <v>1.0</v>
      </c>
      <c r="N7" s="17">
        <v>1.0</v>
      </c>
      <c r="O7" s="14">
        <v>1.0</v>
      </c>
      <c r="P7" s="19">
        <v>1.0</v>
      </c>
      <c r="Q7" s="19">
        <v>1.0</v>
      </c>
      <c r="R7" s="20">
        <f t="shared" si="1"/>
        <v>0.9333333333</v>
      </c>
      <c r="S7" s="21">
        <f t="shared" si="2"/>
        <v>9.333333333</v>
      </c>
    </row>
    <row r="8">
      <c r="A8" s="23" t="s">
        <v>27</v>
      </c>
      <c r="B8" s="13">
        <v>3.0346847E7</v>
      </c>
      <c r="C8" s="15"/>
      <c r="D8" s="15"/>
      <c r="E8" s="15"/>
      <c r="F8" s="14"/>
      <c r="G8" s="14"/>
      <c r="H8" s="14"/>
      <c r="I8" s="14"/>
      <c r="J8" s="14"/>
      <c r="K8" s="14"/>
      <c r="L8" s="14"/>
      <c r="M8" s="17"/>
      <c r="N8" s="17"/>
      <c r="O8" s="14"/>
      <c r="P8" s="19"/>
      <c r="Q8" s="19"/>
      <c r="R8" s="20">
        <f t="shared" si="1"/>
        <v>0</v>
      </c>
      <c r="S8" s="21">
        <f t="shared" si="2"/>
        <v>0</v>
      </c>
    </row>
    <row r="9">
      <c r="A9" s="23" t="s">
        <v>29</v>
      </c>
      <c r="B9" s="13">
        <v>2.7027053E7</v>
      </c>
      <c r="C9" s="15"/>
      <c r="D9" s="15"/>
      <c r="E9" s="16">
        <v>1.0</v>
      </c>
      <c r="F9" s="14">
        <v>1.0</v>
      </c>
      <c r="G9" s="14">
        <v>1.0</v>
      </c>
      <c r="H9" s="14"/>
      <c r="I9" s="14">
        <v>1.0</v>
      </c>
      <c r="J9" s="14">
        <v>1.0</v>
      </c>
      <c r="K9" s="25">
        <v>1.0</v>
      </c>
      <c r="L9" s="25">
        <v>1.0</v>
      </c>
      <c r="M9" s="17">
        <v>1.0</v>
      </c>
      <c r="N9" s="17">
        <v>1.0</v>
      </c>
      <c r="O9" s="14">
        <v>1.0</v>
      </c>
      <c r="P9" s="25">
        <v>1.0</v>
      </c>
      <c r="Q9" s="19"/>
      <c r="R9" s="20">
        <f t="shared" si="1"/>
        <v>0.7333333333</v>
      </c>
      <c r="S9" s="21">
        <f t="shared" si="2"/>
        <v>7.333333333</v>
      </c>
    </row>
    <row r="10">
      <c r="A10" s="23" t="s">
        <v>31</v>
      </c>
      <c r="B10" s="13">
        <v>3.0085424E7</v>
      </c>
      <c r="C10" s="15"/>
      <c r="D10" s="15"/>
      <c r="E10" s="15"/>
      <c r="F10" s="14"/>
      <c r="G10" s="14"/>
      <c r="H10" s="14"/>
      <c r="I10" s="14">
        <v>1.0</v>
      </c>
      <c r="J10" s="14"/>
      <c r="K10" s="14"/>
      <c r="L10" s="14"/>
      <c r="M10" s="17"/>
      <c r="N10" s="17"/>
      <c r="O10" s="14"/>
      <c r="P10" s="19"/>
      <c r="Q10" s="19"/>
      <c r="R10" s="20">
        <f t="shared" si="1"/>
        <v>0.06666666667</v>
      </c>
      <c r="S10" s="21">
        <f t="shared" si="2"/>
        <v>0.6666666667</v>
      </c>
    </row>
    <row r="11">
      <c r="A11" s="23" t="s">
        <v>33</v>
      </c>
      <c r="B11" s="13">
        <v>3.0124807E7</v>
      </c>
      <c r="C11" s="24">
        <v>1.0</v>
      </c>
      <c r="D11" s="24">
        <v>1.0</v>
      </c>
      <c r="E11" s="14">
        <v>1.0</v>
      </c>
      <c r="F11" s="14"/>
      <c r="G11" s="14">
        <v>1.0</v>
      </c>
      <c r="H11" s="14">
        <v>1.0</v>
      </c>
      <c r="I11" s="14"/>
      <c r="J11" s="14">
        <v>1.0</v>
      </c>
      <c r="K11" s="14">
        <v>1.0</v>
      </c>
      <c r="L11" s="14">
        <v>1.0</v>
      </c>
      <c r="M11" s="17">
        <v>1.0</v>
      </c>
      <c r="N11" s="17">
        <v>1.0</v>
      </c>
      <c r="O11" s="14">
        <v>1.0</v>
      </c>
      <c r="P11" s="26">
        <v>1.0</v>
      </c>
      <c r="Q11" s="19"/>
      <c r="R11" s="20">
        <f t="shared" si="1"/>
        <v>0.8</v>
      </c>
      <c r="S11" s="21">
        <f t="shared" si="2"/>
        <v>8</v>
      </c>
    </row>
    <row r="12">
      <c r="A12" s="12" t="s">
        <v>35</v>
      </c>
      <c r="B12" s="13">
        <v>2.9625816E7</v>
      </c>
      <c r="C12" s="15"/>
      <c r="D12" s="15"/>
      <c r="E12" s="14"/>
      <c r="F12" s="14"/>
      <c r="G12" s="14"/>
      <c r="H12" s="14"/>
      <c r="I12" s="14"/>
      <c r="J12" s="14"/>
      <c r="K12" s="14"/>
      <c r="L12" s="14"/>
      <c r="M12" s="17"/>
      <c r="N12" s="17"/>
      <c r="O12" s="14"/>
      <c r="P12" s="19"/>
      <c r="Q12" s="19"/>
      <c r="R12" s="20">
        <f t="shared" si="1"/>
        <v>0</v>
      </c>
      <c r="S12" s="21">
        <f t="shared" si="2"/>
        <v>0</v>
      </c>
    </row>
    <row r="13">
      <c r="A13" s="23" t="s">
        <v>37</v>
      </c>
      <c r="B13" s="13">
        <v>2.8058651E7</v>
      </c>
      <c r="C13" s="15"/>
      <c r="D13" s="15"/>
      <c r="E13" s="14"/>
      <c r="F13" s="14"/>
      <c r="G13" s="14"/>
      <c r="H13" s="14"/>
      <c r="I13" s="14"/>
      <c r="J13" s="14"/>
      <c r="K13" s="14"/>
      <c r="L13" s="14"/>
      <c r="M13" s="17"/>
      <c r="N13" s="17"/>
      <c r="O13" s="14"/>
      <c r="P13" s="19"/>
      <c r="Q13" s="19"/>
      <c r="R13" s="20">
        <f t="shared" si="1"/>
        <v>0</v>
      </c>
      <c r="S13" s="21">
        <f t="shared" si="2"/>
        <v>0</v>
      </c>
    </row>
    <row r="14">
      <c r="A14" s="23" t="s">
        <v>39</v>
      </c>
      <c r="B14" s="13">
        <v>3.0358221E7</v>
      </c>
      <c r="C14" s="24">
        <v>1.0</v>
      </c>
      <c r="D14" s="15"/>
      <c r="E14" s="14"/>
      <c r="F14" s="14"/>
      <c r="G14" s="14"/>
      <c r="H14" s="14"/>
      <c r="I14" s="14">
        <v>1.0</v>
      </c>
      <c r="J14" s="14"/>
      <c r="K14" s="14"/>
      <c r="L14" s="14"/>
      <c r="M14" s="17">
        <v>1.0</v>
      </c>
      <c r="N14" s="17"/>
      <c r="O14" s="14">
        <v>1.0</v>
      </c>
      <c r="P14" s="19"/>
      <c r="Q14" s="19"/>
      <c r="R14" s="20">
        <f t="shared" si="1"/>
        <v>0.2666666667</v>
      </c>
      <c r="S14" s="21">
        <f t="shared" si="2"/>
        <v>2.666666667</v>
      </c>
    </row>
    <row r="15">
      <c r="A15" s="23" t="s">
        <v>41</v>
      </c>
      <c r="B15" s="13">
        <v>3.0932824E7</v>
      </c>
      <c r="C15" s="16"/>
      <c r="D15" s="14"/>
      <c r="E15" s="14">
        <v>1.0</v>
      </c>
      <c r="F15" s="14"/>
      <c r="G15" s="14"/>
      <c r="H15" s="14"/>
      <c r="I15" s="14">
        <v>1.0</v>
      </c>
      <c r="J15" s="14">
        <v>1.0</v>
      </c>
      <c r="K15" s="14">
        <v>1.0</v>
      </c>
      <c r="L15" s="14"/>
      <c r="M15" s="17"/>
      <c r="N15" s="17"/>
      <c r="O15" s="14"/>
      <c r="P15" s="19"/>
      <c r="Q15" s="19"/>
      <c r="R15" s="20">
        <f t="shared" si="1"/>
        <v>0.2666666667</v>
      </c>
      <c r="S15" s="21">
        <f t="shared" si="2"/>
        <v>2.666666667</v>
      </c>
    </row>
    <row r="16">
      <c r="A16" s="23" t="s">
        <v>43</v>
      </c>
      <c r="B16" s="13">
        <v>3.0687748E7</v>
      </c>
      <c r="C16" s="15"/>
      <c r="D16" s="15"/>
      <c r="E16" s="14">
        <v>1.0</v>
      </c>
      <c r="F16" s="14"/>
      <c r="G16" s="14"/>
      <c r="H16" s="24">
        <v>1.0</v>
      </c>
      <c r="I16" s="14">
        <v>1.0</v>
      </c>
      <c r="J16" s="14"/>
      <c r="K16" s="14">
        <v>1.0</v>
      </c>
      <c r="L16" s="14">
        <v>1.0</v>
      </c>
      <c r="M16" s="17"/>
      <c r="N16" s="17">
        <v>1.0</v>
      </c>
      <c r="O16" s="14">
        <v>1.0</v>
      </c>
      <c r="P16" s="26">
        <v>1.0</v>
      </c>
      <c r="Q16" s="19">
        <v>1.0</v>
      </c>
      <c r="R16" s="20">
        <f t="shared" si="1"/>
        <v>0.6</v>
      </c>
      <c r="S16" s="21">
        <f t="shared" si="2"/>
        <v>6</v>
      </c>
    </row>
    <row r="17">
      <c r="A17" s="12" t="s">
        <v>46</v>
      </c>
      <c r="B17" s="13">
        <v>2.9577475E7</v>
      </c>
      <c r="C17" s="15"/>
      <c r="D17" s="15"/>
      <c r="E17" s="15"/>
      <c r="F17" s="14">
        <v>1.0</v>
      </c>
      <c r="G17" s="14">
        <v>1.0</v>
      </c>
      <c r="H17" s="14"/>
      <c r="I17" s="14">
        <v>1.0</v>
      </c>
      <c r="J17" s="24">
        <v>1.0</v>
      </c>
      <c r="K17" s="14"/>
      <c r="L17" s="14"/>
      <c r="M17" s="17"/>
      <c r="N17" s="17"/>
      <c r="O17" s="14"/>
      <c r="P17" s="19"/>
      <c r="Q17" s="19"/>
      <c r="R17" s="20">
        <f t="shared" si="1"/>
        <v>0.2666666667</v>
      </c>
      <c r="S17" s="21">
        <f t="shared" si="2"/>
        <v>2.666666667</v>
      </c>
    </row>
    <row r="18">
      <c r="A18" s="12" t="s">
        <v>48</v>
      </c>
      <c r="B18" s="13">
        <v>3.0821945E7</v>
      </c>
      <c r="C18" s="15"/>
      <c r="D18" s="15"/>
      <c r="E18" s="15"/>
      <c r="F18" s="14"/>
      <c r="G18" s="14"/>
      <c r="H18" s="14"/>
      <c r="I18" s="14"/>
      <c r="J18" s="14"/>
      <c r="K18" s="14"/>
      <c r="L18" s="14"/>
      <c r="M18" s="17"/>
      <c r="N18" s="17"/>
      <c r="O18" s="14"/>
      <c r="P18" s="19"/>
      <c r="Q18" s="19">
        <v>0.75</v>
      </c>
      <c r="R18" s="20">
        <f t="shared" si="1"/>
        <v>0.05</v>
      </c>
      <c r="S18" s="21">
        <f t="shared" si="2"/>
        <v>0.5</v>
      </c>
    </row>
    <row r="19">
      <c r="A19" s="23" t="s">
        <v>50</v>
      </c>
      <c r="B19" s="13">
        <v>2.4843496E7</v>
      </c>
      <c r="C19" s="15"/>
      <c r="D19" s="15"/>
      <c r="E19" s="15"/>
      <c r="F19" s="14">
        <v>1.0</v>
      </c>
      <c r="G19" s="14">
        <v>1.0</v>
      </c>
      <c r="H19" s="14"/>
      <c r="I19" s="14"/>
      <c r="J19" s="14"/>
      <c r="K19" s="14"/>
      <c r="L19" s="14"/>
      <c r="M19" s="17">
        <v>1.0</v>
      </c>
      <c r="N19" s="17"/>
      <c r="O19" s="14">
        <v>1.0</v>
      </c>
      <c r="P19" s="19">
        <v>1.0</v>
      </c>
      <c r="Q19" s="19">
        <v>1.0</v>
      </c>
      <c r="R19" s="20">
        <f t="shared" si="1"/>
        <v>0.4</v>
      </c>
      <c r="S19" s="21">
        <f t="shared" si="2"/>
        <v>4</v>
      </c>
    </row>
    <row r="20">
      <c r="A20" s="12" t="s">
        <v>52</v>
      </c>
      <c r="B20" s="13">
        <v>3.0497106E7</v>
      </c>
      <c r="C20" s="16">
        <v>1.0</v>
      </c>
      <c r="D20" s="16">
        <v>1.0</v>
      </c>
      <c r="E20" s="15"/>
      <c r="F20" s="14"/>
      <c r="G20" s="14">
        <v>1.0</v>
      </c>
      <c r="H20" s="14"/>
      <c r="I20" s="14">
        <v>1.0</v>
      </c>
      <c r="J20" s="14"/>
      <c r="K20" s="14"/>
      <c r="L20" s="14">
        <v>1.0</v>
      </c>
      <c r="M20" s="17"/>
      <c r="N20" s="17">
        <v>1.0</v>
      </c>
      <c r="O20" s="14"/>
      <c r="P20" s="19">
        <v>1.0</v>
      </c>
      <c r="Q20" s="19">
        <v>1.0</v>
      </c>
      <c r="R20" s="20">
        <f t="shared" si="1"/>
        <v>0.5333333333</v>
      </c>
      <c r="S20" s="21">
        <f t="shared" si="2"/>
        <v>5.333333333</v>
      </c>
    </row>
    <row r="21">
      <c r="A21" s="23" t="s">
        <v>54</v>
      </c>
      <c r="B21" s="13">
        <v>2.9948276E7</v>
      </c>
      <c r="C21" s="25"/>
      <c r="D21" s="25">
        <v>1.0</v>
      </c>
      <c r="E21" s="25">
        <v>1.0</v>
      </c>
      <c r="F21" s="14">
        <v>1.0</v>
      </c>
      <c r="G21" s="14">
        <v>1.0</v>
      </c>
      <c r="H21" s="14">
        <v>1.0</v>
      </c>
      <c r="I21" s="14">
        <v>1.0</v>
      </c>
      <c r="J21" s="14">
        <v>1.0</v>
      </c>
      <c r="K21" s="14"/>
      <c r="L21" s="14">
        <v>1.0</v>
      </c>
      <c r="M21" s="17">
        <v>1.0</v>
      </c>
      <c r="N21" s="17">
        <v>1.0</v>
      </c>
      <c r="O21" s="14">
        <v>1.0</v>
      </c>
      <c r="P21" s="19">
        <v>1.0</v>
      </c>
      <c r="Q21" s="19">
        <v>1.0</v>
      </c>
      <c r="R21" s="20">
        <f t="shared" si="1"/>
        <v>0.8666666667</v>
      </c>
      <c r="S21" s="21">
        <f t="shared" si="2"/>
        <v>8.666666667</v>
      </c>
    </row>
    <row r="22">
      <c r="A22" s="12" t="s">
        <v>56</v>
      </c>
      <c r="B22" s="13">
        <v>3.0612888E7</v>
      </c>
      <c r="C22" s="14"/>
      <c r="D22" s="14"/>
      <c r="E22" s="14">
        <v>1.0</v>
      </c>
      <c r="F22" s="24">
        <v>1.0</v>
      </c>
      <c r="G22" s="14"/>
      <c r="H22" s="14">
        <v>1.0</v>
      </c>
      <c r="I22" s="14">
        <v>1.0</v>
      </c>
      <c r="J22" s="14">
        <v>1.0</v>
      </c>
      <c r="K22" s="14">
        <v>1.0</v>
      </c>
      <c r="L22" s="14">
        <v>1.0</v>
      </c>
      <c r="M22" s="17">
        <v>1.0</v>
      </c>
      <c r="N22" s="17">
        <v>1.0</v>
      </c>
      <c r="O22" s="14">
        <v>1.0</v>
      </c>
      <c r="P22" s="19">
        <v>1.0</v>
      </c>
      <c r="Q22" s="19">
        <v>1.0</v>
      </c>
      <c r="R22" s="20">
        <f t="shared" si="1"/>
        <v>0.8</v>
      </c>
      <c r="S22" s="21">
        <f t="shared" si="2"/>
        <v>8</v>
      </c>
    </row>
    <row r="23">
      <c r="A23" s="23" t="s">
        <v>58</v>
      </c>
      <c r="B23" s="13">
        <v>2.9533663E7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7"/>
      <c r="N23" s="17"/>
      <c r="O23" s="14"/>
      <c r="P23" s="19"/>
      <c r="Q23" s="19"/>
      <c r="R23" s="20">
        <f t="shared" si="1"/>
        <v>0</v>
      </c>
      <c r="S23" s="21">
        <f t="shared" si="2"/>
        <v>0</v>
      </c>
    </row>
    <row r="24">
      <c r="A24" s="12" t="s">
        <v>60</v>
      </c>
      <c r="B24" s="13">
        <v>3.0142697E7</v>
      </c>
      <c r="C24" s="24">
        <v>1.0</v>
      </c>
      <c r="D24" s="14"/>
      <c r="E24" s="14">
        <v>1.0</v>
      </c>
      <c r="F24" s="15"/>
      <c r="G24" s="25">
        <v>1.0</v>
      </c>
      <c r="H24" s="14"/>
      <c r="I24" s="14">
        <v>1.0</v>
      </c>
      <c r="J24" s="14">
        <v>1.0</v>
      </c>
      <c r="K24" s="14">
        <v>1.0</v>
      </c>
      <c r="L24" s="25">
        <v>1.0</v>
      </c>
      <c r="M24" s="17"/>
      <c r="N24" s="25">
        <v>1.0</v>
      </c>
      <c r="O24" s="14">
        <v>1.0</v>
      </c>
      <c r="P24" s="25">
        <v>1.0</v>
      </c>
      <c r="Q24" s="19"/>
      <c r="R24" s="20">
        <f t="shared" si="1"/>
        <v>0.6666666667</v>
      </c>
      <c r="S24" s="21">
        <f t="shared" si="2"/>
        <v>6.666666667</v>
      </c>
    </row>
    <row r="25">
      <c r="A25" s="12" t="s">
        <v>62</v>
      </c>
      <c r="B25" s="13">
        <v>1.9820976E7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7"/>
      <c r="N25" s="17"/>
      <c r="O25" s="14"/>
      <c r="P25" s="19"/>
      <c r="Q25" s="19"/>
      <c r="R25" s="20">
        <f t="shared" si="1"/>
        <v>0</v>
      </c>
      <c r="S25" s="21">
        <f t="shared" si="2"/>
        <v>0</v>
      </c>
    </row>
    <row r="26">
      <c r="A26" s="23" t="s">
        <v>64</v>
      </c>
      <c r="B26" s="13">
        <v>3.0142131E7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7"/>
      <c r="N26" s="17"/>
      <c r="O26" s="14"/>
      <c r="P26" s="19"/>
      <c r="Q26" s="19"/>
      <c r="R26" s="20">
        <f t="shared" si="1"/>
        <v>0</v>
      </c>
      <c r="S26" s="21">
        <f t="shared" si="2"/>
        <v>0</v>
      </c>
    </row>
    <row r="27">
      <c r="A27" s="23" t="s">
        <v>67</v>
      </c>
      <c r="B27" s="13">
        <v>2.9965689E7</v>
      </c>
      <c r="C27" s="24">
        <v>1.0</v>
      </c>
      <c r="D27" s="24">
        <v>1.0</v>
      </c>
      <c r="E27" s="14"/>
      <c r="F27" s="15"/>
      <c r="G27" s="14">
        <v>1.0</v>
      </c>
      <c r="H27" s="14"/>
      <c r="I27" s="14">
        <v>1.0</v>
      </c>
      <c r="J27" s="24">
        <v>1.0</v>
      </c>
      <c r="K27" s="14">
        <v>1.0</v>
      </c>
      <c r="L27" s="25">
        <v>1.0</v>
      </c>
      <c r="M27" s="25">
        <v>1.0</v>
      </c>
      <c r="N27" s="17"/>
      <c r="O27" s="25">
        <v>1.0</v>
      </c>
      <c r="P27" s="25">
        <v>1.0</v>
      </c>
      <c r="Q27" s="25">
        <v>1.0</v>
      </c>
      <c r="R27" s="20">
        <f t="shared" si="1"/>
        <v>0.7333333333</v>
      </c>
      <c r="S27" s="21">
        <f t="shared" si="2"/>
        <v>7.333333333</v>
      </c>
    </row>
    <row r="28">
      <c r="A28" s="23" t="s">
        <v>69</v>
      </c>
      <c r="B28" s="13">
        <v>2.779006E7</v>
      </c>
      <c r="C28" s="27">
        <v>1.0</v>
      </c>
      <c r="D28" s="27">
        <v>1.0</v>
      </c>
      <c r="E28" s="14"/>
      <c r="F28" s="14"/>
      <c r="G28" s="14"/>
      <c r="H28" s="14"/>
      <c r="I28" s="14">
        <v>1.0</v>
      </c>
      <c r="J28" s="14">
        <v>1.0</v>
      </c>
      <c r="K28" s="14"/>
      <c r="L28" s="14"/>
      <c r="M28" s="17"/>
      <c r="N28" s="17"/>
      <c r="O28" s="14"/>
      <c r="P28" s="19"/>
      <c r="Q28" s="19"/>
      <c r="R28" s="20">
        <f t="shared" si="1"/>
        <v>0.2666666667</v>
      </c>
      <c r="S28" s="21">
        <f t="shared" si="2"/>
        <v>2.666666667</v>
      </c>
    </row>
    <row r="29">
      <c r="A29" s="12" t="s">
        <v>70</v>
      </c>
      <c r="B29" s="13">
        <v>3.0124022E7</v>
      </c>
      <c r="C29" s="24"/>
      <c r="D29" s="14">
        <v>1.0</v>
      </c>
      <c r="E29" s="14">
        <v>1.0</v>
      </c>
      <c r="F29" s="15"/>
      <c r="G29" s="25">
        <v>1.0</v>
      </c>
      <c r="H29" s="24"/>
      <c r="I29" s="24">
        <v>1.0</v>
      </c>
      <c r="J29" s="24">
        <v>1.0</v>
      </c>
      <c r="K29" s="24">
        <v>1.0</v>
      </c>
      <c r="L29" s="14"/>
      <c r="M29" s="28">
        <v>1.0</v>
      </c>
      <c r="N29" s="17"/>
      <c r="O29" s="14"/>
      <c r="P29" s="19"/>
      <c r="Q29" s="19"/>
      <c r="R29" s="20">
        <f t="shared" si="1"/>
        <v>0.4666666667</v>
      </c>
      <c r="S29" s="21">
        <f t="shared" si="2"/>
        <v>4.666666667</v>
      </c>
    </row>
    <row r="30">
      <c r="A30" s="12" t="s">
        <v>71</v>
      </c>
      <c r="B30" s="13">
        <v>2.8317519E7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7"/>
      <c r="N30" s="17"/>
      <c r="O30" s="14"/>
      <c r="P30" s="19"/>
      <c r="Q30" s="19"/>
      <c r="R30" s="20">
        <f t="shared" si="1"/>
        <v>0</v>
      </c>
      <c r="S30" s="21">
        <f t="shared" si="2"/>
        <v>0</v>
      </c>
    </row>
    <row r="31">
      <c r="C31" s="29"/>
      <c r="D31" s="29"/>
      <c r="E31" s="29"/>
      <c r="F31" s="29"/>
      <c r="G31" s="29"/>
      <c r="H31" s="29"/>
      <c r="I31" s="29"/>
      <c r="J31" s="29"/>
      <c r="K31" s="29"/>
      <c r="L31" s="29"/>
      <c r="S31" s="5"/>
    </row>
    <row r="32">
      <c r="C32" s="29"/>
      <c r="D32" s="29"/>
      <c r="E32" s="29"/>
      <c r="F32" s="29"/>
      <c r="G32" s="29"/>
      <c r="H32" s="29"/>
      <c r="I32" s="29"/>
      <c r="J32" s="29"/>
      <c r="K32" s="29"/>
      <c r="L32" s="29"/>
      <c r="S32" s="5"/>
    </row>
    <row r="33">
      <c r="C33" s="29"/>
      <c r="D33" s="29"/>
      <c r="E33" s="29"/>
      <c r="F33" s="29"/>
      <c r="G33" s="29"/>
      <c r="H33" s="29"/>
      <c r="I33" s="29"/>
      <c r="J33" s="29"/>
      <c r="K33" s="29"/>
      <c r="L33" s="29"/>
      <c r="S33" s="5"/>
    </row>
    <row r="34">
      <c r="C34" s="29"/>
      <c r="D34" s="29"/>
      <c r="E34" s="29"/>
      <c r="F34" s="29"/>
      <c r="G34" s="29"/>
      <c r="H34" s="29"/>
      <c r="I34" s="29"/>
      <c r="J34" s="29"/>
      <c r="K34" s="29"/>
      <c r="L34" s="29"/>
      <c r="S34" s="5"/>
    </row>
    <row r="35">
      <c r="C35" s="29"/>
      <c r="D35" s="29"/>
      <c r="E35" s="29"/>
      <c r="F35" s="29"/>
      <c r="G35" s="29"/>
      <c r="H35" s="29"/>
      <c r="I35" s="29"/>
      <c r="J35" s="29"/>
      <c r="K35" s="29"/>
      <c r="L35" s="29"/>
      <c r="S35" s="5"/>
    </row>
    <row r="36">
      <c r="C36" s="29"/>
      <c r="D36" s="29"/>
      <c r="E36" s="29"/>
      <c r="F36" s="29"/>
      <c r="G36" s="29"/>
      <c r="H36" s="29"/>
      <c r="I36" s="29"/>
      <c r="J36" s="29"/>
      <c r="K36" s="29"/>
      <c r="L36" s="29"/>
      <c r="S36" s="5"/>
    </row>
    <row r="37">
      <c r="C37" s="29"/>
      <c r="D37" s="29"/>
      <c r="E37" s="29"/>
      <c r="F37" s="29"/>
      <c r="G37" s="29"/>
      <c r="H37" s="29"/>
      <c r="I37" s="29"/>
      <c r="J37" s="29"/>
      <c r="K37" s="29"/>
      <c r="L37" s="29"/>
      <c r="S37" s="5"/>
    </row>
    <row r="38">
      <c r="C38" s="29"/>
      <c r="D38" s="29"/>
      <c r="E38" s="29"/>
      <c r="F38" s="29"/>
      <c r="G38" s="29"/>
      <c r="H38" s="29"/>
      <c r="I38" s="29"/>
      <c r="J38" s="29"/>
      <c r="K38" s="29"/>
      <c r="L38" s="29"/>
      <c r="S38" s="5"/>
    </row>
    <row r="39">
      <c r="C39" s="29"/>
      <c r="D39" s="29"/>
      <c r="E39" s="29"/>
      <c r="F39" s="29"/>
      <c r="G39" s="29"/>
      <c r="H39" s="29"/>
      <c r="I39" s="29"/>
      <c r="J39" s="29"/>
      <c r="K39" s="29"/>
      <c r="L39" s="29"/>
      <c r="S39" s="5"/>
    </row>
    <row r="40">
      <c r="C40" s="29"/>
      <c r="D40" s="29"/>
      <c r="E40" s="29"/>
      <c r="F40" s="29"/>
      <c r="G40" s="29"/>
      <c r="H40" s="29"/>
      <c r="I40" s="29"/>
      <c r="J40" s="29"/>
      <c r="K40" s="29"/>
      <c r="L40" s="29"/>
      <c r="S40" s="5"/>
    </row>
    <row r="41">
      <c r="C41" s="29"/>
      <c r="D41" s="29"/>
      <c r="E41" s="29"/>
      <c r="F41" s="29"/>
      <c r="G41" s="29"/>
      <c r="H41" s="29"/>
      <c r="I41" s="29"/>
      <c r="J41" s="29"/>
      <c r="K41" s="29"/>
      <c r="L41" s="29"/>
      <c r="S41" s="5"/>
    </row>
    <row r="42">
      <c r="C42" s="29"/>
      <c r="D42" s="29"/>
      <c r="E42" s="29"/>
      <c r="F42" s="29"/>
      <c r="G42" s="29"/>
      <c r="H42" s="29"/>
      <c r="I42" s="29"/>
      <c r="J42" s="29"/>
      <c r="K42" s="29"/>
      <c r="L42" s="29"/>
      <c r="S42" s="5"/>
    </row>
    <row r="43">
      <c r="C43" s="29"/>
      <c r="D43" s="29"/>
      <c r="E43" s="29"/>
      <c r="F43" s="29"/>
      <c r="G43" s="29"/>
      <c r="H43" s="29"/>
      <c r="I43" s="29"/>
      <c r="J43" s="29"/>
      <c r="K43" s="29"/>
      <c r="L43" s="29"/>
      <c r="S43" s="5"/>
    </row>
    <row r="44">
      <c r="C44" s="29"/>
      <c r="D44" s="29"/>
      <c r="E44" s="29"/>
      <c r="F44" s="29"/>
      <c r="G44" s="29"/>
      <c r="H44" s="29"/>
      <c r="I44" s="29"/>
      <c r="J44" s="29"/>
      <c r="K44" s="29"/>
      <c r="L44" s="29"/>
      <c r="S44" s="5"/>
    </row>
    <row r="45">
      <c r="C45" s="29"/>
      <c r="D45" s="29"/>
      <c r="E45" s="29"/>
      <c r="F45" s="29"/>
      <c r="G45" s="29"/>
      <c r="H45" s="29"/>
      <c r="I45" s="29"/>
      <c r="J45" s="29"/>
      <c r="K45" s="29"/>
      <c r="L45" s="29"/>
      <c r="S45" s="5"/>
    </row>
    <row r="46">
      <c r="C46" s="29"/>
      <c r="D46" s="29"/>
      <c r="E46" s="29"/>
      <c r="F46" s="29"/>
      <c r="G46" s="29"/>
      <c r="H46" s="29"/>
      <c r="I46" s="29"/>
      <c r="J46" s="29"/>
      <c r="K46" s="29"/>
      <c r="L46" s="29"/>
      <c r="S46" s="5"/>
    </row>
    <row r="47">
      <c r="C47" s="29"/>
      <c r="D47" s="29"/>
      <c r="E47" s="29"/>
      <c r="F47" s="29"/>
      <c r="G47" s="29"/>
      <c r="H47" s="29"/>
      <c r="I47" s="29"/>
      <c r="J47" s="29"/>
      <c r="K47" s="29"/>
      <c r="L47" s="29"/>
      <c r="S47" s="5"/>
    </row>
    <row r="48">
      <c r="C48" s="29"/>
      <c r="D48" s="29"/>
      <c r="E48" s="29"/>
      <c r="F48" s="29"/>
      <c r="G48" s="29"/>
      <c r="H48" s="29"/>
      <c r="I48" s="29"/>
      <c r="J48" s="29"/>
      <c r="K48" s="29"/>
      <c r="L48" s="29"/>
      <c r="S48" s="5"/>
    </row>
    <row r="49">
      <c r="C49" s="29"/>
      <c r="D49" s="29"/>
      <c r="E49" s="29"/>
      <c r="F49" s="29"/>
      <c r="G49" s="29"/>
      <c r="H49" s="29"/>
      <c r="I49" s="29"/>
      <c r="J49" s="29"/>
      <c r="K49" s="29"/>
      <c r="L49" s="29"/>
      <c r="S49" s="5"/>
    </row>
    <row r="50">
      <c r="C50" s="29"/>
      <c r="D50" s="29"/>
      <c r="E50" s="29"/>
      <c r="F50" s="29"/>
      <c r="G50" s="29"/>
      <c r="H50" s="29"/>
      <c r="I50" s="29"/>
      <c r="J50" s="29"/>
      <c r="K50" s="29"/>
      <c r="L50" s="29"/>
      <c r="S50" s="5"/>
    </row>
    <row r="51">
      <c r="C51" s="29"/>
      <c r="D51" s="29"/>
      <c r="E51" s="29"/>
      <c r="F51" s="29"/>
      <c r="G51" s="29"/>
      <c r="H51" s="29"/>
      <c r="I51" s="29"/>
      <c r="J51" s="29"/>
      <c r="K51" s="29"/>
      <c r="L51" s="29"/>
      <c r="S51" s="5"/>
    </row>
    <row r="52">
      <c r="C52" s="29"/>
      <c r="D52" s="29"/>
      <c r="E52" s="29"/>
      <c r="F52" s="29"/>
      <c r="G52" s="29"/>
      <c r="H52" s="29"/>
      <c r="I52" s="29"/>
      <c r="J52" s="29"/>
      <c r="K52" s="29"/>
      <c r="L52" s="29"/>
      <c r="S52" s="5"/>
    </row>
    <row r="53">
      <c r="C53" s="29"/>
      <c r="D53" s="29"/>
      <c r="E53" s="29"/>
      <c r="F53" s="29"/>
      <c r="G53" s="29"/>
      <c r="H53" s="29"/>
      <c r="I53" s="29"/>
      <c r="J53" s="29"/>
      <c r="K53" s="29"/>
      <c r="L53" s="29"/>
      <c r="S53" s="5"/>
    </row>
    <row r="54">
      <c r="C54" s="29"/>
      <c r="D54" s="29"/>
      <c r="E54" s="29"/>
      <c r="F54" s="29"/>
      <c r="G54" s="29"/>
      <c r="H54" s="29"/>
      <c r="I54" s="29"/>
      <c r="J54" s="29"/>
      <c r="K54" s="29"/>
      <c r="L54" s="29"/>
      <c r="S54" s="5"/>
    </row>
    <row r="55">
      <c r="C55" s="29"/>
      <c r="D55" s="29"/>
      <c r="E55" s="29"/>
      <c r="F55" s="29"/>
      <c r="G55" s="29"/>
      <c r="H55" s="29"/>
      <c r="I55" s="29"/>
      <c r="J55" s="29"/>
      <c r="K55" s="29"/>
      <c r="L55" s="29"/>
      <c r="S55" s="5"/>
    </row>
    <row r="56">
      <c r="C56" s="29"/>
      <c r="D56" s="29"/>
      <c r="E56" s="29"/>
      <c r="F56" s="29"/>
      <c r="G56" s="29"/>
      <c r="H56" s="29"/>
      <c r="I56" s="29"/>
      <c r="J56" s="29"/>
      <c r="K56" s="29"/>
      <c r="L56" s="29"/>
      <c r="S56" s="5"/>
    </row>
    <row r="57">
      <c r="C57" s="29"/>
      <c r="D57" s="29"/>
      <c r="E57" s="29"/>
      <c r="F57" s="29"/>
      <c r="G57" s="29"/>
      <c r="H57" s="29"/>
      <c r="I57" s="29"/>
      <c r="J57" s="29"/>
      <c r="K57" s="29"/>
      <c r="L57" s="29"/>
      <c r="S57" s="5"/>
    </row>
    <row r="58">
      <c r="C58" s="29"/>
      <c r="D58" s="29"/>
      <c r="E58" s="29"/>
      <c r="F58" s="29"/>
      <c r="G58" s="29"/>
      <c r="H58" s="29"/>
      <c r="I58" s="29"/>
      <c r="J58" s="29"/>
      <c r="K58" s="29"/>
      <c r="L58" s="29"/>
      <c r="S58" s="5"/>
    </row>
    <row r="59">
      <c r="C59" s="29"/>
      <c r="D59" s="29"/>
      <c r="E59" s="29"/>
      <c r="F59" s="29"/>
      <c r="G59" s="29"/>
      <c r="H59" s="29"/>
      <c r="I59" s="29"/>
      <c r="J59" s="29"/>
      <c r="K59" s="29"/>
      <c r="L59" s="29"/>
      <c r="S59" s="5"/>
    </row>
    <row r="60">
      <c r="C60" s="29"/>
      <c r="D60" s="29"/>
      <c r="E60" s="29"/>
      <c r="F60" s="29"/>
      <c r="G60" s="29"/>
      <c r="H60" s="29"/>
      <c r="I60" s="29"/>
      <c r="J60" s="29"/>
      <c r="K60" s="29"/>
      <c r="L60" s="29"/>
      <c r="S60" s="5"/>
    </row>
    <row r="61">
      <c r="C61" s="29"/>
      <c r="D61" s="29"/>
      <c r="E61" s="29"/>
      <c r="F61" s="29"/>
      <c r="G61" s="29"/>
      <c r="H61" s="29"/>
      <c r="I61" s="29"/>
      <c r="J61" s="29"/>
      <c r="K61" s="29"/>
      <c r="L61" s="29"/>
      <c r="S61" s="5"/>
    </row>
    <row r="62">
      <c r="C62" s="29"/>
      <c r="D62" s="29"/>
      <c r="E62" s="29"/>
      <c r="F62" s="29"/>
      <c r="G62" s="29"/>
      <c r="H62" s="29"/>
      <c r="I62" s="29"/>
      <c r="J62" s="29"/>
      <c r="K62" s="29"/>
      <c r="L62" s="29"/>
      <c r="S62" s="5"/>
    </row>
    <row r="63">
      <c r="C63" s="29"/>
      <c r="D63" s="29"/>
      <c r="E63" s="29"/>
      <c r="F63" s="29"/>
      <c r="G63" s="29"/>
      <c r="H63" s="29"/>
      <c r="I63" s="29"/>
      <c r="J63" s="29"/>
      <c r="K63" s="29"/>
      <c r="L63" s="29"/>
      <c r="S63" s="5"/>
    </row>
    <row r="64">
      <c r="C64" s="29"/>
      <c r="D64" s="29"/>
      <c r="E64" s="29"/>
      <c r="F64" s="29"/>
      <c r="G64" s="29"/>
      <c r="H64" s="29"/>
      <c r="I64" s="29"/>
      <c r="J64" s="29"/>
      <c r="K64" s="29"/>
      <c r="L64" s="29"/>
      <c r="S64" s="5"/>
    </row>
    <row r="65">
      <c r="C65" s="29"/>
      <c r="D65" s="29"/>
      <c r="E65" s="29"/>
      <c r="F65" s="29"/>
      <c r="G65" s="29"/>
      <c r="H65" s="29"/>
      <c r="I65" s="29"/>
      <c r="J65" s="29"/>
      <c r="K65" s="29"/>
      <c r="L65" s="29"/>
      <c r="S65" s="5"/>
    </row>
    <row r="66">
      <c r="C66" s="29"/>
      <c r="D66" s="29"/>
      <c r="E66" s="29"/>
      <c r="F66" s="29"/>
      <c r="G66" s="29"/>
      <c r="H66" s="29"/>
      <c r="I66" s="29"/>
      <c r="J66" s="29"/>
      <c r="K66" s="29"/>
      <c r="L66" s="29"/>
      <c r="S66" s="5"/>
    </row>
    <row r="67">
      <c r="C67" s="29"/>
      <c r="D67" s="29"/>
      <c r="E67" s="29"/>
      <c r="F67" s="29"/>
      <c r="G67" s="29"/>
      <c r="H67" s="29"/>
      <c r="I67" s="29"/>
      <c r="J67" s="29"/>
      <c r="K67" s="29"/>
      <c r="L67" s="29"/>
      <c r="S67" s="5"/>
    </row>
    <row r="68">
      <c r="C68" s="29"/>
      <c r="D68" s="29"/>
      <c r="E68" s="29"/>
      <c r="F68" s="29"/>
      <c r="G68" s="29"/>
      <c r="H68" s="29"/>
      <c r="I68" s="29"/>
      <c r="J68" s="29"/>
      <c r="K68" s="29"/>
      <c r="L68" s="29"/>
      <c r="S68" s="5"/>
    </row>
    <row r="69">
      <c r="C69" s="29"/>
      <c r="D69" s="29"/>
      <c r="E69" s="29"/>
      <c r="F69" s="29"/>
      <c r="G69" s="29"/>
      <c r="H69" s="29"/>
      <c r="I69" s="29"/>
      <c r="J69" s="29"/>
      <c r="K69" s="29"/>
      <c r="L69" s="29"/>
      <c r="S69" s="5"/>
    </row>
    <row r="70">
      <c r="C70" s="29"/>
      <c r="D70" s="29"/>
      <c r="E70" s="29"/>
      <c r="F70" s="29"/>
      <c r="G70" s="29"/>
      <c r="H70" s="29"/>
      <c r="I70" s="29"/>
      <c r="J70" s="29"/>
      <c r="K70" s="29"/>
      <c r="L70" s="29"/>
      <c r="S70" s="5"/>
    </row>
    <row r="71">
      <c r="C71" s="29"/>
      <c r="D71" s="29"/>
      <c r="E71" s="29"/>
      <c r="F71" s="29"/>
      <c r="G71" s="29"/>
      <c r="H71" s="29"/>
      <c r="I71" s="29"/>
      <c r="J71" s="29"/>
      <c r="K71" s="29"/>
      <c r="L71" s="29"/>
      <c r="S71" s="5"/>
    </row>
    <row r="72">
      <c r="C72" s="29"/>
      <c r="D72" s="29"/>
      <c r="E72" s="29"/>
      <c r="F72" s="29"/>
      <c r="G72" s="29"/>
      <c r="H72" s="29"/>
      <c r="I72" s="29"/>
      <c r="J72" s="29"/>
      <c r="K72" s="29"/>
      <c r="L72" s="29"/>
      <c r="S72" s="5"/>
    </row>
    <row r="73">
      <c r="C73" s="29"/>
      <c r="D73" s="29"/>
      <c r="E73" s="29"/>
      <c r="F73" s="29"/>
      <c r="G73" s="29"/>
      <c r="H73" s="29"/>
      <c r="I73" s="29"/>
      <c r="J73" s="29"/>
      <c r="K73" s="29"/>
      <c r="L73" s="29"/>
      <c r="S73" s="5"/>
    </row>
    <row r="74">
      <c r="C74" s="29"/>
      <c r="D74" s="29"/>
      <c r="E74" s="29"/>
      <c r="F74" s="29"/>
      <c r="G74" s="29"/>
      <c r="H74" s="29"/>
      <c r="I74" s="29"/>
      <c r="J74" s="29"/>
      <c r="K74" s="29"/>
      <c r="L74" s="29"/>
      <c r="S74" s="5"/>
    </row>
    <row r="75">
      <c r="C75" s="29"/>
      <c r="D75" s="29"/>
      <c r="E75" s="29"/>
      <c r="F75" s="29"/>
      <c r="G75" s="29"/>
      <c r="H75" s="29"/>
      <c r="I75" s="29"/>
      <c r="J75" s="29"/>
      <c r="K75" s="29"/>
      <c r="L75" s="29"/>
      <c r="S75" s="5"/>
    </row>
    <row r="76">
      <c r="C76" s="29"/>
      <c r="D76" s="29"/>
      <c r="E76" s="29"/>
      <c r="F76" s="29"/>
      <c r="G76" s="29"/>
      <c r="H76" s="29"/>
      <c r="I76" s="29"/>
      <c r="J76" s="29"/>
      <c r="K76" s="29"/>
      <c r="L76" s="29"/>
      <c r="S76" s="5"/>
    </row>
    <row r="77">
      <c r="C77" s="29"/>
      <c r="D77" s="29"/>
      <c r="E77" s="29"/>
      <c r="F77" s="29"/>
      <c r="G77" s="29"/>
      <c r="H77" s="29"/>
      <c r="I77" s="29"/>
      <c r="J77" s="29"/>
      <c r="K77" s="29"/>
      <c r="L77" s="29"/>
      <c r="S77" s="5"/>
    </row>
    <row r="78">
      <c r="C78" s="29"/>
      <c r="D78" s="29"/>
      <c r="E78" s="29"/>
      <c r="F78" s="29"/>
      <c r="G78" s="29"/>
      <c r="H78" s="29"/>
      <c r="I78" s="29"/>
      <c r="J78" s="29"/>
      <c r="K78" s="29"/>
      <c r="L78" s="29"/>
      <c r="S78" s="5"/>
    </row>
    <row r="79">
      <c r="C79" s="29"/>
      <c r="D79" s="29"/>
      <c r="E79" s="29"/>
      <c r="F79" s="29"/>
      <c r="G79" s="29"/>
      <c r="H79" s="29"/>
      <c r="I79" s="29"/>
      <c r="J79" s="29"/>
      <c r="K79" s="29"/>
      <c r="L79" s="29"/>
      <c r="S79" s="5"/>
    </row>
    <row r="80">
      <c r="C80" s="29"/>
      <c r="D80" s="29"/>
      <c r="E80" s="29"/>
      <c r="F80" s="29"/>
      <c r="G80" s="29"/>
      <c r="H80" s="29"/>
      <c r="I80" s="29"/>
      <c r="J80" s="29"/>
      <c r="K80" s="29"/>
      <c r="L80" s="29"/>
      <c r="S80" s="5"/>
    </row>
    <row r="81">
      <c r="C81" s="29"/>
      <c r="D81" s="29"/>
      <c r="E81" s="29"/>
      <c r="F81" s="29"/>
      <c r="G81" s="29"/>
      <c r="H81" s="29"/>
      <c r="I81" s="29"/>
      <c r="J81" s="29"/>
      <c r="K81" s="29"/>
      <c r="L81" s="29"/>
      <c r="S81" s="5"/>
    </row>
    <row r="82">
      <c r="C82" s="29"/>
      <c r="D82" s="29"/>
      <c r="E82" s="29"/>
      <c r="F82" s="29"/>
      <c r="G82" s="29"/>
      <c r="H82" s="29"/>
      <c r="I82" s="29"/>
      <c r="J82" s="29"/>
      <c r="K82" s="29"/>
      <c r="L82" s="29"/>
      <c r="S82" s="5"/>
    </row>
    <row r="83">
      <c r="C83" s="29"/>
      <c r="D83" s="29"/>
      <c r="E83" s="29"/>
      <c r="F83" s="29"/>
      <c r="G83" s="29"/>
      <c r="H83" s="29"/>
      <c r="I83" s="29"/>
      <c r="J83" s="29"/>
      <c r="K83" s="29"/>
      <c r="L83" s="29"/>
      <c r="S83" s="5"/>
    </row>
    <row r="84">
      <c r="C84" s="29"/>
      <c r="D84" s="29"/>
      <c r="E84" s="29"/>
      <c r="F84" s="29"/>
      <c r="G84" s="29"/>
      <c r="H84" s="29"/>
      <c r="I84" s="29"/>
      <c r="J84" s="29"/>
      <c r="K84" s="29"/>
      <c r="L84" s="29"/>
      <c r="S84" s="5"/>
    </row>
    <row r="85">
      <c r="C85" s="29"/>
      <c r="D85" s="29"/>
      <c r="E85" s="29"/>
      <c r="F85" s="29"/>
      <c r="G85" s="29"/>
      <c r="H85" s="29"/>
      <c r="I85" s="29"/>
      <c r="J85" s="29"/>
      <c r="K85" s="29"/>
      <c r="L85" s="29"/>
      <c r="S85" s="5"/>
    </row>
    <row r="86">
      <c r="C86" s="29"/>
      <c r="D86" s="29"/>
      <c r="E86" s="29"/>
      <c r="F86" s="29"/>
      <c r="G86" s="29"/>
      <c r="H86" s="29"/>
      <c r="I86" s="29"/>
      <c r="J86" s="29"/>
      <c r="K86" s="29"/>
      <c r="L86" s="29"/>
      <c r="S86" s="5"/>
    </row>
    <row r="87">
      <c r="C87" s="29"/>
      <c r="D87" s="29"/>
      <c r="E87" s="29"/>
      <c r="F87" s="29"/>
      <c r="G87" s="29"/>
      <c r="H87" s="29"/>
      <c r="I87" s="29"/>
      <c r="J87" s="29"/>
      <c r="K87" s="29"/>
      <c r="L87" s="29"/>
      <c r="S87" s="5"/>
    </row>
    <row r="88">
      <c r="C88" s="29"/>
      <c r="D88" s="29"/>
      <c r="E88" s="29"/>
      <c r="F88" s="29"/>
      <c r="G88" s="29"/>
      <c r="H88" s="29"/>
      <c r="I88" s="29"/>
      <c r="J88" s="29"/>
      <c r="K88" s="29"/>
      <c r="L88" s="29"/>
      <c r="S88" s="5"/>
    </row>
    <row r="89">
      <c r="C89" s="29"/>
      <c r="D89" s="29"/>
      <c r="E89" s="29"/>
      <c r="F89" s="29"/>
      <c r="G89" s="29"/>
      <c r="H89" s="29"/>
      <c r="I89" s="29"/>
      <c r="J89" s="29"/>
      <c r="K89" s="29"/>
      <c r="L89" s="29"/>
      <c r="S89" s="5"/>
    </row>
    <row r="90">
      <c r="C90" s="29"/>
      <c r="D90" s="29"/>
      <c r="E90" s="29"/>
      <c r="F90" s="29"/>
      <c r="G90" s="29"/>
      <c r="H90" s="29"/>
      <c r="I90" s="29"/>
      <c r="J90" s="29"/>
      <c r="K90" s="29"/>
      <c r="L90" s="29"/>
      <c r="S90" s="5"/>
    </row>
    <row r="91">
      <c r="C91" s="29"/>
      <c r="D91" s="29"/>
      <c r="E91" s="29"/>
      <c r="F91" s="29"/>
      <c r="G91" s="29"/>
      <c r="H91" s="29"/>
      <c r="I91" s="29"/>
      <c r="J91" s="29"/>
      <c r="K91" s="29"/>
      <c r="L91" s="29"/>
      <c r="S91" s="5"/>
    </row>
    <row r="92">
      <c r="C92" s="29"/>
      <c r="D92" s="29"/>
      <c r="E92" s="29"/>
      <c r="F92" s="29"/>
      <c r="G92" s="29"/>
      <c r="H92" s="29"/>
      <c r="I92" s="29"/>
      <c r="J92" s="29"/>
      <c r="K92" s="29"/>
      <c r="L92" s="29"/>
      <c r="S92" s="5"/>
    </row>
    <row r="93">
      <c r="C93" s="29"/>
      <c r="D93" s="29"/>
      <c r="E93" s="29"/>
      <c r="F93" s="29"/>
      <c r="G93" s="29"/>
      <c r="H93" s="29"/>
      <c r="I93" s="29"/>
      <c r="J93" s="29"/>
      <c r="K93" s="29"/>
      <c r="L93" s="29"/>
      <c r="S93" s="5"/>
    </row>
    <row r="94">
      <c r="C94" s="29"/>
      <c r="D94" s="29"/>
      <c r="E94" s="29"/>
      <c r="F94" s="29"/>
      <c r="G94" s="29"/>
      <c r="H94" s="29"/>
      <c r="I94" s="29"/>
      <c r="J94" s="29"/>
      <c r="K94" s="29"/>
      <c r="L94" s="29"/>
      <c r="S94" s="5"/>
    </row>
    <row r="95">
      <c r="C95" s="29"/>
      <c r="D95" s="29"/>
      <c r="E95" s="29"/>
      <c r="F95" s="29"/>
      <c r="G95" s="29"/>
      <c r="H95" s="29"/>
      <c r="I95" s="29"/>
      <c r="J95" s="29"/>
      <c r="K95" s="29"/>
      <c r="L95" s="29"/>
      <c r="S95" s="5"/>
    </row>
    <row r="96">
      <c r="C96" s="29"/>
      <c r="D96" s="29"/>
      <c r="E96" s="29"/>
      <c r="F96" s="29"/>
      <c r="G96" s="29"/>
      <c r="H96" s="29"/>
      <c r="I96" s="29"/>
      <c r="J96" s="29"/>
      <c r="K96" s="29"/>
      <c r="L96" s="29"/>
      <c r="S96" s="5"/>
    </row>
    <row r="97">
      <c r="C97" s="29"/>
      <c r="D97" s="29"/>
      <c r="E97" s="29"/>
      <c r="F97" s="29"/>
      <c r="G97" s="29"/>
      <c r="H97" s="29"/>
      <c r="I97" s="29"/>
      <c r="J97" s="29"/>
      <c r="K97" s="29"/>
      <c r="L97" s="29"/>
      <c r="S97" s="5"/>
    </row>
    <row r="98">
      <c r="C98" s="29"/>
      <c r="D98" s="29"/>
      <c r="E98" s="29"/>
      <c r="F98" s="29"/>
      <c r="G98" s="29"/>
      <c r="H98" s="29"/>
      <c r="I98" s="29"/>
      <c r="J98" s="29"/>
      <c r="K98" s="29"/>
      <c r="L98" s="29"/>
      <c r="S98" s="5"/>
    </row>
    <row r="99">
      <c r="C99" s="29"/>
      <c r="D99" s="29"/>
      <c r="E99" s="29"/>
      <c r="F99" s="29"/>
      <c r="G99" s="29"/>
      <c r="H99" s="29"/>
      <c r="I99" s="29"/>
      <c r="J99" s="29"/>
      <c r="K99" s="29"/>
      <c r="L99" s="29"/>
      <c r="S99" s="5"/>
    </row>
    <row r="100"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S100" s="5"/>
    </row>
    <row r="101"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S101" s="5"/>
    </row>
    <row r="102"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S102" s="5"/>
    </row>
    <row r="103"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S103" s="5"/>
    </row>
    <row r="104"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S104" s="5"/>
    </row>
    <row r="105"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S105" s="5"/>
    </row>
    <row r="106"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S106" s="5"/>
    </row>
    <row r="107"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S107" s="5"/>
    </row>
    <row r="108"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S108" s="5"/>
    </row>
    <row r="109"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S109" s="5"/>
    </row>
    <row r="110"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S110" s="5"/>
    </row>
    <row r="111"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S111" s="5"/>
    </row>
    <row r="112"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S112" s="5"/>
    </row>
    <row r="113"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S113" s="5"/>
    </row>
    <row r="114"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S114" s="5"/>
    </row>
    <row r="115"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S115" s="5"/>
    </row>
    <row r="116"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S116" s="5"/>
    </row>
    <row r="117"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S117" s="5"/>
    </row>
    <row r="118"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S118" s="5"/>
    </row>
    <row r="119"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S119" s="5"/>
    </row>
    <row r="120"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S120" s="5"/>
    </row>
    <row r="121"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S121" s="5"/>
    </row>
    <row r="122"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S122" s="5"/>
    </row>
    <row r="123"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S123" s="5"/>
    </row>
    <row r="124"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S124" s="5"/>
    </row>
    <row r="125"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S125" s="5"/>
    </row>
    <row r="126"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S126" s="5"/>
    </row>
    <row r="127"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S127" s="5"/>
    </row>
    <row r="128"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S128" s="5"/>
    </row>
    <row r="129"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S129" s="5"/>
    </row>
    <row r="130"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S130" s="5"/>
    </row>
    <row r="131"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S131" s="5"/>
    </row>
    <row r="132"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S132" s="5"/>
    </row>
    <row r="133"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S133" s="5"/>
    </row>
    <row r="134"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S134" s="5"/>
    </row>
    <row r="135"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S135" s="5"/>
    </row>
    <row r="136"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S136" s="5"/>
    </row>
    <row r="137"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S137" s="5"/>
    </row>
    <row r="138"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S138" s="5"/>
    </row>
    <row r="139"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S139" s="5"/>
    </row>
    <row r="140"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S140" s="5"/>
    </row>
    <row r="141"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S141" s="5"/>
    </row>
    <row r="142"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S142" s="5"/>
    </row>
    <row r="143"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S143" s="5"/>
    </row>
    <row r="144"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S144" s="5"/>
    </row>
    <row r="145"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S145" s="5"/>
    </row>
    <row r="146"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S146" s="5"/>
    </row>
    <row r="147"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S147" s="5"/>
    </row>
    <row r="148"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S148" s="5"/>
    </row>
    <row r="149"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S149" s="5"/>
    </row>
    <row r="150"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S150" s="5"/>
    </row>
    <row r="151"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S151" s="5"/>
    </row>
    <row r="152"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S152" s="5"/>
    </row>
    <row r="153"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S153" s="5"/>
    </row>
    <row r="154"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S154" s="5"/>
    </row>
    <row r="155"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S155" s="5"/>
    </row>
    <row r="156"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S156" s="5"/>
    </row>
    <row r="157"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S157" s="5"/>
    </row>
    <row r="158"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S158" s="5"/>
    </row>
    <row r="159"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S159" s="5"/>
    </row>
    <row r="160"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S160" s="5"/>
    </row>
    <row r="161"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S161" s="5"/>
    </row>
    <row r="162"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S162" s="5"/>
    </row>
    <row r="163"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S163" s="5"/>
    </row>
    <row r="164"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S164" s="5"/>
    </row>
    <row r="165"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S165" s="5"/>
    </row>
    <row r="166"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S166" s="5"/>
    </row>
    <row r="167"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S167" s="5"/>
    </row>
    <row r="168"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S168" s="5"/>
    </row>
    <row r="169"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S169" s="5"/>
    </row>
    <row r="170"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S170" s="5"/>
    </row>
    <row r="171"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S171" s="5"/>
    </row>
    <row r="172"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S172" s="5"/>
    </row>
    <row r="173"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S173" s="5"/>
    </row>
    <row r="174"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S174" s="5"/>
    </row>
    <row r="175"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S175" s="5"/>
    </row>
    <row r="176"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S176" s="5"/>
    </row>
    <row r="177"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S177" s="5"/>
    </row>
    <row r="178"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S178" s="5"/>
    </row>
    <row r="179"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S179" s="5"/>
    </row>
    <row r="180"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S180" s="5"/>
    </row>
    <row r="181"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S181" s="5"/>
    </row>
    <row r="182"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S182" s="5"/>
    </row>
    <row r="183"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S183" s="5"/>
    </row>
    <row r="184"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S184" s="5"/>
    </row>
    <row r="185"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S185" s="5"/>
    </row>
    <row r="186"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S186" s="5"/>
    </row>
    <row r="187"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S187" s="5"/>
    </row>
    <row r="188"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S188" s="5"/>
    </row>
    <row r="189"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S189" s="5"/>
    </row>
    <row r="190"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S190" s="5"/>
    </row>
    <row r="191"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S191" s="5"/>
    </row>
    <row r="192"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S192" s="5"/>
    </row>
    <row r="193"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S193" s="5"/>
    </row>
    <row r="194"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S194" s="5"/>
    </row>
    <row r="195"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S195" s="5"/>
    </row>
    <row r="196"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S196" s="5"/>
    </row>
    <row r="197"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S197" s="5"/>
    </row>
    <row r="198"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S198" s="5"/>
    </row>
    <row r="199"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S199" s="5"/>
    </row>
    <row r="200"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S200" s="5"/>
    </row>
    <row r="201"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S201" s="5"/>
    </row>
    <row r="202"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S202" s="5"/>
    </row>
    <row r="203"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S203" s="5"/>
    </row>
    <row r="204"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S204" s="5"/>
    </row>
    <row r="205"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S205" s="5"/>
    </row>
    <row r="206"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S206" s="5"/>
    </row>
    <row r="207"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S207" s="5"/>
    </row>
    <row r="208"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S208" s="5"/>
    </row>
    <row r="209"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S209" s="5"/>
    </row>
    <row r="210"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S210" s="5"/>
    </row>
    <row r="211"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S211" s="5"/>
    </row>
    <row r="212"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S212" s="5"/>
    </row>
    <row r="213"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S213" s="5"/>
    </row>
    <row r="214"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S214" s="5"/>
    </row>
    <row r="215"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S215" s="5"/>
    </row>
    <row r="216"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S216" s="5"/>
    </row>
    <row r="217"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S217" s="5"/>
    </row>
    <row r="218"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S218" s="5"/>
    </row>
    <row r="219"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S219" s="5"/>
    </row>
    <row r="220"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S220" s="5"/>
    </row>
    <row r="221"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S221" s="5"/>
    </row>
    <row r="222"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S222" s="5"/>
    </row>
    <row r="223"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S223" s="5"/>
    </row>
    <row r="224"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S224" s="5"/>
    </row>
    <row r="225"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S225" s="5"/>
    </row>
    <row r="226"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S226" s="5"/>
    </row>
    <row r="227"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S227" s="5"/>
    </row>
    <row r="228"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S228" s="5"/>
    </row>
    <row r="229"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S229" s="5"/>
    </row>
    <row r="230"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S230" s="5"/>
    </row>
    <row r="231"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S231" s="5"/>
    </row>
    <row r="232"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S232" s="5"/>
    </row>
    <row r="233"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S233" s="5"/>
    </row>
    <row r="234"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S234" s="5"/>
    </row>
    <row r="235"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S235" s="5"/>
    </row>
    <row r="236"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S236" s="5"/>
    </row>
    <row r="237"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S237" s="5"/>
    </row>
    <row r="238"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S238" s="5"/>
    </row>
    <row r="239"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S239" s="5"/>
    </row>
    <row r="240"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S240" s="5"/>
    </row>
    <row r="241"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S241" s="5"/>
    </row>
    <row r="242"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S242" s="5"/>
    </row>
    <row r="243"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S243" s="5"/>
    </row>
    <row r="244"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S244" s="5"/>
    </row>
    <row r="245"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S245" s="5"/>
    </row>
    <row r="246"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S246" s="5"/>
    </row>
    <row r="247"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S247" s="5"/>
    </row>
    <row r="248"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S248" s="5"/>
    </row>
    <row r="249"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S249" s="5"/>
    </row>
    <row r="250"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S250" s="5"/>
    </row>
    <row r="251"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S251" s="5"/>
    </row>
    <row r="252"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S252" s="5"/>
    </row>
    <row r="253"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S253" s="5"/>
    </row>
    <row r="254"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S254" s="5"/>
    </row>
    <row r="255"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S255" s="5"/>
    </row>
    <row r="256"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S256" s="5"/>
    </row>
    <row r="257"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S257" s="5"/>
    </row>
    <row r="258"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S258" s="5"/>
    </row>
    <row r="259"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S259" s="5"/>
    </row>
    <row r="260"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S260" s="5"/>
    </row>
    <row r="261"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S261" s="5"/>
    </row>
    <row r="262"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S262" s="5"/>
    </row>
    <row r="263"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S263" s="5"/>
    </row>
    <row r="264"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S264" s="5"/>
    </row>
    <row r="265"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S265" s="5"/>
    </row>
    <row r="266"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S266" s="5"/>
    </row>
    <row r="267"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S267" s="5"/>
    </row>
    <row r="268"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S268" s="5"/>
    </row>
    <row r="269"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S269" s="5"/>
    </row>
    <row r="270"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S270" s="5"/>
    </row>
    <row r="271"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S271" s="5"/>
    </row>
    <row r="272"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S272" s="5"/>
    </row>
    <row r="273"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S273" s="5"/>
    </row>
    <row r="274"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S274" s="5"/>
    </row>
    <row r="275"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S275" s="5"/>
    </row>
    <row r="276"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S276" s="5"/>
    </row>
    <row r="277"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S277" s="5"/>
    </row>
    <row r="278"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S278" s="5"/>
    </row>
    <row r="279"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S279" s="5"/>
    </row>
    <row r="280"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S280" s="5"/>
    </row>
    <row r="281"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S281" s="5"/>
    </row>
    <row r="282"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S282" s="5"/>
    </row>
    <row r="283"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S283" s="5"/>
    </row>
    <row r="284"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S284" s="5"/>
    </row>
    <row r="285"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S285" s="5"/>
    </row>
    <row r="286"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S286" s="5"/>
    </row>
    <row r="287"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S287" s="5"/>
    </row>
    <row r="288"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S288" s="5"/>
    </row>
    <row r="289"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S289" s="5"/>
    </row>
    <row r="290"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S290" s="5"/>
    </row>
    <row r="291"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S291" s="5"/>
    </row>
    <row r="292"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S292" s="5"/>
    </row>
    <row r="293"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S293" s="5"/>
    </row>
    <row r="294"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S294" s="5"/>
    </row>
    <row r="295"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S295" s="5"/>
    </row>
    <row r="296"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S296" s="5"/>
    </row>
    <row r="297"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S297" s="5"/>
    </row>
    <row r="298"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S298" s="5"/>
    </row>
    <row r="299"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S299" s="5"/>
    </row>
    <row r="300"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S300" s="5"/>
    </row>
    <row r="301"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S301" s="5"/>
    </row>
    <row r="302"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S302" s="5"/>
    </row>
    <row r="303"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S303" s="5"/>
    </row>
    <row r="304"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S304" s="5"/>
    </row>
    <row r="305"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S305" s="5"/>
    </row>
    <row r="306"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S306" s="5"/>
    </row>
    <row r="307"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S307" s="5"/>
    </row>
    <row r="308"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S308" s="5"/>
    </row>
    <row r="309"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S309" s="5"/>
    </row>
    <row r="310"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S310" s="5"/>
    </row>
    <row r="311"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S311" s="5"/>
    </row>
    <row r="312"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S312" s="5"/>
    </row>
    <row r="313"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S313" s="5"/>
    </row>
    <row r="314"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S314" s="5"/>
    </row>
    <row r="315"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S315" s="5"/>
    </row>
    <row r="316"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S316" s="5"/>
    </row>
    <row r="317"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S317" s="5"/>
    </row>
    <row r="318"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S318" s="5"/>
    </row>
    <row r="319"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S319" s="5"/>
    </row>
    <row r="320"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S320" s="5"/>
    </row>
    <row r="321"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S321" s="5"/>
    </row>
    <row r="322"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S322" s="5"/>
    </row>
    <row r="323"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S323" s="5"/>
    </row>
    <row r="324"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S324" s="5"/>
    </row>
    <row r="325"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S325" s="5"/>
    </row>
    <row r="326"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S326" s="5"/>
    </row>
    <row r="327"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S327" s="5"/>
    </row>
    <row r="328"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S328" s="5"/>
    </row>
    <row r="329"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S329" s="5"/>
    </row>
    <row r="330"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S330" s="5"/>
    </row>
    <row r="331"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S331" s="5"/>
    </row>
    <row r="332"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S332" s="5"/>
    </row>
    <row r="333"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S333" s="5"/>
    </row>
    <row r="334"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S334" s="5"/>
    </row>
    <row r="335"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S335" s="5"/>
    </row>
    <row r="336"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S336" s="5"/>
    </row>
    <row r="337"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S337" s="5"/>
    </row>
    <row r="338"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S338" s="5"/>
    </row>
    <row r="339"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S339" s="5"/>
    </row>
    <row r="340"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S340" s="5"/>
    </row>
    <row r="341"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S341" s="5"/>
    </row>
    <row r="342"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S342" s="5"/>
    </row>
    <row r="343"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S343" s="5"/>
    </row>
    <row r="344"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S344" s="5"/>
    </row>
    <row r="345"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S345" s="5"/>
    </row>
    <row r="346"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S346" s="5"/>
    </row>
    <row r="347"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S347" s="5"/>
    </row>
    <row r="348"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S348" s="5"/>
    </row>
    <row r="349"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S349" s="5"/>
    </row>
    <row r="350"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S350" s="5"/>
    </row>
    <row r="351"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S351" s="5"/>
    </row>
    <row r="352"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S352" s="5"/>
    </row>
    <row r="353"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S353" s="5"/>
    </row>
    <row r="354"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S354" s="5"/>
    </row>
    <row r="355"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S355" s="5"/>
    </row>
    <row r="356"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S356" s="5"/>
    </row>
    <row r="357"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S357" s="5"/>
    </row>
    <row r="358"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S358" s="5"/>
    </row>
    <row r="359"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S359" s="5"/>
    </row>
    <row r="360"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S360" s="5"/>
    </row>
    <row r="361"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S361" s="5"/>
    </row>
    <row r="362"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S362" s="5"/>
    </row>
    <row r="363"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S363" s="5"/>
    </row>
    <row r="364"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S364" s="5"/>
    </row>
    <row r="365"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S365" s="5"/>
    </row>
    <row r="366"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S366" s="5"/>
    </row>
    <row r="367"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S367" s="5"/>
    </row>
    <row r="368"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S368" s="5"/>
    </row>
    <row r="369"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S369" s="5"/>
    </row>
    <row r="370"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S370" s="5"/>
    </row>
    <row r="371"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S371" s="5"/>
    </row>
    <row r="372"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S372" s="5"/>
    </row>
    <row r="373"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S373" s="5"/>
    </row>
    <row r="374"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S374" s="5"/>
    </row>
    <row r="375"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S375" s="5"/>
    </row>
    <row r="376"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S376" s="5"/>
    </row>
    <row r="377"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S377" s="5"/>
    </row>
    <row r="378"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S378" s="5"/>
    </row>
    <row r="379"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S379" s="5"/>
    </row>
    <row r="380"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S380" s="5"/>
    </row>
    <row r="381"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S381" s="5"/>
    </row>
    <row r="382"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S382" s="5"/>
    </row>
    <row r="383"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S383" s="5"/>
    </row>
    <row r="384"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S384" s="5"/>
    </row>
    <row r="385"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S385" s="5"/>
    </row>
    <row r="386"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S386" s="5"/>
    </row>
    <row r="387"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S387" s="5"/>
    </row>
    <row r="388"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S388" s="5"/>
    </row>
    <row r="389"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S389" s="5"/>
    </row>
    <row r="390"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S390" s="5"/>
    </row>
    <row r="391"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S391" s="5"/>
    </row>
    <row r="392"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S392" s="5"/>
    </row>
    <row r="393"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S393" s="5"/>
    </row>
    <row r="394"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S394" s="5"/>
    </row>
    <row r="395"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S395" s="5"/>
    </row>
    <row r="396"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S396" s="5"/>
    </row>
    <row r="397"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S397" s="5"/>
    </row>
    <row r="398"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S398" s="5"/>
    </row>
    <row r="399"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S399" s="5"/>
    </row>
    <row r="400"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S400" s="5"/>
    </row>
    <row r="401"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S401" s="5"/>
    </row>
    <row r="402"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S402" s="5"/>
    </row>
    <row r="403"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S403" s="5"/>
    </row>
    <row r="404"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S404" s="5"/>
    </row>
    <row r="405"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S405" s="5"/>
    </row>
    <row r="406"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S406" s="5"/>
    </row>
    <row r="407"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S407" s="5"/>
    </row>
    <row r="408"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S408" s="5"/>
    </row>
    <row r="409"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S409" s="5"/>
    </row>
    <row r="410"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S410" s="5"/>
    </row>
    <row r="411"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S411" s="5"/>
    </row>
    <row r="412"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S412" s="5"/>
    </row>
    <row r="413"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S413" s="5"/>
    </row>
    <row r="414"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S414" s="5"/>
    </row>
    <row r="415"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S415" s="5"/>
    </row>
    <row r="416"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S416" s="5"/>
    </row>
    <row r="417"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S417" s="5"/>
    </row>
    <row r="418"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S418" s="5"/>
    </row>
    <row r="419"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S419" s="5"/>
    </row>
    <row r="420"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S420" s="5"/>
    </row>
    <row r="421"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S421" s="5"/>
    </row>
    <row r="422"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S422" s="5"/>
    </row>
    <row r="423"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S423" s="5"/>
    </row>
    <row r="424"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S424" s="5"/>
    </row>
    <row r="425"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S425" s="5"/>
    </row>
    <row r="426"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S426" s="5"/>
    </row>
    <row r="427"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S427" s="5"/>
    </row>
    <row r="428"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S428" s="5"/>
    </row>
    <row r="429"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S429" s="5"/>
    </row>
    <row r="430"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S430" s="5"/>
    </row>
    <row r="431"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S431" s="5"/>
    </row>
    <row r="432"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S432" s="5"/>
    </row>
    <row r="433"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S433" s="5"/>
    </row>
    <row r="434"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S434" s="5"/>
    </row>
    <row r="435"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S435" s="5"/>
    </row>
    <row r="436"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S436" s="5"/>
    </row>
    <row r="437"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S437" s="5"/>
    </row>
    <row r="438"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S438" s="5"/>
    </row>
    <row r="439"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S439" s="5"/>
    </row>
    <row r="440"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S440" s="5"/>
    </row>
    <row r="441"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S441" s="5"/>
    </row>
    <row r="442"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S442" s="5"/>
    </row>
    <row r="443"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S443" s="5"/>
    </row>
    <row r="444"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S444" s="5"/>
    </row>
    <row r="445"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S445" s="5"/>
    </row>
    <row r="446"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S446" s="5"/>
    </row>
    <row r="447"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S447" s="5"/>
    </row>
    <row r="448"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S448" s="5"/>
    </row>
    <row r="449"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S449" s="5"/>
    </row>
    <row r="450"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S450" s="5"/>
    </row>
    <row r="451"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S451" s="5"/>
    </row>
    <row r="452"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S452" s="5"/>
    </row>
    <row r="453"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S453" s="5"/>
    </row>
    <row r="454"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S454" s="5"/>
    </row>
    <row r="455"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S455" s="5"/>
    </row>
    <row r="456"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S456" s="5"/>
    </row>
    <row r="457"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S457" s="5"/>
    </row>
    <row r="458"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S458" s="5"/>
    </row>
    <row r="459"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S459" s="5"/>
    </row>
    <row r="460"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S460" s="5"/>
    </row>
    <row r="461"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S461" s="5"/>
    </row>
    <row r="462"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S462" s="5"/>
    </row>
    <row r="463"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S463" s="5"/>
    </row>
    <row r="464"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S464" s="5"/>
    </row>
    <row r="465"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S465" s="5"/>
    </row>
    <row r="466"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S466" s="5"/>
    </row>
    <row r="467"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S467" s="5"/>
    </row>
    <row r="468"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S468" s="5"/>
    </row>
    <row r="469"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S469" s="5"/>
    </row>
    <row r="470"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S470" s="5"/>
    </row>
    <row r="471"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S471" s="5"/>
    </row>
    <row r="472"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S472" s="5"/>
    </row>
    <row r="473"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S473" s="5"/>
    </row>
    <row r="474"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S474" s="5"/>
    </row>
    <row r="475"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S475" s="5"/>
    </row>
    <row r="476"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S476" s="5"/>
    </row>
    <row r="477"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S477" s="5"/>
    </row>
    <row r="478"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S478" s="5"/>
    </row>
    <row r="479"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S479" s="5"/>
    </row>
    <row r="480"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S480" s="5"/>
    </row>
    <row r="481"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S481" s="5"/>
    </row>
    <row r="482"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S482" s="5"/>
    </row>
    <row r="483"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S483" s="5"/>
    </row>
    <row r="484"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S484" s="5"/>
    </row>
    <row r="485"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S485" s="5"/>
    </row>
    <row r="486"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S486" s="5"/>
    </row>
    <row r="487"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S487" s="5"/>
    </row>
    <row r="488"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S488" s="5"/>
    </row>
    <row r="489"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S489" s="5"/>
    </row>
    <row r="490"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S490" s="5"/>
    </row>
    <row r="491"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S491" s="5"/>
    </row>
    <row r="492"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S492" s="5"/>
    </row>
    <row r="493"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S493" s="5"/>
    </row>
    <row r="494"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S494" s="5"/>
    </row>
    <row r="495"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S495" s="5"/>
    </row>
    <row r="496"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S496" s="5"/>
    </row>
    <row r="497"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S497" s="5"/>
    </row>
    <row r="498"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S498" s="5"/>
    </row>
    <row r="499"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S499" s="5"/>
    </row>
    <row r="500"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S500" s="5"/>
    </row>
    <row r="501"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S501" s="5"/>
    </row>
    <row r="502"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S502" s="5"/>
    </row>
    <row r="503"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S503" s="5"/>
    </row>
    <row r="504"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S504" s="5"/>
    </row>
    <row r="505"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S505" s="5"/>
    </row>
    <row r="506"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S506" s="5"/>
    </row>
    <row r="507"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S507" s="5"/>
    </row>
    <row r="508"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S508" s="5"/>
    </row>
    <row r="509"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S509" s="5"/>
    </row>
    <row r="510"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S510" s="5"/>
    </row>
    <row r="511"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S511" s="5"/>
    </row>
    <row r="512"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S512" s="5"/>
    </row>
    <row r="513"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S513" s="5"/>
    </row>
    <row r="514"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S514" s="5"/>
    </row>
    <row r="515"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S515" s="5"/>
    </row>
    <row r="516"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S516" s="5"/>
    </row>
    <row r="517"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S517" s="5"/>
    </row>
    <row r="518"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S518" s="5"/>
    </row>
    <row r="519"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S519" s="5"/>
    </row>
    <row r="520"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S520" s="5"/>
    </row>
    <row r="521"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S521" s="5"/>
    </row>
    <row r="522"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S522" s="5"/>
    </row>
    <row r="523"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S523" s="5"/>
    </row>
    <row r="524"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S524" s="5"/>
    </row>
    <row r="525"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S525" s="5"/>
    </row>
    <row r="526"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S526" s="5"/>
    </row>
    <row r="527"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S527" s="5"/>
    </row>
    <row r="528"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S528" s="5"/>
    </row>
    <row r="529"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S529" s="5"/>
    </row>
    <row r="530"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S530" s="5"/>
    </row>
    <row r="531"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S531" s="5"/>
    </row>
    <row r="532"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S532" s="5"/>
    </row>
    <row r="533"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S533" s="5"/>
    </row>
    <row r="534"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S534" s="5"/>
    </row>
    <row r="535"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S535" s="5"/>
    </row>
    <row r="536"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S536" s="5"/>
    </row>
    <row r="537"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S537" s="5"/>
    </row>
    <row r="538"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S538" s="5"/>
    </row>
    <row r="539"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S539" s="5"/>
    </row>
    <row r="540"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S540" s="5"/>
    </row>
    <row r="541"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S541" s="5"/>
    </row>
    <row r="542"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S542" s="5"/>
    </row>
    <row r="543"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S543" s="5"/>
    </row>
    <row r="544"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S544" s="5"/>
    </row>
    <row r="545"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S545" s="5"/>
    </row>
    <row r="546"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S546" s="5"/>
    </row>
    <row r="547"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S547" s="5"/>
    </row>
    <row r="548"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S548" s="5"/>
    </row>
    <row r="549"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S549" s="5"/>
    </row>
    <row r="550"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S550" s="5"/>
    </row>
    <row r="551"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S551" s="5"/>
    </row>
    <row r="552"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S552" s="5"/>
    </row>
    <row r="553"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S553" s="5"/>
    </row>
    <row r="554"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S554" s="5"/>
    </row>
    <row r="555"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S555" s="5"/>
    </row>
    <row r="556"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S556" s="5"/>
    </row>
    <row r="557"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S557" s="5"/>
    </row>
    <row r="558"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S558" s="5"/>
    </row>
    <row r="559"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S559" s="5"/>
    </row>
    <row r="560"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S560" s="5"/>
    </row>
    <row r="561"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S561" s="5"/>
    </row>
    <row r="562"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S562" s="5"/>
    </row>
    <row r="563"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S563" s="5"/>
    </row>
    <row r="564"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S564" s="5"/>
    </row>
    <row r="565"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S565" s="5"/>
    </row>
    <row r="566"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S566" s="5"/>
    </row>
    <row r="567"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S567" s="5"/>
    </row>
    <row r="568"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S568" s="5"/>
    </row>
    <row r="569"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S569" s="5"/>
    </row>
    <row r="570"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S570" s="5"/>
    </row>
    <row r="571"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S571" s="5"/>
    </row>
    <row r="572"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S572" s="5"/>
    </row>
    <row r="573"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S573" s="5"/>
    </row>
    <row r="574"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S574" s="5"/>
    </row>
    <row r="575"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S575" s="5"/>
    </row>
    <row r="576"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S576" s="5"/>
    </row>
    <row r="577"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S577" s="5"/>
    </row>
    <row r="578"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S578" s="5"/>
    </row>
    <row r="579"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S579" s="5"/>
    </row>
    <row r="580"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S580" s="5"/>
    </row>
    <row r="581"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S581" s="5"/>
    </row>
    <row r="582"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S582" s="5"/>
    </row>
    <row r="583"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S583" s="5"/>
    </row>
    <row r="584"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S584" s="5"/>
    </row>
    <row r="585"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S585" s="5"/>
    </row>
    <row r="586"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S586" s="5"/>
    </row>
    <row r="587"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S587" s="5"/>
    </row>
    <row r="588"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S588" s="5"/>
    </row>
    <row r="589"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S589" s="5"/>
    </row>
    <row r="590"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S590" s="5"/>
    </row>
    <row r="591"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S591" s="5"/>
    </row>
    <row r="592"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S592" s="5"/>
    </row>
    <row r="593"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S593" s="5"/>
    </row>
    <row r="594"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S594" s="5"/>
    </row>
    <row r="595"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S595" s="5"/>
    </row>
    <row r="596"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S596" s="5"/>
    </row>
    <row r="597"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S597" s="5"/>
    </row>
    <row r="598"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S598" s="5"/>
    </row>
    <row r="599"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S599" s="5"/>
    </row>
    <row r="600"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S600" s="5"/>
    </row>
    <row r="601"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S601" s="5"/>
    </row>
    <row r="602"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S602" s="5"/>
    </row>
    <row r="603"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S603" s="5"/>
    </row>
    <row r="604"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S604" s="5"/>
    </row>
    <row r="605"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S605" s="5"/>
    </row>
    <row r="606"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S606" s="5"/>
    </row>
    <row r="607"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S607" s="5"/>
    </row>
    <row r="608"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S608" s="5"/>
    </row>
    <row r="609"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S609" s="5"/>
    </row>
    <row r="610"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S610" s="5"/>
    </row>
    <row r="611"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S611" s="5"/>
    </row>
    <row r="612"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S612" s="5"/>
    </row>
    <row r="613"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S613" s="5"/>
    </row>
    <row r="614"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S614" s="5"/>
    </row>
    <row r="615"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S615" s="5"/>
    </row>
    <row r="616"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S616" s="5"/>
    </row>
    <row r="617"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S617" s="5"/>
    </row>
    <row r="618"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S618" s="5"/>
    </row>
    <row r="619"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S619" s="5"/>
    </row>
    <row r="620"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S620" s="5"/>
    </row>
    <row r="621"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S621" s="5"/>
    </row>
    <row r="622"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S622" s="5"/>
    </row>
    <row r="623"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S623" s="5"/>
    </row>
    <row r="624"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S624" s="5"/>
    </row>
    <row r="625"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S625" s="5"/>
    </row>
    <row r="626"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S626" s="5"/>
    </row>
    <row r="627"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S627" s="5"/>
    </row>
    <row r="628"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S628" s="5"/>
    </row>
    <row r="629"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S629" s="5"/>
    </row>
    <row r="630"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S630" s="5"/>
    </row>
    <row r="631"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S631" s="5"/>
    </row>
    <row r="632"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S632" s="5"/>
    </row>
    <row r="633"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S633" s="5"/>
    </row>
    <row r="634"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S634" s="5"/>
    </row>
    <row r="635"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S635" s="5"/>
    </row>
    <row r="636"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S636" s="5"/>
    </row>
    <row r="637"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S637" s="5"/>
    </row>
    <row r="638"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S638" s="5"/>
    </row>
    <row r="639"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S639" s="5"/>
    </row>
    <row r="640"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S640" s="5"/>
    </row>
    <row r="641"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S641" s="5"/>
    </row>
    <row r="642"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S642" s="5"/>
    </row>
    <row r="643"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S643" s="5"/>
    </row>
    <row r="644"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S644" s="5"/>
    </row>
    <row r="645"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S645" s="5"/>
    </row>
    <row r="646"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S646" s="5"/>
    </row>
    <row r="647"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S647" s="5"/>
    </row>
    <row r="648"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S648" s="5"/>
    </row>
    <row r="649"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S649" s="5"/>
    </row>
    <row r="650"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S650" s="5"/>
    </row>
    <row r="651"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S651" s="5"/>
    </row>
    <row r="652"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S652" s="5"/>
    </row>
    <row r="653"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S653" s="5"/>
    </row>
    <row r="654"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S654" s="5"/>
    </row>
    <row r="655"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S655" s="5"/>
    </row>
    <row r="656"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S656" s="5"/>
    </row>
    <row r="657"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S657" s="5"/>
    </row>
    <row r="658"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S658" s="5"/>
    </row>
    <row r="659"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S659" s="5"/>
    </row>
    <row r="660"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S660" s="5"/>
    </row>
    <row r="661"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S661" s="5"/>
    </row>
    <row r="662"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S662" s="5"/>
    </row>
    <row r="663"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S663" s="5"/>
    </row>
    <row r="664"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S664" s="5"/>
    </row>
    <row r="665"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S665" s="5"/>
    </row>
    <row r="666"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S666" s="5"/>
    </row>
    <row r="667"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S667" s="5"/>
    </row>
    <row r="668"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S668" s="5"/>
    </row>
    <row r="669"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S669" s="5"/>
    </row>
    <row r="670"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S670" s="5"/>
    </row>
    <row r="671"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S671" s="5"/>
    </row>
    <row r="672"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S672" s="5"/>
    </row>
    <row r="673"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S673" s="5"/>
    </row>
    <row r="674"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S674" s="5"/>
    </row>
    <row r="675"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S675" s="5"/>
    </row>
    <row r="676"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S676" s="5"/>
    </row>
    <row r="677"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S677" s="5"/>
    </row>
    <row r="678"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S678" s="5"/>
    </row>
    <row r="679"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S679" s="5"/>
    </row>
    <row r="680"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S680" s="5"/>
    </row>
    <row r="681"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S681" s="5"/>
    </row>
    <row r="682"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S682" s="5"/>
    </row>
    <row r="683"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S683" s="5"/>
    </row>
    <row r="684"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S684" s="5"/>
    </row>
    <row r="685"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S685" s="5"/>
    </row>
    <row r="686"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S686" s="5"/>
    </row>
    <row r="687"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S687" s="5"/>
    </row>
    <row r="688"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S688" s="5"/>
    </row>
    <row r="689"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S689" s="5"/>
    </row>
    <row r="690"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S690" s="5"/>
    </row>
    <row r="691"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S691" s="5"/>
    </row>
    <row r="692"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S692" s="5"/>
    </row>
    <row r="693"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S693" s="5"/>
    </row>
    <row r="694"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S694" s="5"/>
    </row>
    <row r="695"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S695" s="5"/>
    </row>
    <row r="696"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S696" s="5"/>
    </row>
    <row r="697"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S697" s="5"/>
    </row>
    <row r="698"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S698" s="5"/>
    </row>
    <row r="699"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S699" s="5"/>
    </row>
    <row r="700"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S700" s="5"/>
    </row>
    <row r="701"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S701" s="5"/>
    </row>
    <row r="702"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S702" s="5"/>
    </row>
    <row r="703"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S703" s="5"/>
    </row>
    <row r="704"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S704" s="5"/>
    </row>
    <row r="705"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S705" s="5"/>
    </row>
    <row r="706"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S706" s="5"/>
    </row>
    <row r="707"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S707" s="5"/>
    </row>
    <row r="708"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S708" s="5"/>
    </row>
    <row r="709"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S709" s="5"/>
    </row>
    <row r="710"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S710" s="5"/>
    </row>
    <row r="711"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S711" s="5"/>
    </row>
    <row r="712"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S712" s="5"/>
    </row>
    <row r="713"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S713" s="5"/>
    </row>
    <row r="714"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S714" s="5"/>
    </row>
    <row r="715"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S715" s="5"/>
    </row>
    <row r="716"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S716" s="5"/>
    </row>
    <row r="717"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S717" s="5"/>
    </row>
    <row r="718"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S718" s="5"/>
    </row>
    <row r="719"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S719" s="5"/>
    </row>
    <row r="720"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S720" s="5"/>
    </row>
    <row r="721"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S721" s="5"/>
    </row>
    <row r="722"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S722" s="5"/>
    </row>
    <row r="723"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S723" s="5"/>
    </row>
    <row r="724"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S724" s="5"/>
    </row>
    <row r="725"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S725" s="5"/>
    </row>
    <row r="726"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S726" s="5"/>
    </row>
    <row r="727"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S727" s="5"/>
    </row>
    <row r="728"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S728" s="5"/>
    </row>
    <row r="729"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S729" s="5"/>
    </row>
    <row r="730"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S730" s="5"/>
    </row>
    <row r="731"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S731" s="5"/>
    </row>
    <row r="732"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S732" s="5"/>
    </row>
    <row r="733"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S733" s="5"/>
    </row>
    <row r="734"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S734" s="5"/>
    </row>
    <row r="735"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S735" s="5"/>
    </row>
    <row r="736"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S736" s="5"/>
    </row>
    <row r="737"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S737" s="5"/>
    </row>
    <row r="738"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S738" s="5"/>
    </row>
    <row r="739"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S739" s="5"/>
    </row>
    <row r="740"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S740" s="5"/>
    </row>
    <row r="741"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S741" s="5"/>
    </row>
    <row r="742"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S742" s="5"/>
    </row>
    <row r="743"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S743" s="5"/>
    </row>
    <row r="744"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S744" s="5"/>
    </row>
    <row r="745"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S745" s="5"/>
    </row>
    <row r="746"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S746" s="5"/>
    </row>
    <row r="747"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S747" s="5"/>
    </row>
    <row r="748"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S748" s="5"/>
    </row>
    <row r="749"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S749" s="5"/>
    </row>
    <row r="750"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S750" s="5"/>
    </row>
    <row r="751"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S751" s="5"/>
    </row>
    <row r="752"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S752" s="5"/>
    </row>
    <row r="753"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S753" s="5"/>
    </row>
    <row r="754"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S754" s="5"/>
    </row>
    <row r="755"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S755" s="5"/>
    </row>
    <row r="756"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S756" s="5"/>
    </row>
    <row r="757"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S757" s="5"/>
    </row>
    <row r="758"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S758" s="5"/>
    </row>
    <row r="759"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S759" s="5"/>
    </row>
    <row r="760"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S760" s="5"/>
    </row>
    <row r="761"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S761" s="5"/>
    </row>
    <row r="762"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S762" s="5"/>
    </row>
    <row r="763"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S763" s="5"/>
    </row>
    <row r="764"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S764" s="5"/>
    </row>
    <row r="765"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S765" s="5"/>
    </row>
    <row r="766"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S766" s="5"/>
    </row>
    <row r="767"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S767" s="5"/>
    </row>
    <row r="768"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S768" s="5"/>
    </row>
    <row r="769"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S769" s="5"/>
    </row>
    <row r="770"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S770" s="5"/>
    </row>
    <row r="771"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S771" s="5"/>
    </row>
    <row r="772"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S772" s="5"/>
    </row>
    <row r="773"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S773" s="5"/>
    </row>
    <row r="774"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S774" s="5"/>
    </row>
    <row r="775"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S775" s="5"/>
    </row>
    <row r="776"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S776" s="5"/>
    </row>
    <row r="777"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S777" s="5"/>
    </row>
    <row r="778"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S778" s="5"/>
    </row>
    <row r="779"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S779" s="5"/>
    </row>
    <row r="780"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S780" s="5"/>
    </row>
    <row r="781"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S781" s="5"/>
    </row>
    <row r="782"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S782" s="5"/>
    </row>
    <row r="783"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S783" s="5"/>
    </row>
    <row r="784"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S784" s="5"/>
    </row>
    <row r="785"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S785" s="5"/>
    </row>
    <row r="786"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S786" s="5"/>
    </row>
    <row r="787"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S787" s="5"/>
    </row>
    <row r="788"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S788" s="5"/>
    </row>
    <row r="789"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S789" s="5"/>
    </row>
    <row r="790"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S790" s="5"/>
    </row>
    <row r="791"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S791" s="5"/>
    </row>
    <row r="792"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S792" s="5"/>
    </row>
    <row r="793"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S793" s="5"/>
    </row>
    <row r="794"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S794" s="5"/>
    </row>
    <row r="795"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S795" s="5"/>
    </row>
    <row r="796"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S796" s="5"/>
    </row>
    <row r="797"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S797" s="5"/>
    </row>
    <row r="798"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S798" s="5"/>
    </row>
    <row r="799"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S799" s="5"/>
    </row>
    <row r="800"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S800" s="5"/>
    </row>
    <row r="801"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S801" s="5"/>
    </row>
    <row r="802"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S802" s="5"/>
    </row>
    <row r="803"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S803" s="5"/>
    </row>
    <row r="804"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S804" s="5"/>
    </row>
    <row r="805"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S805" s="5"/>
    </row>
    <row r="806"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S806" s="5"/>
    </row>
    <row r="807"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S807" s="5"/>
    </row>
    <row r="808"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S808" s="5"/>
    </row>
    <row r="809"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S809" s="5"/>
    </row>
    <row r="810"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S810" s="5"/>
    </row>
    <row r="811"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S811" s="5"/>
    </row>
    <row r="812"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S812" s="5"/>
    </row>
    <row r="813"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S813" s="5"/>
    </row>
    <row r="814"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S814" s="5"/>
    </row>
    <row r="815"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S815" s="5"/>
    </row>
    <row r="816"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S816" s="5"/>
    </row>
    <row r="817"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S817" s="5"/>
    </row>
    <row r="818"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S818" s="5"/>
    </row>
    <row r="819"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S819" s="5"/>
    </row>
    <row r="820"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S820" s="5"/>
    </row>
    <row r="821"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S821" s="5"/>
    </row>
    <row r="822"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S822" s="5"/>
    </row>
    <row r="823"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S823" s="5"/>
    </row>
    <row r="824"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S824" s="5"/>
    </row>
    <row r="825"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S825" s="5"/>
    </row>
    <row r="826"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S826" s="5"/>
    </row>
    <row r="827"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S827" s="5"/>
    </row>
    <row r="828"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S828" s="5"/>
    </row>
    <row r="829"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S829" s="5"/>
    </row>
    <row r="830"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S830" s="5"/>
    </row>
    <row r="831"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S831" s="5"/>
    </row>
    <row r="832"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S832" s="5"/>
    </row>
    <row r="833"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S833" s="5"/>
    </row>
    <row r="834"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S834" s="5"/>
    </row>
    <row r="835"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S835" s="5"/>
    </row>
    <row r="836"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S836" s="5"/>
    </row>
    <row r="837"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S837" s="5"/>
    </row>
    <row r="838"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S838" s="5"/>
    </row>
    <row r="839"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S839" s="5"/>
    </row>
    <row r="840"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S840" s="5"/>
    </row>
    <row r="841"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S841" s="5"/>
    </row>
    <row r="842"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S842" s="5"/>
    </row>
    <row r="843"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S843" s="5"/>
    </row>
    <row r="844"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S844" s="5"/>
    </row>
    <row r="845"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S845" s="5"/>
    </row>
    <row r="846"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S846" s="5"/>
    </row>
    <row r="847"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S847" s="5"/>
    </row>
    <row r="848"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S848" s="5"/>
    </row>
    <row r="849"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S849" s="5"/>
    </row>
    <row r="850"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S850" s="5"/>
    </row>
    <row r="851"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S851" s="5"/>
    </row>
    <row r="852"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S852" s="5"/>
    </row>
    <row r="853"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S853" s="5"/>
    </row>
    <row r="854"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S854" s="5"/>
    </row>
    <row r="855"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S855" s="5"/>
    </row>
    <row r="856"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S856" s="5"/>
    </row>
    <row r="857"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S857" s="5"/>
    </row>
    <row r="858"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S858" s="5"/>
    </row>
    <row r="859"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S859" s="5"/>
    </row>
    <row r="860"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S860" s="5"/>
    </row>
    <row r="861"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S861" s="5"/>
    </row>
    <row r="862"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S862" s="5"/>
    </row>
    <row r="863"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S863" s="5"/>
    </row>
    <row r="864"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S864" s="5"/>
    </row>
    <row r="865"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S865" s="5"/>
    </row>
    <row r="866"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S866" s="5"/>
    </row>
    <row r="867"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S867" s="5"/>
    </row>
    <row r="868"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S868" s="5"/>
    </row>
    <row r="869"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S869" s="5"/>
    </row>
    <row r="870"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S870" s="5"/>
    </row>
    <row r="871"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S871" s="5"/>
    </row>
    <row r="872"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S872" s="5"/>
    </row>
    <row r="873"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S873" s="5"/>
    </row>
    <row r="874"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S874" s="5"/>
    </row>
    <row r="875"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S875" s="5"/>
    </row>
    <row r="876"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S876" s="5"/>
    </row>
    <row r="877"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S877" s="5"/>
    </row>
    <row r="878"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S878" s="5"/>
    </row>
    <row r="879"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S879" s="5"/>
    </row>
    <row r="880"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S880" s="5"/>
    </row>
    <row r="881"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S881" s="5"/>
    </row>
    <row r="882"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S882" s="5"/>
    </row>
    <row r="883"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S883" s="5"/>
    </row>
    <row r="884"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S884" s="5"/>
    </row>
    <row r="885"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S885" s="5"/>
    </row>
    <row r="886"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S886" s="5"/>
    </row>
    <row r="887"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S887" s="5"/>
    </row>
    <row r="888"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S888" s="5"/>
    </row>
    <row r="889"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S889" s="5"/>
    </row>
    <row r="890"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S890" s="5"/>
    </row>
    <row r="891"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S891" s="5"/>
    </row>
    <row r="892"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S892" s="5"/>
    </row>
    <row r="893"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S893" s="5"/>
    </row>
    <row r="894"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S894" s="5"/>
    </row>
    <row r="895"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S895" s="5"/>
    </row>
    <row r="896"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S896" s="5"/>
    </row>
    <row r="897"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S897" s="5"/>
    </row>
    <row r="898"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S898" s="5"/>
    </row>
    <row r="899"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S899" s="5"/>
    </row>
    <row r="900"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S900" s="5"/>
    </row>
    <row r="901"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S901" s="5"/>
    </row>
    <row r="902"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S902" s="5"/>
    </row>
    <row r="903"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S903" s="5"/>
    </row>
    <row r="904"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S904" s="5"/>
    </row>
    <row r="905"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S905" s="5"/>
    </row>
    <row r="906"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S906" s="5"/>
    </row>
    <row r="907"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S907" s="5"/>
    </row>
    <row r="908"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S908" s="5"/>
    </row>
    <row r="909"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S909" s="5"/>
    </row>
    <row r="910"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S910" s="5"/>
    </row>
    <row r="911"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S911" s="5"/>
    </row>
    <row r="912"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S912" s="5"/>
    </row>
    <row r="913"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S913" s="5"/>
    </row>
    <row r="914"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S914" s="5"/>
    </row>
    <row r="915"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S915" s="5"/>
    </row>
    <row r="916"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S916" s="5"/>
    </row>
    <row r="917"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S917" s="5"/>
    </row>
    <row r="918"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S918" s="5"/>
    </row>
    <row r="919"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S919" s="5"/>
    </row>
    <row r="920"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S920" s="5"/>
    </row>
    <row r="921"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S921" s="5"/>
    </row>
    <row r="922"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S922" s="5"/>
    </row>
    <row r="923"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S923" s="5"/>
    </row>
    <row r="924"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S924" s="5"/>
    </row>
    <row r="925"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S925" s="5"/>
    </row>
    <row r="926"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S926" s="5"/>
    </row>
    <row r="927"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S927" s="5"/>
    </row>
    <row r="928"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S928" s="5"/>
    </row>
    <row r="929"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S929" s="5"/>
    </row>
    <row r="930"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S930" s="5"/>
    </row>
    <row r="931"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S931" s="5"/>
    </row>
    <row r="932"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S932" s="5"/>
    </row>
    <row r="933"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S933" s="5"/>
    </row>
    <row r="934"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S934" s="5"/>
    </row>
    <row r="935"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S935" s="5"/>
    </row>
    <row r="936"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S936" s="5"/>
    </row>
    <row r="937"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S937" s="5"/>
    </row>
    <row r="938"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S938" s="5"/>
    </row>
    <row r="939"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S939" s="5"/>
    </row>
    <row r="940"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S940" s="5"/>
    </row>
    <row r="941"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S941" s="5"/>
    </row>
    <row r="942"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S942" s="5"/>
    </row>
    <row r="943"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S943" s="5"/>
    </row>
    <row r="944"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S944" s="5"/>
    </row>
    <row r="945"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S945" s="5"/>
    </row>
    <row r="946"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S946" s="5"/>
    </row>
    <row r="947"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S947" s="5"/>
    </row>
    <row r="948"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S948" s="5"/>
    </row>
    <row r="949"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S949" s="5"/>
    </row>
    <row r="950"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S950" s="5"/>
    </row>
    <row r="951"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S951" s="5"/>
    </row>
    <row r="952"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S952" s="5"/>
    </row>
    <row r="953"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S953" s="5"/>
    </row>
    <row r="954"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S954" s="5"/>
    </row>
    <row r="955"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S955" s="5"/>
    </row>
    <row r="956"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S956" s="5"/>
    </row>
    <row r="957"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S957" s="5"/>
    </row>
    <row r="958"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S958" s="5"/>
    </row>
    <row r="959"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S959" s="5"/>
    </row>
    <row r="960"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S960" s="5"/>
    </row>
    <row r="961"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S961" s="5"/>
    </row>
    <row r="962"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S962" s="5"/>
    </row>
    <row r="963"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S963" s="5"/>
    </row>
    <row r="964"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S964" s="5"/>
    </row>
    <row r="965"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S965" s="5"/>
    </row>
    <row r="966"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S966" s="5"/>
    </row>
    <row r="967"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S967" s="5"/>
    </row>
    <row r="968"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S968" s="5"/>
    </row>
    <row r="969"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S969" s="5"/>
    </row>
    <row r="970"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S970" s="5"/>
    </row>
    <row r="971"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S971" s="5"/>
    </row>
    <row r="972"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S972" s="5"/>
    </row>
    <row r="973"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S973" s="5"/>
    </row>
    <row r="974"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S974" s="5"/>
    </row>
    <row r="975"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S975" s="5"/>
    </row>
    <row r="976"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S976" s="5"/>
    </row>
    <row r="977"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S977" s="5"/>
    </row>
    <row r="978"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S978" s="5"/>
    </row>
    <row r="979"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S979" s="5"/>
    </row>
    <row r="980"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S980" s="5"/>
    </row>
    <row r="981"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S981" s="5"/>
    </row>
    <row r="982"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S982" s="5"/>
    </row>
    <row r="983"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S983" s="5"/>
    </row>
    <row r="984"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S984" s="5"/>
    </row>
    <row r="985"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S985" s="5"/>
    </row>
    <row r="986"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S986" s="5"/>
    </row>
    <row r="987"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S987" s="5"/>
    </row>
    <row r="988"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S988" s="5"/>
    </row>
    <row r="989"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S989" s="5"/>
    </row>
    <row r="990"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S990" s="5"/>
    </row>
    <row r="991"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S991" s="5"/>
    </row>
    <row r="992"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S992" s="5"/>
    </row>
    <row r="993"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S993" s="5"/>
    </row>
    <row r="994"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S994" s="5"/>
    </row>
    <row r="995"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S995" s="5"/>
    </row>
    <row r="996"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S996" s="5"/>
    </row>
    <row r="997"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S997" s="5"/>
    </row>
    <row r="998"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S998" s="5"/>
    </row>
    <row r="999"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S999" s="5"/>
    </row>
  </sheetData>
  <mergeCells count="4">
    <mergeCell ref="C1:D1"/>
    <mergeCell ref="E1:F1"/>
    <mergeCell ref="G1:H1"/>
    <mergeCell ref="L1:M1"/>
  </mergeCells>
  <hyperlinks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</hyperlinks>
  <drawing r:id="rId30"/>
  <legacyDrawing r:id="rId31"/>
  <tableParts count="1">
    <tablePart r:id="rId3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35.13"/>
    <col customWidth="1" min="2" max="2" width="9.13"/>
    <col customWidth="1" min="3" max="16" width="7.13"/>
    <col customWidth="1" min="17" max="17" width="6.63"/>
    <col customWidth="1" min="18" max="18" width="4.88"/>
  </cols>
  <sheetData>
    <row r="1">
      <c r="B1" s="2"/>
      <c r="C1" s="2" t="s">
        <v>0</v>
      </c>
      <c r="E1" s="2" t="s">
        <v>1</v>
      </c>
      <c r="G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N1" s="2" t="s">
        <v>7</v>
      </c>
      <c r="O1" s="2" t="s">
        <v>8</v>
      </c>
      <c r="P1" s="2" t="s">
        <v>9</v>
      </c>
      <c r="Q1" s="4" t="s">
        <v>10</v>
      </c>
    </row>
    <row r="2">
      <c r="A2" s="6" t="s">
        <v>11</v>
      </c>
      <c r="B2" s="6" t="s">
        <v>12</v>
      </c>
      <c r="C2" s="7">
        <v>45909.0</v>
      </c>
      <c r="D2" s="7">
        <v>45911.0</v>
      </c>
      <c r="E2" s="7">
        <v>45916.0</v>
      </c>
      <c r="F2" s="7">
        <v>45918.0</v>
      </c>
      <c r="G2" s="7">
        <v>45923.0</v>
      </c>
      <c r="H2" s="7">
        <v>45925.0</v>
      </c>
      <c r="I2" s="7">
        <v>45930.0</v>
      </c>
      <c r="J2" s="7">
        <v>45939.0</v>
      </c>
      <c r="K2" s="7">
        <v>45944.0</v>
      </c>
      <c r="L2" s="7">
        <v>45951.0</v>
      </c>
      <c r="M2" s="7">
        <v>45953.0</v>
      </c>
      <c r="N2" s="7">
        <v>45958.0</v>
      </c>
      <c r="O2" s="7">
        <v>45967.0</v>
      </c>
      <c r="P2" s="7">
        <v>45972.0</v>
      </c>
      <c r="Q2" s="8">
        <v>45979.0</v>
      </c>
      <c r="R2" s="10" t="s">
        <v>13</v>
      </c>
      <c r="S2" s="10" t="s">
        <v>14</v>
      </c>
    </row>
    <row r="3">
      <c r="A3" s="12" t="s">
        <v>16</v>
      </c>
      <c r="B3" s="13">
        <v>2.6739759E7</v>
      </c>
      <c r="C3" s="15"/>
      <c r="D3" s="16">
        <v>1.0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8"/>
      <c r="R3" s="18">
        <f t="shared" ref="R3:R30" si="1">SUM(C3:Q3)/COUNTA(C$2:Q$2)</f>
        <v>0.06666666667</v>
      </c>
      <c r="S3" s="22">
        <f t="shared" ref="S3:S30" si="2">IF(R3=0,"",R3*5)</f>
        <v>0.3333333333</v>
      </c>
    </row>
    <row r="4">
      <c r="A4" s="23" t="s">
        <v>19</v>
      </c>
      <c r="B4" s="13">
        <v>3.061295E7</v>
      </c>
      <c r="C4" s="15"/>
      <c r="D4" s="15"/>
      <c r="E4" s="16">
        <v>1.0</v>
      </c>
      <c r="F4" s="16">
        <v>1.0</v>
      </c>
      <c r="G4" s="16">
        <v>1.0</v>
      </c>
      <c r="H4" s="16">
        <v>1.0</v>
      </c>
      <c r="I4" s="16">
        <v>1.0</v>
      </c>
      <c r="J4" s="16">
        <v>1.0</v>
      </c>
      <c r="K4" s="16">
        <v>1.0</v>
      </c>
      <c r="L4" s="16">
        <v>1.0</v>
      </c>
      <c r="M4" s="16">
        <v>1.0</v>
      </c>
      <c r="N4" s="16">
        <v>1.0</v>
      </c>
      <c r="O4" s="16">
        <v>1.0</v>
      </c>
      <c r="P4" s="16">
        <v>1.0</v>
      </c>
      <c r="Q4" s="16">
        <v>1.0</v>
      </c>
      <c r="R4" s="18">
        <f t="shared" si="1"/>
        <v>0.8666666667</v>
      </c>
      <c r="S4" s="22">
        <f t="shared" si="2"/>
        <v>4.333333333</v>
      </c>
    </row>
    <row r="5">
      <c r="A5" s="12" t="s">
        <v>21</v>
      </c>
      <c r="B5" s="13">
        <v>2.5947729E7</v>
      </c>
      <c r="C5" s="15"/>
      <c r="D5" s="15"/>
      <c r="E5" s="15"/>
      <c r="F5" s="15"/>
      <c r="G5" s="15"/>
      <c r="H5" s="16">
        <v>1.0</v>
      </c>
      <c r="I5" s="15"/>
      <c r="J5" s="15"/>
      <c r="K5" s="15"/>
      <c r="L5" s="15"/>
      <c r="M5" s="15"/>
      <c r="N5" s="15"/>
      <c r="O5" s="15"/>
      <c r="P5" s="15"/>
      <c r="Q5" s="18"/>
      <c r="R5" s="18">
        <f t="shared" si="1"/>
        <v>0.06666666667</v>
      </c>
      <c r="S5" s="22">
        <f t="shared" si="2"/>
        <v>0.3333333333</v>
      </c>
    </row>
    <row r="6">
      <c r="A6" s="12" t="s">
        <v>23</v>
      </c>
      <c r="B6" s="13">
        <v>3.0124314E7</v>
      </c>
      <c r="C6" s="15"/>
      <c r="D6" s="15"/>
      <c r="E6" s="16">
        <v>1.0</v>
      </c>
      <c r="F6" s="15"/>
      <c r="G6" s="15"/>
      <c r="H6" s="15"/>
      <c r="I6" s="15"/>
      <c r="J6" s="16">
        <v>2.0</v>
      </c>
      <c r="K6" s="15"/>
      <c r="L6" s="15"/>
      <c r="M6" s="15"/>
      <c r="N6" s="15"/>
      <c r="O6" s="15"/>
      <c r="P6" s="15"/>
      <c r="Q6" s="18"/>
      <c r="R6" s="18">
        <f t="shared" si="1"/>
        <v>0.2</v>
      </c>
      <c r="S6" s="22">
        <f t="shared" si="2"/>
        <v>1</v>
      </c>
    </row>
    <row r="7">
      <c r="A7" s="23" t="s">
        <v>24</v>
      </c>
      <c r="B7" s="13">
        <v>3.0673633E7</v>
      </c>
      <c r="C7" s="15"/>
      <c r="D7" s="16">
        <v>1.0</v>
      </c>
      <c r="E7" s="15"/>
      <c r="F7" s="16">
        <v>1.0</v>
      </c>
      <c r="G7" s="16">
        <v>2.0</v>
      </c>
      <c r="H7" s="16">
        <v>1.0</v>
      </c>
      <c r="I7" s="15"/>
      <c r="J7" s="15"/>
      <c r="K7" s="16">
        <v>1.0</v>
      </c>
      <c r="L7" s="15"/>
      <c r="M7" s="16">
        <v>1.0</v>
      </c>
      <c r="N7" s="15"/>
      <c r="O7" s="16">
        <v>1.0</v>
      </c>
      <c r="P7" s="15"/>
      <c r="Q7" s="18"/>
      <c r="R7" s="18">
        <f t="shared" si="1"/>
        <v>0.5333333333</v>
      </c>
      <c r="S7" s="22">
        <f t="shared" si="2"/>
        <v>2.666666667</v>
      </c>
    </row>
    <row r="8">
      <c r="A8" s="23" t="s">
        <v>26</v>
      </c>
      <c r="B8" s="13">
        <v>3.0346847E7</v>
      </c>
      <c r="C8" s="15"/>
      <c r="D8" s="16">
        <v>1.0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8"/>
      <c r="R8" s="18">
        <f t="shared" si="1"/>
        <v>0.06666666667</v>
      </c>
      <c r="S8" s="22">
        <f t="shared" si="2"/>
        <v>0.3333333333</v>
      </c>
    </row>
    <row r="9">
      <c r="A9" s="23" t="s">
        <v>28</v>
      </c>
      <c r="B9" s="13">
        <v>2.7027053E7</v>
      </c>
      <c r="C9" s="15"/>
      <c r="D9" s="15"/>
      <c r="E9" s="15"/>
      <c r="F9" s="16"/>
      <c r="G9" s="16"/>
      <c r="H9" s="16">
        <v>1.0</v>
      </c>
      <c r="I9" s="16">
        <v>1.0</v>
      </c>
      <c r="J9" s="16"/>
      <c r="K9" s="16">
        <v>1.0</v>
      </c>
      <c r="L9" s="16">
        <v>1.0</v>
      </c>
      <c r="M9" s="15"/>
      <c r="N9" s="15"/>
      <c r="O9" s="16">
        <v>1.0</v>
      </c>
      <c r="P9" s="15"/>
      <c r="Q9" s="18"/>
      <c r="R9" s="18">
        <f t="shared" si="1"/>
        <v>0.3333333333</v>
      </c>
      <c r="S9" s="22">
        <f t="shared" si="2"/>
        <v>1.666666667</v>
      </c>
    </row>
    <row r="10">
      <c r="A10" s="23" t="s">
        <v>30</v>
      </c>
      <c r="B10" s="13">
        <v>3.0085424E7</v>
      </c>
      <c r="C10" s="15"/>
      <c r="D10" s="15"/>
      <c r="E10" s="15"/>
      <c r="F10" s="16"/>
      <c r="G10" s="16"/>
      <c r="H10" s="16">
        <v>2.0</v>
      </c>
      <c r="I10" s="16">
        <v>1.0</v>
      </c>
      <c r="J10" s="16"/>
      <c r="K10" s="16"/>
      <c r="L10" s="16">
        <v>1.0</v>
      </c>
      <c r="M10" s="15"/>
      <c r="N10" s="15"/>
      <c r="O10" s="15"/>
      <c r="P10" s="15"/>
      <c r="Q10" s="18"/>
      <c r="R10" s="18">
        <f t="shared" si="1"/>
        <v>0.2666666667</v>
      </c>
      <c r="S10" s="22">
        <f t="shared" si="2"/>
        <v>1.333333333</v>
      </c>
    </row>
    <row r="11">
      <c r="A11" s="23" t="s">
        <v>32</v>
      </c>
      <c r="B11" s="13">
        <v>3.0124807E7</v>
      </c>
      <c r="C11" s="15"/>
      <c r="D11" s="16">
        <v>1.0</v>
      </c>
      <c r="E11" s="16">
        <v>1.0</v>
      </c>
      <c r="F11" s="16">
        <v>1.0</v>
      </c>
      <c r="G11" s="16">
        <v>1.0</v>
      </c>
      <c r="H11" s="16">
        <v>1.0</v>
      </c>
      <c r="I11" s="16">
        <v>1.0</v>
      </c>
      <c r="J11" s="16">
        <v>2.0</v>
      </c>
      <c r="K11" s="16">
        <v>1.0</v>
      </c>
      <c r="L11" s="16">
        <v>1.0</v>
      </c>
      <c r="M11" s="16">
        <v>1.0</v>
      </c>
      <c r="N11" s="16">
        <v>1.0</v>
      </c>
      <c r="O11" s="16">
        <v>1.0</v>
      </c>
      <c r="P11" s="16">
        <v>1.0</v>
      </c>
      <c r="Q11" s="16">
        <v>1.0</v>
      </c>
      <c r="R11" s="18">
        <f t="shared" si="1"/>
        <v>1</v>
      </c>
      <c r="S11" s="22">
        <f t="shared" si="2"/>
        <v>5</v>
      </c>
    </row>
    <row r="12">
      <c r="A12" s="12" t="s">
        <v>34</v>
      </c>
      <c r="B12" s="13">
        <v>2.9625816E7</v>
      </c>
      <c r="C12" s="15"/>
      <c r="D12" s="15"/>
      <c r="E12" s="15"/>
      <c r="F12" s="15"/>
      <c r="G12" s="15"/>
      <c r="H12" s="15"/>
      <c r="I12" s="15"/>
      <c r="J12" s="15"/>
      <c r="K12" s="16">
        <v>1.0</v>
      </c>
      <c r="L12" s="15"/>
      <c r="M12" s="15"/>
      <c r="N12" s="15"/>
      <c r="O12" s="15"/>
      <c r="P12" s="15"/>
      <c r="Q12" s="18"/>
      <c r="R12" s="18">
        <f t="shared" si="1"/>
        <v>0.06666666667</v>
      </c>
      <c r="S12" s="22">
        <f t="shared" si="2"/>
        <v>0.3333333333</v>
      </c>
    </row>
    <row r="13">
      <c r="A13" s="23" t="s">
        <v>36</v>
      </c>
      <c r="B13" s="13">
        <v>2.8058651E7</v>
      </c>
      <c r="C13" s="16">
        <v>1.0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8"/>
      <c r="R13" s="18">
        <f t="shared" si="1"/>
        <v>0.06666666667</v>
      </c>
      <c r="S13" s="22">
        <f t="shared" si="2"/>
        <v>0.3333333333</v>
      </c>
    </row>
    <row r="14">
      <c r="A14" s="23" t="s">
        <v>38</v>
      </c>
      <c r="B14" s="13">
        <v>3.0358221E7</v>
      </c>
      <c r="C14" s="15"/>
      <c r="D14" s="15"/>
      <c r="E14" s="15"/>
      <c r="F14" s="16">
        <v>1.0</v>
      </c>
      <c r="G14" s="16">
        <v>1.0</v>
      </c>
      <c r="H14" s="16"/>
      <c r="I14" s="16">
        <v>1.0</v>
      </c>
      <c r="J14" s="15"/>
      <c r="K14" s="15"/>
      <c r="L14" s="15"/>
      <c r="M14" s="16">
        <v>1.0</v>
      </c>
      <c r="N14" s="15"/>
      <c r="O14" s="15"/>
      <c r="P14" s="15"/>
      <c r="Q14" s="18"/>
      <c r="R14" s="18">
        <f t="shared" si="1"/>
        <v>0.2666666667</v>
      </c>
      <c r="S14" s="22">
        <f t="shared" si="2"/>
        <v>1.333333333</v>
      </c>
    </row>
    <row r="15">
      <c r="A15" s="23" t="s">
        <v>40</v>
      </c>
      <c r="B15" s="13">
        <v>3.0932824E7</v>
      </c>
      <c r="C15" s="15"/>
      <c r="D15" s="16">
        <v>1.0</v>
      </c>
      <c r="E15" s="16">
        <v>1.0</v>
      </c>
      <c r="F15" s="16"/>
      <c r="G15" s="16"/>
      <c r="H15" s="16">
        <v>1.0</v>
      </c>
      <c r="I15" s="16">
        <v>1.0</v>
      </c>
      <c r="J15" s="16">
        <v>2.0</v>
      </c>
      <c r="K15" s="16">
        <v>1.0</v>
      </c>
      <c r="L15" s="15"/>
      <c r="M15" s="15"/>
      <c r="N15" s="16">
        <v>1.0</v>
      </c>
      <c r="O15" s="15"/>
      <c r="P15" s="15"/>
      <c r="Q15" s="18"/>
      <c r="R15" s="18">
        <f t="shared" si="1"/>
        <v>0.5333333333</v>
      </c>
      <c r="S15" s="22">
        <f t="shared" si="2"/>
        <v>2.666666667</v>
      </c>
    </row>
    <row r="16">
      <c r="A16" s="23" t="s">
        <v>42</v>
      </c>
      <c r="B16" s="13">
        <v>3.0687748E7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8"/>
      <c r="R16" s="18">
        <f t="shared" si="1"/>
        <v>0</v>
      </c>
      <c r="S16" s="22" t="str">
        <f t="shared" si="2"/>
        <v/>
      </c>
    </row>
    <row r="17">
      <c r="A17" s="12" t="s">
        <v>44</v>
      </c>
      <c r="B17" s="13">
        <v>2.9577475E7</v>
      </c>
      <c r="C17" s="15"/>
      <c r="D17" s="15"/>
      <c r="E17" s="16">
        <v>1.0</v>
      </c>
      <c r="F17" s="16">
        <v>1.0</v>
      </c>
      <c r="G17" s="16">
        <v>1.0</v>
      </c>
      <c r="H17" s="16">
        <v>2.0</v>
      </c>
      <c r="I17" s="15"/>
      <c r="J17" s="15"/>
      <c r="K17" s="15"/>
      <c r="L17" s="15"/>
      <c r="M17" s="15"/>
      <c r="N17" s="15"/>
      <c r="O17" s="15"/>
      <c r="P17" s="15"/>
      <c r="Q17" s="18"/>
      <c r="R17" s="18">
        <f t="shared" si="1"/>
        <v>0.3333333333</v>
      </c>
      <c r="S17" s="22">
        <f t="shared" si="2"/>
        <v>1.666666667</v>
      </c>
    </row>
    <row r="18">
      <c r="A18" s="12" t="s">
        <v>45</v>
      </c>
      <c r="B18" s="13">
        <v>3.0821945E7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8"/>
      <c r="R18" s="18">
        <f t="shared" si="1"/>
        <v>0</v>
      </c>
      <c r="S18" s="22" t="str">
        <f t="shared" si="2"/>
        <v/>
      </c>
    </row>
    <row r="19">
      <c r="A19" s="23" t="s">
        <v>47</v>
      </c>
      <c r="B19" s="13">
        <v>2.4843496E7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8"/>
      <c r="R19" s="18">
        <f t="shared" si="1"/>
        <v>0</v>
      </c>
      <c r="S19" s="22" t="str">
        <f t="shared" si="2"/>
        <v/>
      </c>
    </row>
    <row r="20">
      <c r="A20" s="12" t="s">
        <v>49</v>
      </c>
      <c r="B20" s="13">
        <v>3.0497106E7</v>
      </c>
      <c r="C20" s="16"/>
      <c r="D20" s="16"/>
      <c r="E20" s="16"/>
      <c r="F20" s="15"/>
      <c r="G20" s="16">
        <v>1.0</v>
      </c>
      <c r="H20" s="16">
        <v>1.0</v>
      </c>
      <c r="I20" s="16">
        <v>1.0</v>
      </c>
      <c r="J20" s="16">
        <v>1.0</v>
      </c>
      <c r="K20" s="16">
        <v>1.0</v>
      </c>
      <c r="L20" s="16">
        <v>1.0</v>
      </c>
      <c r="M20" s="16">
        <v>1.0</v>
      </c>
      <c r="N20" s="16">
        <v>3.0</v>
      </c>
      <c r="O20" s="16">
        <v>1.0</v>
      </c>
      <c r="P20" s="16">
        <v>1.0</v>
      </c>
      <c r="Q20" s="16">
        <v>1.0</v>
      </c>
      <c r="R20" s="18">
        <f t="shared" si="1"/>
        <v>0.8666666667</v>
      </c>
      <c r="S20" s="22">
        <f t="shared" si="2"/>
        <v>4.333333333</v>
      </c>
    </row>
    <row r="21">
      <c r="A21" s="23" t="s">
        <v>51</v>
      </c>
      <c r="B21" s="13">
        <v>2.9948276E7</v>
      </c>
      <c r="C21" s="16"/>
      <c r="D21" s="16"/>
      <c r="E21" s="16"/>
      <c r="F21" s="16"/>
      <c r="G21" s="16"/>
      <c r="H21" s="16"/>
      <c r="I21" s="16"/>
      <c r="J21" s="16"/>
      <c r="K21" s="16"/>
      <c r="L21" s="16">
        <v>1.0</v>
      </c>
      <c r="M21" s="15"/>
      <c r="N21" s="15"/>
      <c r="O21" s="16">
        <v>1.0</v>
      </c>
      <c r="P21" s="15"/>
      <c r="Q21" s="18"/>
      <c r="R21" s="18">
        <f t="shared" si="1"/>
        <v>0.1333333333</v>
      </c>
      <c r="S21" s="22">
        <f t="shared" si="2"/>
        <v>0.6666666667</v>
      </c>
    </row>
    <row r="22">
      <c r="A22" s="12" t="s">
        <v>53</v>
      </c>
      <c r="B22" s="13">
        <v>3.0612888E7</v>
      </c>
      <c r="C22" s="16"/>
      <c r="D22" s="16"/>
      <c r="E22" s="16">
        <v>1.0</v>
      </c>
      <c r="F22" s="15"/>
      <c r="G22" s="16">
        <v>2.0</v>
      </c>
      <c r="H22" s="16">
        <v>1.0</v>
      </c>
      <c r="I22" s="16">
        <v>1.0</v>
      </c>
      <c r="J22" s="16">
        <v>2.0</v>
      </c>
      <c r="K22" s="16"/>
      <c r="L22" s="16">
        <v>1.0</v>
      </c>
      <c r="M22" s="16">
        <v>1.0</v>
      </c>
      <c r="N22" s="16">
        <v>1.0</v>
      </c>
      <c r="O22" s="16">
        <v>1.0</v>
      </c>
      <c r="P22" s="16">
        <v>1.0</v>
      </c>
      <c r="Q22" s="16">
        <v>1.0</v>
      </c>
      <c r="R22" s="18">
        <f t="shared" si="1"/>
        <v>0.8666666667</v>
      </c>
      <c r="S22" s="22">
        <f t="shared" si="2"/>
        <v>4.333333333</v>
      </c>
    </row>
    <row r="23">
      <c r="A23" s="23" t="s">
        <v>55</v>
      </c>
      <c r="B23" s="13">
        <v>2.9533663E7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8"/>
      <c r="R23" s="18">
        <f t="shared" si="1"/>
        <v>0</v>
      </c>
      <c r="S23" s="22" t="str">
        <f t="shared" si="2"/>
        <v/>
      </c>
    </row>
    <row r="24">
      <c r="A24" s="12" t="s">
        <v>57</v>
      </c>
      <c r="B24" s="13">
        <v>3.0142697E7</v>
      </c>
      <c r="C24" s="15"/>
      <c r="D24" s="15"/>
      <c r="E24" s="15"/>
      <c r="F24" s="15"/>
      <c r="G24" s="15"/>
      <c r="H24" s="16">
        <v>1.0</v>
      </c>
      <c r="I24" s="15"/>
      <c r="J24" s="15"/>
      <c r="K24" s="15"/>
      <c r="L24" s="15"/>
      <c r="M24" s="15"/>
      <c r="N24" s="15"/>
      <c r="O24" s="15"/>
      <c r="P24" s="15"/>
      <c r="Q24" s="18"/>
      <c r="R24" s="18">
        <f t="shared" si="1"/>
        <v>0.06666666667</v>
      </c>
      <c r="S24" s="22">
        <f t="shared" si="2"/>
        <v>0.3333333333</v>
      </c>
    </row>
    <row r="25">
      <c r="A25" s="12" t="s">
        <v>59</v>
      </c>
      <c r="B25" s="13">
        <v>1.9820976E7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8"/>
      <c r="R25" s="18">
        <f t="shared" si="1"/>
        <v>0</v>
      </c>
      <c r="S25" s="22" t="str">
        <f t="shared" si="2"/>
        <v/>
      </c>
    </row>
    <row r="26">
      <c r="A26" s="23" t="s">
        <v>61</v>
      </c>
      <c r="B26" s="13">
        <v>3.0142131E7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8"/>
      <c r="R26" s="18">
        <f t="shared" si="1"/>
        <v>0</v>
      </c>
      <c r="S26" s="22" t="str">
        <f t="shared" si="2"/>
        <v/>
      </c>
    </row>
    <row r="27">
      <c r="A27" s="23" t="s">
        <v>63</v>
      </c>
      <c r="B27" s="13">
        <v>2.9965689E7</v>
      </c>
      <c r="C27" s="15"/>
      <c r="D27" s="15"/>
      <c r="E27" s="15"/>
      <c r="F27" s="15"/>
      <c r="G27" s="15"/>
      <c r="H27" s="16">
        <v>1.0</v>
      </c>
      <c r="I27" s="15"/>
      <c r="J27" s="15"/>
      <c r="K27" s="15"/>
      <c r="L27" s="15"/>
      <c r="M27" s="15"/>
      <c r="N27" s="15"/>
      <c r="O27" s="15"/>
      <c r="P27" s="15"/>
      <c r="Q27" s="18"/>
      <c r="R27" s="18">
        <f t="shared" si="1"/>
        <v>0.06666666667</v>
      </c>
      <c r="S27" s="22">
        <f t="shared" si="2"/>
        <v>0.3333333333</v>
      </c>
    </row>
    <row r="28">
      <c r="A28" s="23" t="s">
        <v>65</v>
      </c>
      <c r="B28" s="13">
        <v>2.779006E7</v>
      </c>
      <c r="C28" s="15"/>
      <c r="D28" s="15"/>
      <c r="E28" s="15"/>
      <c r="F28" s="15"/>
      <c r="G28" s="16">
        <v>1.0</v>
      </c>
      <c r="H28" s="15"/>
      <c r="I28" s="15"/>
      <c r="J28" s="15"/>
      <c r="K28" s="15"/>
      <c r="L28" s="15"/>
      <c r="M28" s="15"/>
      <c r="N28" s="15"/>
      <c r="O28" s="15"/>
      <c r="P28" s="15"/>
      <c r="Q28" s="18"/>
      <c r="R28" s="18">
        <f t="shared" si="1"/>
        <v>0.06666666667</v>
      </c>
      <c r="S28" s="22">
        <f t="shared" si="2"/>
        <v>0.3333333333</v>
      </c>
    </row>
    <row r="29">
      <c r="A29" s="12" t="s">
        <v>66</v>
      </c>
      <c r="B29" s="13">
        <v>3.0124022E7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8"/>
      <c r="R29" s="18">
        <f t="shared" si="1"/>
        <v>0</v>
      </c>
      <c r="S29" s="22" t="str">
        <f t="shared" si="2"/>
        <v/>
      </c>
    </row>
    <row r="30">
      <c r="A30" s="12" t="s">
        <v>68</v>
      </c>
      <c r="B30" s="13">
        <v>2.8317519E7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8"/>
      <c r="R30" s="18">
        <f t="shared" si="1"/>
        <v>0</v>
      </c>
      <c r="S30" s="22" t="str">
        <f t="shared" si="2"/>
        <v/>
      </c>
    </row>
  </sheetData>
  <mergeCells count="4">
    <mergeCell ref="C1:D1"/>
    <mergeCell ref="E1:F1"/>
    <mergeCell ref="G1:H1"/>
    <mergeCell ref="L1:M1"/>
  </mergeCells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</hyperlinks>
  <drawing r:id="rId29"/>
  <tableParts count="1">
    <tablePart r:id="rId31"/>
  </tableParts>
</worksheet>
</file>