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5"/>
    <sheet state="visible" name="Partic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">
      <text>
        <t xml:space="preserve">Ausencia justificada</t>
      </text>
    </comment>
    <comment authorId="0" ref="F21">
      <text>
        <t xml:space="preserve">Ausencia justificada</t>
      </text>
    </comment>
    <comment authorId="0" ref="G21">
      <text>
        <t xml:space="preserve">Ausencia justificada</t>
      </text>
    </comment>
    <comment authorId="0" ref="N9">
      <text>
        <t xml:space="preserve">Ausencia justificada</t>
      </text>
    </comment>
    <comment authorId="0" ref="O9">
      <text>
        <t xml:space="preserve">Ausencia justificada</t>
      </text>
    </comment>
    <comment authorId="0" ref="P9">
      <text>
        <t xml:space="preserve">Ausencia justificada</t>
      </text>
    </comment>
    <comment authorId="0" ref="Q9">
      <text>
        <t xml:space="preserve">Ausencia justificada</t>
      </text>
    </comment>
    <comment authorId="0" ref="R9">
      <text>
        <t xml:space="preserve">Ausencia justificada</t>
      </text>
    </comment>
  </commentList>
</comments>
</file>

<file path=xl/sharedStrings.xml><?xml version="1.0" encoding="utf-8"?>
<sst xmlns="http://schemas.openxmlformats.org/spreadsheetml/2006/main" count="136" uniqueCount="114">
  <si>
    <t>ID</t>
  </si>
  <si>
    <t>CEDULA</t>
  </si>
  <si>
    <t>APELLIDO</t>
  </si>
  <si>
    <t>NOMBRE</t>
  </si>
  <si>
    <t>Segundo nombre</t>
  </si>
  <si>
    <t>correo unimet</t>
  </si>
  <si>
    <t>Ananian</t>
  </si>
  <si>
    <t>Simon</t>
  </si>
  <si>
    <t>Rafael</t>
  </si>
  <si>
    <t>simon.ananian@correo.unimet.edu.ve,</t>
  </si>
  <si>
    <t>Arcia</t>
  </si>
  <si>
    <t>Luis</t>
  </si>
  <si>
    <t>Angel</t>
  </si>
  <si>
    <t>luis.arcia@correo.unimet.edu.ve,</t>
  </si>
  <si>
    <t>Nombre de pila</t>
  </si>
  <si>
    <t>Nombre y apellido</t>
  </si>
  <si>
    <t>Calderon</t>
  </si>
  <si>
    <t>Daniel</t>
  </si>
  <si>
    <t>Antonio</t>
  </si>
  <si>
    <t>daniel.calderon@correo.unimet.edu.ve,</t>
  </si>
  <si>
    <t>Casais</t>
  </si>
  <si>
    <t>Elohym</t>
  </si>
  <si>
    <t>Joham</t>
  </si>
  <si>
    <t>casais.elohym@correo.unimet.edu.ve,</t>
  </si>
  <si>
    <t>Castillo</t>
  </si>
  <si>
    <t>Adolfo</t>
  </si>
  <si>
    <t>Alexander</t>
  </si>
  <si>
    <t>adolfo.castillo@correo.unimet.edu.ve,</t>
  </si>
  <si>
    <t>Charco</t>
  </si>
  <si>
    <t>Isaac</t>
  </si>
  <si>
    <t>Israel</t>
  </si>
  <si>
    <t>i.charco@correo.unimet.edu.ve,</t>
  </si>
  <si>
    <t>Total</t>
  </si>
  <si>
    <t>Cuello</t>
  </si>
  <si>
    <t>Jabrieliz</t>
  </si>
  <si>
    <t>Virginia</t>
  </si>
  <si>
    <t>jabrieliz.cuello@correo.unimet.edu.ve,</t>
  </si>
  <si>
    <t>De Michele</t>
  </si>
  <si>
    <t>Elizabeth</t>
  </si>
  <si>
    <t>Sarah Valentina</t>
  </si>
  <si>
    <t>elidemichele@correo.unimet.edu.ve,</t>
  </si>
  <si>
    <t>Del Giudice</t>
  </si>
  <si>
    <t>Gianmarco</t>
  </si>
  <si>
    <t>gianmarco.delgiudice@correo.unimet.edu.ve,</t>
  </si>
  <si>
    <t>Giner</t>
  </si>
  <si>
    <t>Santiago</t>
  </si>
  <si>
    <t>Ricarte</t>
  </si>
  <si>
    <t>santiago.giner@correo.unimet.edu.ve,</t>
  </si>
  <si>
    <t>Gonzalez</t>
  </si>
  <si>
    <t>Eduardo</t>
  </si>
  <si>
    <t>Andres</t>
  </si>
  <si>
    <t>g.eduardo@correo.unimet.edu.ve,</t>
  </si>
  <si>
    <t>Guzzo</t>
  </si>
  <si>
    <t>Alfredo</t>
  </si>
  <si>
    <t>antonio.guzzo@correo.unimet.edu.ve,</t>
  </si>
  <si>
    <t>Hernandez</t>
  </si>
  <si>
    <t>Gabriel</t>
  </si>
  <si>
    <t>Alejandro</t>
  </si>
  <si>
    <t>gabriel-hernandez@correo.unimet.edu.ve,</t>
  </si>
  <si>
    <t>Hurtado</t>
  </si>
  <si>
    <t>Kelvin</t>
  </si>
  <si>
    <t>Enrique</t>
  </si>
  <si>
    <t>h.kelvin@correo.unimet.edu.ve,</t>
  </si>
  <si>
    <t>Loynaz</t>
  </si>
  <si>
    <t>Alexandra</t>
  </si>
  <si>
    <t>Eugenia</t>
  </si>
  <si>
    <t>alexandra.loynaz@correo.unimet.edu.ve,</t>
  </si>
  <si>
    <t>Lynch</t>
  </si>
  <si>
    <t>Corina</t>
  </si>
  <si>
    <t>Beatriz</t>
  </si>
  <si>
    <t>c.lynch@correo.unimet.edu.ve,</t>
  </si>
  <si>
    <t>Martens</t>
  </si>
  <si>
    <t>alejandro.martens@correo.unimet.edu.ve,</t>
  </si>
  <si>
    <t>Mendez</t>
  </si>
  <si>
    <t>Nicolas</t>
  </si>
  <si>
    <t>n.mendez@correo.unimet.edu.ve,</t>
  </si>
  <si>
    <t>Méndez</t>
  </si>
  <si>
    <t>Sebastián</t>
  </si>
  <si>
    <t>Andrés</t>
  </si>
  <si>
    <t>sebastian.mendez@correo.unimet.edu.ve,</t>
  </si>
  <si>
    <t>Pareles</t>
  </si>
  <si>
    <t>Andrea</t>
  </si>
  <si>
    <t>Patricia</t>
  </si>
  <si>
    <t>andrea.pareles@correo.unimet.edu.ve,</t>
  </si>
  <si>
    <t>Perez</t>
  </si>
  <si>
    <t>perez.gabriel@correo.unimet.edu.ve,</t>
  </si>
  <si>
    <t>Petit</t>
  </si>
  <si>
    <t>npetit@correo.unimet.edu.ve,</t>
  </si>
  <si>
    <t>Quintero</t>
  </si>
  <si>
    <t>alejandro.quintero@correo.unimet.edu.ve,</t>
  </si>
  <si>
    <t>Rodríguez</t>
  </si>
  <si>
    <t>Jesus</t>
  </si>
  <si>
    <t>je.rodriguez@correo.unimet.edu.ve,</t>
  </si>
  <si>
    <t>Rojas</t>
  </si>
  <si>
    <t>Luciano</t>
  </si>
  <si>
    <t>Nicola</t>
  </si>
  <si>
    <t>luciano.rojas@correo.unimet.edu.ve,</t>
  </si>
  <si>
    <t>Salimbeni</t>
  </si>
  <si>
    <t>César</t>
  </si>
  <si>
    <t>cesar.salimbeni@correo.unimet.edu.ve,</t>
  </si>
  <si>
    <t>Schneider</t>
  </si>
  <si>
    <t>Jesús</t>
  </si>
  <si>
    <t>jesus.schneider@correo.unimet.edu.ve,</t>
  </si>
  <si>
    <t>Silva</t>
  </si>
  <si>
    <t>Elva</t>
  </si>
  <si>
    <t>María</t>
  </si>
  <si>
    <t>elva.silva@correo.unimet.edu.ve,</t>
  </si>
  <si>
    <t>Sánchez</t>
  </si>
  <si>
    <t>Victoria</t>
  </si>
  <si>
    <t>s.andrea@correo.unimet.edu.ve,</t>
  </si>
  <si>
    <t>Yrady</t>
  </si>
  <si>
    <t>Richard</t>
  </si>
  <si>
    <t>richard.yrady@correo.unimet.edu.ve,</t>
  </si>
  <si>
    <t>⚕️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</si>
</sst>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mmm d"/>
    <numFmt numFmtId="166" formatCode="mmmm d"/>
    <numFmt numFmtId="167" formatCode="d mm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2" numFmtId="0" xfId="0" applyAlignment="1" applyFill="1" applyFont="1">
      <alignment readingOrder="0"/>
    </xf>
    <xf borderId="0" fillId="0" fontId="1" numFmtId="0" xfId="0" applyFont="1"/>
    <xf borderId="0" fillId="4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4" fontId="2" numFmtId="0" xfId="0" applyFill="1" applyFont="1"/>
    <xf borderId="0" fillId="0" fontId="2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Parti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X32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Parti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8.38"/>
    <col customWidth="1" min="3" max="3" width="9.63"/>
    <col customWidth="1" min="4" max="4" width="9.13"/>
    <col customWidth="1" min="5" max="5" width="8.38"/>
    <col customWidth="1" min="6" max="6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3.1965501E7</v>
      </c>
      <c r="C2" s="3" t="s">
        <v>6</v>
      </c>
      <c r="D2" s="3" t="s">
        <v>7</v>
      </c>
      <c r="E2" s="3" t="s">
        <v>8</v>
      </c>
      <c r="F2" s="3" t="s">
        <v>9</v>
      </c>
    </row>
    <row r="3">
      <c r="A3" s="5">
        <v>2.0</v>
      </c>
      <c r="B3" s="5">
        <v>3.0124773E7</v>
      </c>
      <c r="C3" s="5" t="s">
        <v>10</v>
      </c>
      <c r="D3" s="5" t="s">
        <v>11</v>
      </c>
      <c r="E3" s="5" t="s">
        <v>12</v>
      </c>
      <c r="F3" s="5" t="s">
        <v>13</v>
      </c>
    </row>
    <row r="4">
      <c r="A4" s="3">
        <v>3.0</v>
      </c>
      <c r="B4" s="3">
        <v>2.9947503E7</v>
      </c>
      <c r="C4" s="3" t="s">
        <v>16</v>
      </c>
      <c r="D4" s="3" t="s">
        <v>17</v>
      </c>
      <c r="E4" s="3" t="s">
        <v>18</v>
      </c>
      <c r="F4" s="3" t="s">
        <v>19</v>
      </c>
    </row>
    <row r="5">
      <c r="A5" s="5">
        <v>4.0</v>
      </c>
      <c r="B5" s="5">
        <v>3.249131E7</v>
      </c>
      <c r="C5" s="5" t="s">
        <v>20</v>
      </c>
      <c r="D5" s="5" t="s">
        <v>21</v>
      </c>
      <c r="E5" s="5" t="s">
        <v>22</v>
      </c>
      <c r="F5" s="5" t="s">
        <v>23</v>
      </c>
    </row>
    <row r="6">
      <c r="A6" s="3">
        <v>5.0</v>
      </c>
      <c r="B6" s="3">
        <v>3.093865E7</v>
      </c>
      <c r="C6" s="3" t="s">
        <v>24</v>
      </c>
      <c r="D6" s="3" t="s">
        <v>25</v>
      </c>
      <c r="E6" s="3" t="s">
        <v>26</v>
      </c>
      <c r="F6" s="3" t="s">
        <v>27</v>
      </c>
    </row>
    <row r="7">
      <c r="A7" s="5">
        <v>6.0</v>
      </c>
      <c r="B7" s="5">
        <v>2.9756222E7</v>
      </c>
      <c r="C7" s="5" t="s">
        <v>28</v>
      </c>
      <c r="D7" s="5" t="s">
        <v>29</v>
      </c>
      <c r="E7" s="5" t="s">
        <v>30</v>
      </c>
      <c r="F7" s="5" t="s">
        <v>31</v>
      </c>
    </row>
    <row r="8">
      <c r="A8" s="3">
        <v>7.0</v>
      </c>
      <c r="B8" s="3">
        <v>3.1979214E7</v>
      </c>
      <c r="C8" s="3" t="s">
        <v>33</v>
      </c>
      <c r="D8" s="3" t="s">
        <v>34</v>
      </c>
      <c r="E8" s="3" t="s">
        <v>35</v>
      </c>
      <c r="F8" s="3" t="s">
        <v>36</v>
      </c>
    </row>
    <row r="9">
      <c r="A9" s="5">
        <v>8.0</v>
      </c>
      <c r="B9" s="5">
        <v>3.1046379E7</v>
      </c>
      <c r="C9" s="5" t="s">
        <v>37</v>
      </c>
      <c r="D9" s="5" t="s">
        <v>38</v>
      </c>
      <c r="E9" s="5" t="s">
        <v>39</v>
      </c>
      <c r="F9" s="5" t="s">
        <v>40</v>
      </c>
    </row>
    <row r="10">
      <c r="A10" s="3">
        <v>9.0</v>
      </c>
      <c r="B10" s="3">
        <v>3.0751712E7</v>
      </c>
      <c r="C10" s="3" t="s">
        <v>41</v>
      </c>
      <c r="D10" s="3" t="s">
        <v>42</v>
      </c>
      <c r="F10" s="3" t="s">
        <v>43</v>
      </c>
    </row>
    <row r="11">
      <c r="A11" s="5">
        <v>10.0</v>
      </c>
      <c r="B11" s="5">
        <v>2.9551895E7</v>
      </c>
      <c r="C11" s="5" t="s">
        <v>44</v>
      </c>
      <c r="D11" s="5" t="s">
        <v>45</v>
      </c>
      <c r="E11" s="5" t="s">
        <v>46</v>
      </c>
      <c r="F11" s="5" t="s">
        <v>47</v>
      </c>
    </row>
    <row r="12">
      <c r="A12" s="3">
        <v>11.0</v>
      </c>
      <c r="B12" s="3">
        <v>3.0906471E7</v>
      </c>
      <c r="C12" s="3" t="s">
        <v>48</v>
      </c>
      <c r="D12" s="3" t="s">
        <v>49</v>
      </c>
      <c r="E12" s="3" t="s">
        <v>50</v>
      </c>
      <c r="F12" s="3" t="s">
        <v>51</v>
      </c>
    </row>
    <row r="13">
      <c r="A13" s="5">
        <v>12.0</v>
      </c>
      <c r="B13" s="5">
        <v>3.1935772E7</v>
      </c>
      <c r="C13" s="5" t="s">
        <v>52</v>
      </c>
      <c r="D13" s="5" t="s">
        <v>18</v>
      </c>
      <c r="E13" s="5" t="s">
        <v>53</v>
      </c>
      <c r="F13" s="5" t="s">
        <v>54</v>
      </c>
    </row>
    <row r="14">
      <c r="A14" s="3">
        <v>13.0</v>
      </c>
      <c r="B14" s="3">
        <v>3.0062942E7</v>
      </c>
      <c r="C14" s="3" t="s">
        <v>55</v>
      </c>
      <c r="D14" s="3" t="s">
        <v>56</v>
      </c>
      <c r="E14" s="3" t="s">
        <v>57</v>
      </c>
      <c r="F14" s="3" t="s">
        <v>58</v>
      </c>
    </row>
    <row r="15">
      <c r="A15" s="5">
        <v>14.0</v>
      </c>
      <c r="B15" s="5">
        <v>2.6794618E7</v>
      </c>
      <c r="C15" s="5" t="s">
        <v>59</v>
      </c>
      <c r="D15" s="5" t="s">
        <v>60</v>
      </c>
      <c r="E15" s="5" t="s">
        <v>61</v>
      </c>
      <c r="F15" s="5" t="s">
        <v>62</v>
      </c>
    </row>
    <row r="16">
      <c r="A16" s="3">
        <v>15.0</v>
      </c>
      <c r="B16" s="3">
        <v>2.9780609E7</v>
      </c>
      <c r="C16" s="3" t="s">
        <v>63</v>
      </c>
      <c r="D16" s="3" t="s">
        <v>64</v>
      </c>
      <c r="E16" s="3" t="s">
        <v>65</v>
      </c>
      <c r="F16" s="3" t="s">
        <v>66</v>
      </c>
    </row>
    <row r="17">
      <c r="A17" s="5">
        <v>16.0</v>
      </c>
      <c r="B17" s="5">
        <v>3.1894531E7</v>
      </c>
      <c r="C17" s="5" t="s">
        <v>67</v>
      </c>
      <c r="D17" s="5" t="s">
        <v>68</v>
      </c>
      <c r="E17" s="5" t="s">
        <v>69</v>
      </c>
      <c r="F17" s="5" t="s">
        <v>70</v>
      </c>
    </row>
    <row r="18">
      <c r="A18" s="3">
        <v>17.0</v>
      </c>
      <c r="B18" s="3">
        <v>2.5991576E7</v>
      </c>
      <c r="C18" s="3" t="s">
        <v>71</v>
      </c>
      <c r="D18" s="3" t="s">
        <v>57</v>
      </c>
      <c r="E18" s="3" t="s">
        <v>50</v>
      </c>
      <c r="F18" s="3" t="s">
        <v>72</v>
      </c>
    </row>
    <row r="19">
      <c r="A19" s="5">
        <v>18.0</v>
      </c>
      <c r="B19" s="5">
        <v>3.198526E7</v>
      </c>
      <c r="C19" s="5" t="s">
        <v>73</v>
      </c>
      <c r="D19" s="5" t="s">
        <v>74</v>
      </c>
      <c r="E19" s="5" t="s">
        <v>49</v>
      </c>
      <c r="F19" s="5" t="s">
        <v>75</v>
      </c>
    </row>
    <row r="20">
      <c r="A20" s="3">
        <v>19.0</v>
      </c>
      <c r="B20" s="3">
        <v>2.9965751E7</v>
      </c>
      <c r="C20" s="3" t="s">
        <v>76</v>
      </c>
      <c r="D20" s="3" t="s">
        <v>77</v>
      </c>
      <c r="E20" s="3" t="s">
        <v>78</v>
      </c>
      <c r="F20" s="3" t="s">
        <v>79</v>
      </c>
    </row>
    <row r="21">
      <c r="A21" s="5">
        <v>20.0</v>
      </c>
      <c r="B21" s="5">
        <v>2.9678527E7</v>
      </c>
      <c r="C21" s="5" t="s">
        <v>80</v>
      </c>
      <c r="D21" s="5" t="s">
        <v>81</v>
      </c>
      <c r="E21" s="5" t="s">
        <v>82</v>
      </c>
      <c r="F21" s="5" t="s">
        <v>83</v>
      </c>
    </row>
    <row r="22">
      <c r="A22" s="3">
        <v>21.0</v>
      </c>
      <c r="B22" s="3">
        <v>3.1307375E7</v>
      </c>
      <c r="C22" s="3" t="s">
        <v>84</v>
      </c>
      <c r="D22" s="3" t="s">
        <v>56</v>
      </c>
      <c r="E22" s="3" t="s">
        <v>57</v>
      </c>
      <c r="F22" s="3" t="s">
        <v>85</v>
      </c>
    </row>
    <row r="23">
      <c r="A23" s="5">
        <v>22.0</v>
      </c>
      <c r="B23" s="5">
        <v>3.0845922E7</v>
      </c>
      <c r="C23" s="5" t="s">
        <v>86</v>
      </c>
      <c r="D23" s="5" t="s">
        <v>74</v>
      </c>
      <c r="E23" s="16"/>
      <c r="F23" s="5" t="s">
        <v>87</v>
      </c>
    </row>
    <row r="24">
      <c r="A24" s="3">
        <v>23.0</v>
      </c>
      <c r="B24" s="3">
        <v>3.0513257E7</v>
      </c>
      <c r="C24" s="3" t="s">
        <v>88</v>
      </c>
      <c r="D24" s="3" t="s">
        <v>57</v>
      </c>
      <c r="E24" s="3" t="s">
        <v>61</v>
      </c>
      <c r="F24" s="3" t="s">
        <v>89</v>
      </c>
    </row>
    <row r="25">
      <c r="A25" s="5">
        <v>24.0</v>
      </c>
      <c r="B25" s="5">
        <v>3.0229939E7</v>
      </c>
      <c r="C25" s="5" t="s">
        <v>90</v>
      </c>
      <c r="D25" s="5" t="s">
        <v>91</v>
      </c>
      <c r="E25" s="5" t="s">
        <v>56</v>
      </c>
      <c r="F25" s="5" t="s">
        <v>92</v>
      </c>
    </row>
    <row r="26">
      <c r="A26" s="3">
        <v>25.0</v>
      </c>
      <c r="B26" s="3">
        <v>3.1255343E7</v>
      </c>
      <c r="C26" s="3" t="s">
        <v>93</v>
      </c>
      <c r="D26" s="3" t="s">
        <v>94</v>
      </c>
      <c r="E26" s="3" t="s">
        <v>95</v>
      </c>
      <c r="F26" s="3" t="s">
        <v>96</v>
      </c>
    </row>
    <row r="27">
      <c r="A27" s="5">
        <v>26.0</v>
      </c>
      <c r="B27" s="5">
        <v>3.2121917E7</v>
      </c>
      <c r="C27" s="5" t="s">
        <v>97</v>
      </c>
      <c r="D27" s="5" t="s">
        <v>98</v>
      </c>
      <c r="E27" s="5" t="s">
        <v>26</v>
      </c>
      <c r="F27" s="5" t="s">
        <v>99</v>
      </c>
    </row>
    <row r="28">
      <c r="A28" s="3">
        <v>27.0</v>
      </c>
      <c r="B28" s="3">
        <v>2.9625956E7</v>
      </c>
      <c r="C28" s="3" t="s">
        <v>100</v>
      </c>
      <c r="D28" s="3" t="s">
        <v>101</v>
      </c>
      <c r="E28" s="3" t="s">
        <v>57</v>
      </c>
      <c r="F28" s="3" t="s">
        <v>102</v>
      </c>
    </row>
    <row r="29">
      <c r="A29" s="5">
        <v>28.0</v>
      </c>
      <c r="B29" s="5">
        <v>3.212211E7</v>
      </c>
      <c r="C29" s="5" t="s">
        <v>103</v>
      </c>
      <c r="D29" s="5" t="s">
        <v>104</v>
      </c>
      <c r="E29" s="5" t="s">
        <v>105</v>
      </c>
      <c r="F29" s="5" t="s">
        <v>106</v>
      </c>
    </row>
    <row r="30">
      <c r="A30" s="3">
        <v>29.0</v>
      </c>
      <c r="B30" s="3">
        <v>3.1101508E7</v>
      </c>
      <c r="C30" s="3" t="s">
        <v>107</v>
      </c>
      <c r="D30" s="3" t="s">
        <v>81</v>
      </c>
      <c r="E30" s="3" t="s">
        <v>108</v>
      </c>
      <c r="F30" s="3" t="s">
        <v>109</v>
      </c>
    </row>
    <row r="31">
      <c r="A31" s="5">
        <v>30.0</v>
      </c>
      <c r="B31" s="5">
        <v>3.0715365E7</v>
      </c>
      <c r="C31" s="5" t="s">
        <v>110</v>
      </c>
      <c r="D31" s="5" t="s">
        <v>111</v>
      </c>
      <c r="E31" s="5" t="s">
        <v>57</v>
      </c>
      <c r="F31" s="5" t="s">
        <v>112</v>
      </c>
    </row>
  </sheetData>
  <mergeCells count="1">
    <mergeCell ref="D10:E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8.38"/>
    <col customWidth="1" min="3" max="3" width="13.25"/>
    <col customWidth="1" min="4" max="4" width="18.25"/>
    <col customWidth="1" min="5" max="7" width="6.13"/>
    <col customWidth="1" min="8" max="9" width="5.63"/>
    <col customWidth="1" min="10" max="14" width="6.5"/>
    <col customWidth="1" min="15" max="15" width="4.88"/>
    <col customWidth="1" min="16" max="16" width="6.25"/>
    <col customWidth="1" min="17" max="17" width="6.75"/>
    <col customWidth="1" min="18" max="20" width="6.25"/>
    <col customWidth="1" min="21" max="23" width="4.88"/>
    <col customWidth="1" min="24" max="24" width="5.25"/>
  </cols>
  <sheetData>
    <row r="1">
      <c r="A1" s="4" t="str">
        <f>Lista!A1</f>
        <v>ID</v>
      </c>
      <c r="B1" s="4" t="str">
        <f>Lista!B1</f>
        <v>CEDULA</v>
      </c>
      <c r="C1" s="6" t="s">
        <v>14</v>
      </c>
      <c r="D1" s="6" t="s">
        <v>15</v>
      </c>
      <c r="E1" s="7">
        <v>45769.0</v>
      </c>
      <c r="F1" s="7">
        <v>45771.0</v>
      </c>
      <c r="G1" s="7">
        <v>45776.0</v>
      </c>
      <c r="H1" s="8">
        <v>45783.0</v>
      </c>
      <c r="I1" s="9">
        <v>45785.0</v>
      </c>
      <c r="J1" s="10">
        <v>45790.0</v>
      </c>
      <c r="K1" s="10">
        <v>45792.0</v>
      </c>
      <c r="L1" s="10">
        <v>45797.0</v>
      </c>
      <c r="M1" s="10">
        <v>45799.0</v>
      </c>
      <c r="N1" s="10">
        <v>45806.0</v>
      </c>
      <c r="O1" s="8">
        <v>45811.0</v>
      </c>
      <c r="P1" s="8">
        <v>45818.0</v>
      </c>
      <c r="Q1" s="8">
        <v>45820.0</v>
      </c>
      <c r="R1" s="8">
        <v>45825.0</v>
      </c>
      <c r="S1" s="8">
        <v>45827.0</v>
      </c>
      <c r="T1" s="8">
        <v>45834.0</v>
      </c>
      <c r="U1" s="8">
        <v>45839.0</v>
      </c>
      <c r="V1" s="8">
        <v>45846.0</v>
      </c>
      <c r="W1" s="6" t="s">
        <v>32</v>
      </c>
      <c r="X1" s="11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12">
        <f>Lista!A2</f>
        <v>1</v>
      </c>
      <c r="B2" s="12">
        <f>Lista!B2</f>
        <v>31965501</v>
      </c>
      <c r="C2" s="12" t="str">
        <f>Lista!D2&amp;" "&amp;Lista!E2</f>
        <v>Simon Rafael</v>
      </c>
      <c r="D2" s="12" t="str">
        <f>Lista!D2&amp;" "&amp;Lista!C2</f>
        <v>Simon Ananian</v>
      </c>
      <c r="E2" s="13">
        <v>1.0</v>
      </c>
      <c r="F2" s="14"/>
      <c r="G2" s="13">
        <v>1.0</v>
      </c>
      <c r="H2" s="14"/>
      <c r="I2" s="13">
        <v>1.0</v>
      </c>
      <c r="J2" s="13">
        <v>2.0</v>
      </c>
      <c r="K2" s="13">
        <v>1.0</v>
      </c>
      <c r="L2" s="13">
        <v>1.0</v>
      </c>
      <c r="M2" s="14"/>
      <c r="N2" s="13">
        <v>4.0</v>
      </c>
      <c r="O2" s="13">
        <v>1.0</v>
      </c>
      <c r="P2" s="13">
        <v>3.0</v>
      </c>
      <c r="Q2" s="11"/>
      <c r="R2" s="13">
        <v>2.0</v>
      </c>
      <c r="S2" s="13">
        <v>5.0</v>
      </c>
      <c r="T2" s="13">
        <v>3.0</v>
      </c>
      <c r="U2" s="13">
        <v>4.0</v>
      </c>
      <c r="V2" s="13">
        <v>7.0</v>
      </c>
      <c r="W2" s="11">
        <f t="shared" ref="W2:W3" si="1">SUM(E2:V2)</f>
        <v>36</v>
      </c>
      <c r="X2" s="15">
        <f t="shared" ref="X2:X8" si="2">W2/(counta($E$1:$W$1)-1)</f>
        <v>2</v>
      </c>
    </row>
    <row r="3">
      <c r="A3" s="12">
        <f>Lista!A3</f>
        <v>2</v>
      </c>
      <c r="B3" s="12">
        <f>Lista!B3</f>
        <v>30124773</v>
      </c>
      <c r="C3" s="12" t="str">
        <f>Lista!D3&amp;" "&amp;Lista!E3</f>
        <v>Luis Angel</v>
      </c>
      <c r="D3" s="12" t="str">
        <f>Lista!D3&amp;" "&amp;Lista!C3</f>
        <v>Luis Arcia</v>
      </c>
      <c r="E3" s="13">
        <v>1.0</v>
      </c>
      <c r="F3" s="13">
        <v>2.0</v>
      </c>
      <c r="G3" s="13">
        <v>1.0</v>
      </c>
      <c r="H3" s="13">
        <v>1.0</v>
      </c>
      <c r="I3" s="13">
        <v>1.0</v>
      </c>
      <c r="J3" s="14"/>
      <c r="K3" s="14"/>
      <c r="L3" s="13">
        <v>1.0</v>
      </c>
      <c r="M3" s="14"/>
      <c r="N3" s="13">
        <v>4.0</v>
      </c>
      <c r="O3" s="13">
        <v>1.0</v>
      </c>
      <c r="P3" s="13">
        <v>2.0</v>
      </c>
      <c r="Q3" s="14"/>
      <c r="R3" s="13">
        <v>3.0</v>
      </c>
      <c r="S3" s="13">
        <v>6.0</v>
      </c>
      <c r="T3" s="13">
        <v>1.0</v>
      </c>
      <c r="U3" s="13">
        <v>1.0</v>
      </c>
      <c r="V3" s="13">
        <v>2.0</v>
      </c>
      <c r="W3" s="11">
        <f t="shared" si="1"/>
        <v>27</v>
      </c>
      <c r="X3" s="15">
        <f t="shared" si="2"/>
        <v>1.5</v>
      </c>
    </row>
    <row r="4">
      <c r="A4" s="12">
        <f>Lista!A4</f>
        <v>3</v>
      </c>
      <c r="B4" s="12">
        <f>Lista!B4</f>
        <v>29947503</v>
      </c>
      <c r="C4" s="12" t="str">
        <f>Lista!D4&amp;" "&amp;Lista!E4</f>
        <v>Daniel Antonio</v>
      </c>
      <c r="D4" s="12" t="str">
        <f>Lista!D4&amp;" "&amp;Lista!C4</f>
        <v>Daniel Calderon</v>
      </c>
      <c r="E4" s="12"/>
      <c r="F4" s="12"/>
      <c r="G4" s="12"/>
      <c r="H4" s="14"/>
      <c r="I4" s="14"/>
      <c r="J4" s="14"/>
      <c r="K4" s="14"/>
      <c r="L4" s="14"/>
      <c r="M4" s="14"/>
      <c r="N4" s="14"/>
      <c r="O4" s="14"/>
      <c r="P4" s="11"/>
      <c r="Q4" s="11"/>
      <c r="R4" s="11"/>
      <c r="S4" s="11"/>
      <c r="T4" s="11"/>
      <c r="U4" s="11"/>
      <c r="V4" s="11"/>
      <c r="W4" s="11">
        <f t="shared" ref="W4:W7" si="3">SUM(E4:U4)</f>
        <v>0</v>
      </c>
      <c r="X4" s="15">
        <f t="shared" si="2"/>
        <v>0</v>
      </c>
    </row>
    <row r="5">
      <c r="A5" s="12">
        <f>Lista!A5</f>
        <v>4</v>
      </c>
      <c r="B5" s="12">
        <f>Lista!B5</f>
        <v>32491310</v>
      </c>
      <c r="C5" s="12" t="str">
        <f>Lista!D5&amp;" "&amp;Lista!E5</f>
        <v>Elohym Joham</v>
      </c>
      <c r="D5" s="12" t="str">
        <f>Lista!D5&amp;" "&amp;Lista!C5</f>
        <v>Elohym Casais</v>
      </c>
      <c r="E5" s="13">
        <v>1.0</v>
      </c>
      <c r="F5" s="14"/>
      <c r="G5" s="13">
        <v>1.0</v>
      </c>
      <c r="H5" s="14"/>
      <c r="I5" s="13">
        <v>1.0</v>
      </c>
      <c r="J5" s="14"/>
      <c r="K5" s="14"/>
      <c r="L5" s="14"/>
      <c r="M5" s="14"/>
      <c r="N5" s="14"/>
      <c r="O5" s="14"/>
      <c r="P5" s="11"/>
      <c r="Q5" s="11"/>
      <c r="R5" s="11"/>
      <c r="S5" s="11"/>
      <c r="T5" s="11"/>
      <c r="U5" s="11"/>
      <c r="V5" s="11"/>
      <c r="W5" s="11">
        <f t="shared" si="3"/>
        <v>3</v>
      </c>
      <c r="X5" s="15">
        <f t="shared" si="2"/>
        <v>0.1666666667</v>
      </c>
    </row>
    <row r="6">
      <c r="A6" s="12">
        <f>Lista!A6</f>
        <v>5</v>
      </c>
      <c r="B6" s="12">
        <f>Lista!B6</f>
        <v>30938650</v>
      </c>
      <c r="C6" s="12" t="str">
        <f>Lista!D6&amp;" "&amp;Lista!E6</f>
        <v>Adolfo Alexander</v>
      </c>
      <c r="D6" s="12" t="str">
        <f>Lista!D6&amp;" "&amp;Lista!C6</f>
        <v>Adolfo Castillo</v>
      </c>
      <c r="E6" s="13">
        <v>1.0</v>
      </c>
      <c r="F6" s="13">
        <v>1.0</v>
      </c>
      <c r="G6" s="13">
        <v>1.0</v>
      </c>
      <c r="H6" s="14"/>
      <c r="I6" s="14"/>
      <c r="J6" s="14"/>
      <c r="K6" s="14"/>
      <c r="L6" s="14"/>
      <c r="M6" s="14"/>
      <c r="N6" s="14"/>
      <c r="O6" s="14"/>
      <c r="P6" s="11"/>
      <c r="Q6" s="11"/>
      <c r="R6" s="11"/>
      <c r="S6" s="11"/>
      <c r="T6" s="11"/>
      <c r="U6" s="11"/>
      <c r="V6" s="11"/>
      <c r="W6" s="11">
        <f t="shared" si="3"/>
        <v>3</v>
      </c>
      <c r="X6" s="15">
        <f t="shared" si="2"/>
        <v>0.1666666667</v>
      </c>
    </row>
    <row r="7">
      <c r="A7" s="12">
        <f>Lista!A7</f>
        <v>6</v>
      </c>
      <c r="B7" s="12">
        <f>Lista!B7</f>
        <v>29756222</v>
      </c>
      <c r="C7" s="12" t="str">
        <f>Lista!D7&amp;" "&amp;Lista!E7</f>
        <v>Isaac Israel</v>
      </c>
      <c r="D7" s="12" t="str">
        <f>Lista!D7&amp;" "&amp;Lista!C7</f>
        <v>Isaac Charco</v>
      </c>
      <c r="E7" s="12"/>
      <c r="F7" s="12"/>
      <c r="G7" s="12"/>
      <c r="H7" s="14"/>
      <c r="I7" s="14"/>
      <c r="J7" s="14"/>
      <c r="K7" s="14"/>
      <c r="L7" s="14"/>
      <c r="M7" s="14"/>
      <c r="N7" s="14"/>
      <c r="O7" s="14"/>
      <c r="P7" s="11"/>
      <c r="Q7" s="14"/>
      <c r="R7" s="14"/>
      <c r="S7" s="11"/>
      <c r="T7" s="11"/>
      <c r="U7" s="11"/>
      <c r="V7" s="11"/>
      <c r="W7" s="11">
        <f t="shared" si="3"/>
        <v>0</v>
      </c>
      <c r="X7" s="15">
        <f t="shared" si="2"/>
        <v>0</v>
      </c>
    </row>
    <row r="8">
      <c r="A8" s="12">
        <f>Lista!A8</f>
        <v>7</v>
      </c>
      <c r="B8" s="12">
        <f>Lista!B8</f>
        <v>31979214</v>
      </c>
      <c r="C8" s="12" t="str">
        <f>Lista!D8&amp;" "&amp;Lista!E8</f>
        <v>Jabrieliz Virginia</v>
      </c>
      <c r="D8" s="12" t="str">
        <f>Lista!D8&amp;" "&amp;Lista!C8</f>
        <v>Jabrieliz Cuello</v>
      </c>
      <c r="E8" s="13">
        <v>1.0</v>
      </c>
      <c r="F8" s="14"/>
      <c r="G8" s="14"/>
      <c r="H8" s="13">
        <v>1.0</v>
      </c>
      <c r="I8" s="13">
        <v>1.0</v>
      </c>
      <c r="J8" s="14"/>
      <c r="K8" s="13">
        <v>1.0</v>
      </c>
      <c r="L8" s="13">
        <v>1.0</v>
      </c>
      <c r="M8" s="14"/>
      <c r="N8" s="14"/>
      <c r="O8" s="13">
        <v>1.0</v>
      </c>
      <c r="P8" s="11"/>
      <c r="Q8" s="13">
        <v>1.0</v>
      </c>
      <c r="R8" s="13">
        <v>1.0</v>
      </c>
      <c r="S8" s="11"/>
      <c r="T8" s="13">
        <v>1.0</v>
      </c>
      <c r="U8" s="11"/>
      <c r="V8" s="13">
        <v>2.0</v>
      </c>
      <c r="W8" s="11">
        <f>SUM(E8:V8)</f>
        <v>11</v>
      </c>
      <c r="X8" s="15">
        <f t="shared" si="2"/>
        <v>0.6111111111</v>
      </c>
    </row>
    <row r="9">
      <c r="A9" s="12">
        <f>Lista!A9</f>
        <v>8</v>
      </c>
      <c r="B9" s="12">
        <f>Lista!B9</f>
        <v>31046379</v>
      </c>
      <c r="C9" s="12" t="str">
        <f>Lista!D9&amp;" "&amp;Lista!E9</f>
        <v>Elizabeth Sarah Valentina</v>
      </c>
      <c r="D9" s="12" t="str">
        <f>Lista!D9&amp;" "&amp;Lista!C9</f>
        <v>Elizabeth De Michele</v>
      </c>
      <c r="E9" s="12"/>
      <c r="F9" s="13">
        <v>3.0</v>
      </c>
      <c r="G9" s="13">
        <v>1.0</v>
      </c>
      <c r="H9" s="13">
        <v>1.0</v>
      </c>
      <c r="I9" s="13">
        <v>1.0</v>
      </c>
      <c r="J9" s="14"/>
      <c r="K9" s="13">
        <v>1.0</v>
      </c>
      <c r="L9" s="13">
        <v>1.0</v>
      </c>
      <c r="M9" s="14"/>
      <c r="N9" s="17" t="s">
        <v>113</v>
      </c>
      <c r="O9" s="17" t="s">
        <v>113</v>
      </c>
      <c r="P9" s="17" t="s">
        <v>113</v>
      </c>
      <c r="Q9" s="17" t="s">
        <v>113</v>
      </c>
      <c r="R9" s="17" t="s">
        <v>113</v>
      </c>
      <c r="S9" s="6">
        <v>6.0</v>
      </c>
      <c r="T9" s="13">
        <v>2.0</v>
      </c>
      <c r="U9" s="13">
        <v>2.0</v>
      </c>
      <c r="V9" s="11"/>
      <c r="W9" s="11">
        <f t="shared" ref="W9:W15" si="4">SUM(E9:U9)</f>
        <v>18</v>
      </c>
      <c r="X9" s="15">
        <f>W9/(counta($E$1:$W$1)-1-5)</f>
        <v>1.384615385</v>
      </c>
    </row>
    <row r="10">
      <c r="A10" s="12">
        <f>Lista!A10</f>
        <v>9</v>
      </c>
      <c r="B10" s="12">
        <f>Lista!B10</f>
        <v>30751712</v>
      </c>
      <c r="C10" s="12" t="str">
        <f>Lista!D10&amp;" "&amp;Lista!E10</f>
        <v>Gianmarco </v>
      </c>
      <c r="D10" s="12" t="str">
        <f>Lista!D10&amp;" "&amp;Lista!C10</f>
        <v>Gianmarco Del Giudice</v>
      </c>
      <c r="E10" s="13">
        <v>1.0</v>
      </c>
      <c r="F10" s="13">
        <v>3.0</v>
      </c>
      <c r="G10" s="13">
        <v>1.0</v>
      </c>
      <c r="H10" s="13">
        <v>1.0</v>
      </c>
      <c r="I10" s="13">
        <v>3.0</v>
      </c>
      <c r="J10" s="13">
        <v>1.0</v>
      </c>
      <c r="K10" s="13">
        <v>1.0</v>
      </c>
      <c r="L10" s="14"/>
      <c r="M10" s="14"/>
      <c r="N10" s="13">
        <v>4.0</v>
      </c>
      <c r="O10" s="14"/>
      <c r="P10" s="11"/>
      <c r="Q10" s="11"/>
      <c r="R10" s="11"/>
      <c r="S10" s="13">
        <v>4.0</v>
      </c>
      <c r="T10" s="14"/>
      <c r="U10" s="13">
        <v>2.0</v>
      </c>
      <c r="V10" s="11"/>
      <c r="W10" s="11">
        <f t="shared" si="4"/>
        <v>21</v>
      </c>
      <c r="X10" s="15">
        <f t="shared" ref="X10:X20" si="5">W10/(counta($E$1:$W$1)-1)</f>
        <v>1.166666667</v>
      </c>
    </row>
    <row r="11">
      <c r="A11" s="12">
        <f>Lista!A11</f>
        <v>10</v>
      </c>
      <c r="B11" s="12">
        <f>Lista!B11</f>
        <v>29551895</v>
      </c>
      <c r="C11" s="12" t="str">
        <f>Lista!D11&amp;" "&amp;Lista!E11</f>
        <v>Santiago Ricarte</v>
      </c>
      <c r="D11" s="12" t="str">
        <f>Lista!D11&amp;" "&amp;Lista!C11</f>
        <v>Santiago Giner</v>
      </c>
      <c r="E11" s="13">
        <v>1.0</v>
      </c>
      <c r="F11" s="13">
        <v>3.0</v>
      </c>
      <c r="G11" s="13">
        <v>1.0</v>
      </c>
      <c r="H11" s="13">
        <v>1.0</v>
      </c>
      <c r="I11" s="13">
        <v>2.0</v>
      </c>
      <c r="J11" s="13">
        <v>2.0</v>
      </c>
      <c r="K11" s="13">
        <v>2.0</v>
      </c>
      <c r="L11" s="13">
        <v>1.0</v>
      </c>
      <c r="M11" s="14"/>
      <c r="N11" s="14"/>
      <c r="O11" s="14"/>
      <c r="P11" s="11"/>
      <c r="Q11" s="11"/>
      <c r="R11" s="11"/>
      <c r="S11" s="11"/>
      <c r="T11" s="14"/>
      <c r="U11" s="14"/>
      <c r="V11" s="11"/>
      <c r="W11" s="11">
        <f t="shared" si="4"/>
        <v>13</v>
      </c>
      <c r="X11" s="15">
        <f t="shared" si="5"/>
        <v>0.7222222222</v>
      </c>
    </row>
    <row r="12">
      <c r="A12" s="12">
        <f>Lista!A12</f>
        <v>11</v>
      </c>
      <c r="B12" s="12">
        <f>Lista!B12</f>
        <v>30906471</v>
      </c>
      <c r="C12" s="12" t="str">
        <f>Lista!D12&amp;" "&amp;Lista!E12</f>
        <v>Eduardo Andres</v>
      </c>
      <c r="D12" s="12" t="str">
        <f>Lista!D12&amp;" "&amp;Lista!C12</f>
        <v>Eduardo Gonzalez</v>
      </c>
      <c r="E12" s="12"/>
      <c r="F12" s="12"/>
      <c r="G12" s="12"/>
      <c r="H12" s="14"/>
      <c r="I12" s="14"/>
      <c r="J12" s="14"/>
      <c r="K12" s="14"/>
      <c r="L12" s="14"/>
      <c r="M12" s="14"/>
      <c r="N12" s="14"/>
      <c r="O12" s="14"/>
      <c r="P12" s="11"/>
      <c r="Q12" s="11"/>
      <c r="R12" s="11"/>
      <c r="S12" s="11"/>
      <c r="T12" s="14"/>
      <c r="U12" s="14"/>
      <c r="V12" s="11"/>
      <c r="W12" s="11">
        <f t="shared" si="4"/>
        <v>0</v>
      </c>
      <c r="X12" s="15">
        <f t="shared" si="5"/>
        <v>0</v>
      </c>
    </row>
    <row r="13">
      <c r="A13" s="12">
        <f>Lista!A13</f>
        <v>12</v>
      </c>
      <c r="B13" s="12">
        <f>Lista!B13</f>
        <v>31935772</v>
      </c>
      <c r="C13" s="12" t="str">
        <f>Lista!D13&amp;" "&amp;Lista!E13</f>
        <v>Antonio Alfredo</v>
      </c>
      <c r="D13" s="12" t="str">
        <f>Lista!D13&amp;" "&amp;Lista!C13</f>
        <v>Antonio Guzzo</v>
      </c>
      <c r="E13" s="12"/>
      <c r="F13" s="12"/>
      <c r="G13" s="12"/>
      <c r="H13" s="14"/>
      <c r="I13" s="14"/>
      <c r="J13" s="14"/>
      <c r="K13" s="14"/>
      <c r="L13" s="14"/>
      <c r="M13" s="14"/>
      <c r="N13" s="14"/>
      <c r="O13" s="14"/>
      <c r="P13" s="11"/>
      <c r="Q13" s="11"/>
      <c r="R13" s="11"/>
      <c r="S13" s="11"/>
      <c r="T13" s="14"/>
      <c r="U13" s="14"/>
      <c r="V13" s="11"/>
      <c r="W13" s="11">
        <f t="shared" si="4"/>
        <v>0</v>
      </c>
      <c r="X13" s="15">
        <f t="shared" si="5"/>
        <v>0</v>
      </c>
    </row>
    <row r="14">
      <c r="A14" s="12">
        <f>Lista!A14</f>
        <v>13</v>
      </c>
      <c r="B14" s="12">
        <f>Lista!B14</f>
        <v>30062942</v>
      </c>
      <c r="C14" s="12" t="str">
        <f>Lista!D14&amp;" "&amp;Lista!E14</f>
        <v>Gabriel Alejandro</v>
      </c>
      <c r="D14" s="12" t="str">
        <f>Lista!D14&amp;" "&amp;Lista!C14</f>
        <v>Gabriel Hernandez</v>
      </c>
      <c r="E14" s="12"/>
      <c r="F14" s="12"/>
      <c r="G14" s="12"/>
      <c r="H14" s="14"/>
      <c r="I14" s="14"/>
      <c r="J14" s="14"/>
      <c r="K14" s="14"/>
      <c r="L14" s="14"/>
      <c r="M14" s="14"/>
      <c r="N14" s="14"/>
      <c r="O14" s="14"/>
      <c r="P14" s="11"/>
      <c r="Q14" s="11"/>
      <c r="R14" s="11"/>
      <c r="S14" s="11"/>
      <c r="T14" s="14"/>
      <c r="U14" s="14"/>
      <c r="V14" s="11"/>
      <c r="W14" s="11">
        <f t="shared" si="4"/>
        <v>0</v>
      </c>
      <c r="X14" s="15">
        <f t="shared" si="5"/>
        <v>0</v>
      </c>
    </row>
    <row r="15">
      <c r="A15" s="12">
        <f>Lista!A15</f>
        <v>14</v>
      </c>
      <c r="B15" s="12">
        <f>Lista!B15</f>
        <v>26794618</v>
      </c>
      <c r="C15" s="12" t="str">
        <f>Lista!D15&amp;" "&amp;Lista!E15</f>
        <v>Kelvin Enrique</v>
      </c>
      <c r="D15" s="12" t="str">
        <f>Lista!D15&amp;" "&amp;Lista!C15</f>
        <v>Kelvin Hurtado</v>
      </c>
      <c r="E15" s="12"/>
      <c r="F15" s="12"/>
      <c r="G15" s="12"/>
      <c r="H15" s="14"/>
      <c r="I15" s="13">
        <v>1.0</v>
      </c>
      <c r="J15" s="14"/>
      <c r="K15" s="14"/>
      <c r="L15" s="14"/>
      <c r="M15" s="14"/>
      <c r="N15" s="14"/>
      <c r="O15" s="13">
        <v>1.0</v>
      </c>
      <c r="P15" s="11"/>
      <c r="Q15" s="11"/>
      <c r="R15" s="11"/>
      <c r="S15" s="11"/>
      <c r="T15" s="14"/>
      <c r="U15" s="14"/>
      <c r="V15" s="11"/>
      <c r="W15" s="11">
        <f t="shared" si="4"/>
        <v>2</v>
      </c>
      <c r="X15" s="15">
        <f t="shared" si="5"/>
        <v>0.1111111111</v>
      </c>
    </row>
    <row r="16">
      <c r="A16" s="12">
        <f>Lista!A16</f>
        <v>15</v>
      </c>
      <c r="B16" s="12">
        <f>Lista!B16</f>
        <v>29780609</v>
      </c>
      <c r="C16" s="12" t="str">
        <f>Lista!D16&amp;" "&amp;Lista!E16</f>
        <v>Alexandra Eugenia</v>
      </c>
      <c r="D16" s="12" t="str">
        <f>Lista!D16&amp;" "&amp;Lista!C16</f>
        <v>Alexandra Loynaz</v>
      </c>
      <c r="E16" s="12"/>
      <c r="F16" s="13">
        <v>3.0</v>
      </c>
      <c r="G16" s="14"/>
      <c r="H16" s="13">
        <v>1.0</v>
      </c>
      <c r="I16" s="13">
        <v>1.0</v>
      </c>
      <c r="J16" s="13">
        <v>2.0</v>
      </c>
      <c r="K16" s="13">
        <v>1.0</v>
      </c>
      <c r="L16" s="14"/>
      <c r="M16" s="13">
        <v>1.0</v>
      </c>
      <c r="N16" s="13">
        <v>2.0</v>
      </c>
      <c r="O16" s="13">
        <v>1.0</v>
      </c>
      <c r="P16" s="11"/>
      <c r="Q16" s="11"/>
      <c r="R16" s="11"/>
      <c r="S16" s="11"/>
      <c r="T16" s="14"/>
      <c r="U16" s="13">
        <v>2.0</v>
      </c>
      <c r="V16" s="13">
        <v>1.0</v>
      </c>
      <c r="W16" s="11">
        <f>SUM(E16:V16)</f>
        <v>15</v>
      </c>
      <c r="X16" s="15">
        <f t="shared" si="5"/>
        <v>0.8333333333</v>
      </c>
    </row>
    <row r="17">
      <c r="A17" s="12">
        <f>Lista!A17</f>
        <v>16</v>
      </c>
      <c r="B17" s="12">
        <f>Lista!B17</f>
        <v>31894531</v>
      </c>
      <c r="C17" s="12" t="str">
        <f>Lista!D17&amp;" "&amp;Lista!E17</f>
        <v>Corina Beatriz</v>
      </c>
      <c r="D17" s="12" t="str">
        <f>Lista!D17&amp;" "&amp;Lista!C17</f>
        <v>Corina Lynch</v>
      </c>
      <c r="E17" s="13">
        <v>1.0</v>
      </c>
      <c r="F17" s="14"/>
      <c r="G17" s="14"/>
      <c r="H17" s="14"/>
      <c r="I17" s="14"/>
      <c r="J17" s="14"/>
      <c r="K17" s="14"/>
      <c r="L17" s="14"/>
      <c r="M17" s="14"/>
      <c r="N17" s="14"/>
      <c r="O17" s="13">
        <v>1.0</v>
      </c>
      <c r="P17" s="11"/>
      <c r="Q17" s="11"/>
      <c r="R17" s="11"/>
      <c r="S17" s="11"/>
      <c r="T17" s="13">
        <v>1.0</v>
      </c>
      <c r="U17" s="11"/>
      <c r="V17" s="14"/>
      <c r="W17" s="11">
        <f t="shared" ref="W17:W32" si="6">SUM(E17:U17)</f>
        <v>3</v>
      </c>
      <c r="X17" s="15">
        <f t="shared" si="5"/>
        <v>0.1666666667</v>
      </c>
    </row>
    <row r="18">
      <c r="A18" s="12">
        <f>Lista!A18</f>
        <v>17</v>
      </c>
      <c r="B18" s="12">
        <f>Lista!B18</f>
        <v>25991576</v>
      </c>
      <c r="C18" s="12" t="str">
        <f>Lista!D18&amp;" "&amp;Lista!E18</f>
        <v>Alejandro Andres</v>
      </c>
      <c r="D18" s="12" t="str">
        <f>Lista!D18&amp;" "&amp;Lista!C18</f>
        <v>Alejandro Martens</v>
      </c>
      <c r="E18" s="12"/>
      <c r="F18" s="12"/>
      <c r="G18" s="12"/>
      <c r="H18" s="14"/>
      <c r="I18" s="14"/>
      <c r="J18" s="14"/>
      <c r="K18" s="14"/>
      <c r="L18" s="13">
        <v>1.0</v>
      </c>
      <c r="M18" s="14"/>
      <c r="N18" s="14"/>
      <c r="O18" s="14"/>
      <c r="P18" s="11"/>
      <c r="Q18" s="11"/>
      <c r="R18" s="11"/>
      <c r="S18" s="11"/>
      <c r="T18" s="11"/>
      <c r="U18" s="11"/>
      <c r="V18" s="11"/>
      <c r="W18" s="11">
        <f t="shared" si="6"/>
        <v>1</v>
      </c>
      <c r="X18" s="15">
        <f t="shared" si="5"/>
        <v>0.05555555556</v>
      </c>
    </row>
    <row r="19">
      <c r="A19" s="12">
        <f>Lista!A19</f>
        <v>18</v>
      </c>
      <c r="B19" s="12">
        <f>Lista!B19</f>
        <v>31985260</v>
      </c>
      <c r="C19" s="12" t="str">
        <f>Lista!D19&amp;" "&amp;Lista!E19</f>
        <v>Nicolas Eduardo</v>
      </c>
      <c r="D19" s="12" t="str">
        <f>Lista!D19&amp;" "&amp;Lista!C19</f>
        <v>Nicolas Mendez</v>
      </c>
      <c r="E19" s="13">
        <v>2.0</v>
      </c>
      <c r="F19" s="14"/>
      <c r="G19" s="14"/>
      <c r="H19" s="14"/>
      <c r="I19" s="13">
        <v>1.0</v>
      </c>
      <c r="J19" s="14"/>
      <c r="K19" s="14"/>
      <c r="L19" s="14"/>
      <c r="M19" s="14"/>
      <c r="N19" s="14"/>
      <c r="O19" s="14"/>
      <c r="P19" s="11"/>
      <c r="Q19" s="11"/>
      <c r="R19" s="11"/>
      <c r="S19" s="11"/>
      <c r="T19" s="11"/>
      <c r="U19" s="11"/>
      <c r="V19" s="11"/>
      <c r="W19" s="11">
        <f t="shared" si="6"/>
        <v>3</v>
      </c>
      <c r="X19" s="15">
        <f t="shared" si="5"/>
        <v>0.1666666667</v>
      </c>
    </row>
    <row r="20">
      <c r="A20" s="12">
        <f>Lista!A20</f>
        <v>19</v>
      </c>
      <c r="B20" s="12">
        <f>Lista!B20</f>
        <v>29965751</v>
      </c>
      <c r="C20" s="12" t="str">
        <f>Lista!D20&amp;" "&amp;Lista!E20</f>
        <v>Sebastián Andrés</v>
      </c>
      <c r="D20" s="12" t="str">
        <f>Lista!D20&amp;" "&amp;Lista!C20</f>
        <v>Sebastián Méndez</v>
      </c>
      <c r="E20" s="12"/>
      <c r="F20" s="12"/>
      <c r="G20" s="13">
        <v>1.0</v>
      </c>
      <c r="H20" s="13">
        <v>1.0</v>
      </c>
      <c r="I20" s="14"/>
      <c r="J20" s="14"/>
      <c r="K20" s="14"/>
      <c r="L20" s="14"/>
      <c r="M20" s="14"/>
      <c r="N20" s="14"/>
      <c r="O20" s="14"/>
      <c r="P20" s="11"/>
      <c r="Q20" s="11"/>
      <c r="R20" s="11"/>
      <c r="S20" s="11"/>
      <c r="T20" s="11"/>
      <c r="U20" s="11"/>
      <c r="V20" s="11"/>
      <c r="W20" s="11">
        <f t="shared" si="6"/>
        <v>2</v>
      </c>
      <c r="X20" s="15">
        <f t="shared" si="5"/>
        <v>0.1111111111</v>
      </c>
    </row>
    <row r="21">
      <c r="A21" s="12">
        <f>Lista!A21</f>
        <v>20</v>
      </c>
      <c r="B21" s="12">
        <f>Lista!B21</f>
        <v>29678527</v>
      </c>
      <c r="C21" s="12" t="str">
        <f>Lista!D21&amp;" "&amp;Lista!E21</f>
        <v>Andrea Patricia</v>
      </c>
      <c r="D21" s="12" t="str">
        <f>Lista!D21&amp;" "&amp;Lista!C21</f>
        <v>Andrea Pareles</v>
      </c>
      <c r="E21" s="17" t="s">
        <v>113</v>
      </c>
      <c r="F21" s="17" t="s">
        <v>113</v>
      </c>
      <c r="G21" s="17" t="s">
        <v>113</v>
      </c>
      <c r="H21" s="14"/>
      <c r="I21" s="14"/>
      <c r="J21" s="14"/>
      <c r="K21" s="14"/>
      <c r="L21" s="14"/>
      <c r="M21" s="14"/>
      <c r="N21" s="14"/>
      <c r="O21" s="14"/>
      <c r="P21" s="11"/>
      <c r="Q21" s="11"/>
      <c r="R21" s="11"/>
      <c r="S21" s="11"/>
      <c r="T21" s="11"/>
      <c r="U21" s="11"/>
      <c r="V21" s="11"/>
      <c r="W21" s="11">
        <f t="shared" si="6"/>
        <v>0</v>
      </c>
      <c r="X21" s="15">
        <f>W21/(counta($H$1:$W$1)-1)</f>
        <v>0</v>
      </c>
    </row>
    <row r="22">
      <c r="A22" s="12">
        <f>Lista!A22</f>
        <v>21</v>
      </c>
      <c r="B22" s="12">
        <f>Lista!B22</f>
        <v>31307375</v>
      </c>
      <c r="C22" s="12" t="str">
        <f>Lista!D22&amp;" "&amp;Lista!E22</f>
        <v>Gabriel Alejandro</v>
      </c>
      <c r="D22" s="12" t="str">
        <f>Lista!D22&amp;" "&amp;Lista!C22</f>
        <v>Gabriel Perez</v>
      </c>
      <c r="E22" s="13">
        <v>1.0</v>
      </c>
      <c r="F22" s="14"/>
      <c r="G22" s="14"/>
      <c r="H22" s="14"/>
      <c r="I22" s="14"/>
      <c r="J22" s="14"/>
      <c r="K22" s="14"/>
      <c r="L22" s="14"/>
      <c r="M22" s="14"/>
      <c r="N22" s="14"/>
      <c r="O22" s="13">
        <v>1.0</v>
      </c>
      <c r="P22" s="11"/>
      <c r="Q22" s="11"/>
      <c r="R22" s="11"/>
      <c r="S22" s="11"/>
      <c r="T22" s="11"/>
      <c r="U22" s="11"/>
      <c r="V22" s="11"/>
      <c r="W22" s="11">
        <f t="shared" si="6"/>
        <v>2</v>
      </c>
      <c r="X22" s="15">
        <f t="shared" ref="X22:X31" si="7">W22/(counta($E$1:$W$1)-1)</f>
        <v>0.1111111111</v>
      </c>
    </row>
    <row r="23">
      <c r="A23" s="12">
        <f>Lista!A23</f>
        <v>22</v>
      </c>
      <c r="B23" s="12">
        <f>Lista!B23</f>
        <v>30845922</v>
      </c>
      <c r="C23" s="12" t="str">
        <f>Lista!D23&amp;" "&amp;Lista!E23</f>
        <v>Nicolas </v>
      </c>
      <c r="D23" s="12" t="str">
        <f>Lista!D23&amp;" "&amp;Lista!C23</f>
        <v>Nicolas Petit</v>
      </c>
      <c r="E23" s="12"/>
      <c r="F23" s="12"/>
      <c r="G23" s="12"/>
      <c r="H23" s="14"/>
      <c r="I23" s="14"/>
      <c r="J23" s="14"/>
      <c r="K23" s="14"/>
      <c r="L23" s="14"/>
      <c r="M23" s="14"/>
      <c r="N23" s="14"/>
      <c r="O23" s="14"/>
      <c r="P23" s="11"/>
      <c r="Q23" s="11"/>
      <c r="R23" s="11"/>
      <c r="S23" s="11"/>
      <c r="T23" s="11"/>
      <c r="U23" s="11"/>
      <c r="V23" s="11"/>
      <c r="W23" s="11">
        <f t="shared" si="6"/>
        <v>0</v>
      </c>
      <c r="X23" s="15">
        <f t="shared" si="7"/>
        <v>0</v>
      </c>
    </row>
    <row r="24">
      <c r="A24" s="12">
        <f>Lista!A24</f>
        <v>23</v>
      </c>
      <c r="B24" s="12">
        <f>Lista!B24</f>
        <v>30513257</v>
      </c>
      <c r="C24" s="12" t="str">
        <f>Lista!D24&amp;" "&amp;Lista!E24</f>
        <v>Alejandro Enrique</v>
      </c>
      <c r="D24" s="12" t="str">
        <f>Lista!D24&amp;" "&amp;Lista!C24</f>
        <v>Alejandro Quintero</v>
      </c>
      <c r="E24" s="12"/>
      <c r="F24" s="12"/>
      <c r="G24" s="12"/>
      <c r="H24" s="14"/>
      <c r="I24" s="14"/>
      <c r="J24" s="14"/>
      <c r="K24" s="14"/>
      <c r="L24" s="14"/>
      <c r="M24" s="14"/>
      <c r="N24" s="14"/>
      <c r="O24" s="14"/>
      <c r="P24" s="11"/>
      <c r="Q24" s="11"/>
      <c r="R24" s="11"/>
      <c r="S24" s="11"/>
      <c r="T24" s="11"/>
      <c r="U24" s="11"/>
      <c r="V24" s="11"/>
      <c r="W24" s="11">
        <f t="shared" si="6"/>
        <v>0</v>
      </c>
      <c r="X24" s="15">
        <f t="shared" si="7"/>
        <v>0</v>
      </c>
    </row>
    <row r="25">
      <c r="A25" s="12">
        <f>Lista!A25</f>
        <v>24</v>
      </c>
      <c r="B25" s="12">
        <f>Lista!B25</f>
        <v>30229939</v>
      </c>
      <c r="C25" s="12" t="str">
        <f>Lista!D25&amp;" "&amp;Lista!E25</f>
        <v>Jesus Gabriel</v>
      </c>
      <c r="D25" s="12" t="str">
        <f>Lista!D25&amp;" "&amp;Lista!C25</f>
        <v>Jesus Rodríguez</v>
      </c>
      <c r="E25" s="12"/>
      <c r="F25" s="12"/>
      <c r="G25" s="12"/>
      <c r="H25" s="14"/>
      <c r="I25" s="14"/>
      <c r="J25" s="14"/>
      <c r="K25" s="14"/>
      <c r="L25" s="14"/>
      <c r="M25" s="14"/>
      <c r="N25" s="14"/>
      <c r="O25" s="14"/>
      <c r="P25" s="11"/>
      <c r="Q25" s="11"/>
      <c r="R25" s="11"/>
      <c r="S25" s="13">
        <v>1.0</v>
      </c>
      <c r="T25" s="11"/>
      <c r="U25" s="11"/>
      <c r="V25" s="11"/>
      <c r="W25" s="11">
        <f t="shared" si="6"/>
        <v>1</v>
      </c>
      <c r="X25" s="15">
        <f t="shared" si="7"/>
        <v>0.05555555556</v>
      </c>
    </row>
    <row r="26">
      <c r="A26" s="12">
        <f>Lista!A26</f>
        <v>25</v>
      </c>
      <c r="B26" s="12">
        <f>Lista!B26</f>
        <v>31255343</v>
      </c>
      <c r="C26" s="12" t="str">
        <f>Lista!D26&amp;" "&amp;Lista!E26</f>
        <v>Luciano Nicola</v>
      </c>
      <c r="D26" s="12" t="str">
        <f>Lista!D26&amp;" "&amp;Lista!C26</f>
        <v>Luciano Rojas</v>
      </c>
      <c r="E26" s="13">
        <v>1.0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1"/>
      <c r="Q26" s="11"/>
      <c r="R26" s="11"/>
      <c r="S26" s="11"/>
      <c r="T26" s="11"/>
      <c r="U26" s="11"/>
      <c r="V26" s="11"/>
      <c r="W26" s="11">
        <f t="shared" si="6"/>
        <v>1</v>
      </c>
      <c r="X26" s="15">
        <f t="shared" si="7"/>
        <v>0.05555555556</v>
      </c>
    </row>
    <row r="27">
      <c r="A27" s="12">
        <f>Lista!A27</f>
        <v>26</v>
      </c>
      <c r="B27" s="12">
        <f>Lista!B27</f>
        <v>32121917</v>
      </c>
      <c r="C27" s="12" t="str">
        <f>Lista!D27&amp;" "&amp;Lista!E27</f>
        <v>César Alexander</v>
      </c>
      <c r="D27" s="12" t="str">
        <f>Lista!D27&amp;" "&amp;Lista!C27</f>
        <v>César Salimbeni</v>
      </c>
      <c r="E27" s="13">
        <v>1.0</v>
      </c>
      <c r="F27" s="13">
        <v>3.0</v>
      </c>
      <c r="G27" s="13">
        <v>1.0</v>
      </c>
      <c r="H27" s="14"/>
      <c r="I27" s="14"/>
      <c r="J27" s="14"/>
      <c r="K27" s="13">
        <v>1.0</v>
      </c>
      <c r="L27" s="13">
        <v>1.0</v>
      </c>
      <c r="M27" s="14"/>
      <c r="N27" s="14"/>
      <c r="O27" s="14"/>
      <c r="P27" s="11"/>
      <c r="Q27" s="11"/>
      <c r="R27" s="11"/>
      <c r="S27" s="11"/>
      <c r="T27" s="11"/>
      <c r="U27" s="11"/>
      <c r="V27" s="11"/>
      <c r="W27" s="11">
        <f t="shared" si="6"/>
        <v>7</v>
      </c>
      <c r="X27" s="15">
        <f t="shared" si="7"/>
        <v>0.3888888889</v>
      </c>
    </row>
    <row r="28">
      <c r="A28" s="12">
        <f>Lista!A28</f>
        <v>27</v>
      </c>
      <c r="B28" s="12">
        <f>Lista!B28</f>
        <v>29625956</v>
      </c>
      <c r="C28" s="12" t="str">
        <f>Lista!D28&amp;" "&amp;Lista!E28</f>
        <v>Jesús Alejandro</v>
      </c>
      <c r="D28" s="12" t="str">
        <f>Lista!D28&amp;" "&amp;Lista!C28</f>
        <v>Jesús Schneider</v>
      </c>
      <c r="E28" s="12"/>
      <c r="F28" s="12"/>
      <c r="G28" s="12"/>
      <c r="H28" s="14"/>
      <c r="I28" s="14"/>
      <c r="J28" s="14"/>
      <c r="K28" s="14"/>
      <c r="L28" s="14"/>
      <c r="M28" s="14"/>
      <c r="N28" s="14"/>
      <c r="O28" s="14"/>
      <c r="P28" s="11"/>
      <c r="Q28" s="11"/>
      <c r="R28" s="11"/>
      <c r="S28" s="11"/>
      <c r="T28" s="11"/>
      <c r="U28" s="11"/>
      <c r="V28" s="11"/>
      <c r="W28" s="11">
        <f t="shared" si="6"/>
        <v>0</v>
      </c>
      <c r="X28" s="15">
        <f t="shared" si="7"/>
        <v>0</v>
      </c>
    </row>
    <row r="29">
      <c r="A29" s="12">
        <f>Lista!A29</f>
        <v>28</v>
      </c>
      <c r="B29" s="12">
        <f>Lista!B29</f>
        <v>32122110</v>
      </c>
      <c r="C29" s="12" t="str">
        <f>Lista!D29&amp;" "&amp;Lista!E29</f>
        <v>Elva María</v>
      </c>
      <c r="D29" s="12" t="str">
        <f>Lista!D29&amp;" "&amp;Lista!C29</f>
        <v>Elva Silva</v>
      </c>
      <c r="E29" s="13">
        <v>1.0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1"/>
      <c r="Q29" s="11"/>
      <c r="R29" s="11"/>
      <c r="S29" s="11"/>
      <c r="T29" s="11"/>
      <c r="U29" s="11"/>
      <c r="V29" s="11"/>
      <c r="W29" s="11">
        <f t="shared" si="6"/>
        <v>1</v>
      </c>
      <c r="X29" s="15">
        <f t="shared" si="7"/>
        <v>0.05555555556</v>
      </c>
    </row>
    <row r="30">
      <c r="A30" s="12">
        <f>Lista!A30</f>
        <v>29</v>
      </c>
      <c r="B30" s="12">
        <f>Lista!B30</f>
        <v>31101508</v>
      </c>
      <c r="C30" s="12" t="str">
        <f>Lista!D30&amp;" "&amp;Lista!E30</f>
        <v>Andrea Victoria</v>
      </c>
      <c r="D30" s="12" t="str">
        <f>Lista!D30&amp;" "&amp;Lista!C30</f>
        <v>Andrea Sánchez</v>
      </c>
      <c r="E30" s="13">
        <v>2.0</v>
      </c>
      <c r="F30" s="14"/>
      <c r="G30" s="13">
        <v>1.0</v>
      </c>
      <c r="H30" s="14"/>
      <c r="I30" s="14"/>
      <c r="J30" s="14"/>
      <c r="K30" s="14"/>
      <c r="L30" s="14"/>
      <c r="M30" s="14"/>
      <c r="N30" s="14"/>
      <c r="O30" s="14"/>
      <c r="P30" s="11"/>
      <c r="Q30" s="11"/>
      <c r="R30" s="11"/>
      <c r="S30" s="11"/>
      <c r="T30" s="13">
        <v>1.0</v>
      </c>
      <c r="U30" s="11"/>
      <c r="V30" s="11"/>
      <c r="W30" s="11">
        <f t="shared" si="6"/>
        <v>4</v>
      </c>
      <c r="X30" s="15">
        <f t="shared" si="7"/>
        <v>0.2222222222</v>
      </c>
    </row>
    <row r="31">
      <c r="A31" s="12">
        <f>Lista!A31</f>
        <v>30</v>
      </c>
      <c r="B31" s="12">
        <f>Lista!B31</f>
        <v>30715365</v>
      </c>
      <c r="C31" s="12" t="str">
        <f>Lista!D31&amp;" "&amp;Lista!E31</f>
        <v>Richard Alejandro</v>
      </c>
      <c r="D31" s="12" t="str">
        <f>Lista!D31&amp;" "&amp;Lista!C31</f>
        <v>Richard Yrady</v>
      </c>
      <c r="E31" s="12"/>
      <c r="F31" s="13">
        <v>2.0</v>
      </c>
      <c r="G31" s="14"/>
      <c r="H31" s="14"/>
      <c r="I31" s="14"/>
      <c r="J31" s="14"/>
      <c r="K31" s="14"/>
      <c r="L31" s="14"/>
      <c r="M31" s="14"/>
      <c r="N31" s="13">
        <v>3.0</v>
      </c>
      <c r="O31" s="14"/>
      <c r="P31" s="11"/>
      <c r="Q31" s="11"/>
      <c r="R31" s="11"/>
      <c r="S31" s="11"/>
      <c r="T31" s="11"/>
      <c r="U31" s="13">
        <v>2.0</v>
      </c>
      <c r="V31" s="11"/>
      <c r="W31" s="11">
        <f t="shared" si="6"/>
        <v>7</v>
      </c>
      <c r="X31" s="15">
        <f t="shared" si="7"/>
        <v>0.3888888889</v>
      </c>
    </row>
    <row r="32">
      <c r="A32" s="12"/>
      <c r="B32" s="12"/>
      <c r="C32" s="12"/>
      <c r="D32" s="6" t="s">
        <v>32</v>
      </c>
      <c r="E32" s="4">
        <f t="shared" ref="E32:U32" si="8">SUM(E2:E31)</f>
        <v>16</v>
      </c>
      <c r="F32" s="4">
        <f t="shared" si="8"/>
        <v>20</v>
      </c>
      <c r="G32" s="4">
        <f t="shared" si="8"/>
        <v>10</v>
      </c>
      <c r="H32" s="4">
        <f t="shared" si="8"/>
        <v>7</v>
      </c>
      <c r="I32" s="4">
        <f t="shared" si="8"/>
        <v>13</v>
      </c>
      <c r="J32" s="4">
        <f t="shared" si="8"/>
        <v>7</v>
      </c>
      <c r="K32" s="4">
        <f t="shared" si="8"/>
        <v>8</v>
      </c>
      <c r="L32" s="4">
        <f t="shared" si="8"/>
        <v>7</v>
      </c>
      <c r="M32" s="4">
        <f t="shared" si="8"/>
        <v>1</v>
      </c>
      <c r="N32" s="4">
        <f t="shared" si="8"/>
        <v>17</v>
      </c>
      <c r="O32" s="4">
        <f t="shared" si="8"/>
        <v>7</v>
      </c>
      <c r="P32" s="4">
        <f t="shared" si="8"/>
        <v>5</v>
      </c>
      <c r="Q32" s="4">
        <f t="shared" si="8"/>
        <v>1</v>
      </c>
      <c r="R32" s="4">
        <f t="shared" si="8"/>
        <v>6</v>
      </c>
      <c r="S32" s="4">
        <f t="shared" si="8"/>
        <v>22</v>
      </c>
      <c r="T32" s="4">
        <f t="shared" si="8"/>
        <v>9</v>
      </c>
      <c r="U32" s="4">
        <f t="shared" si="8"/>
        <v>13</v>
      </c>
      <c r="V32" s="11"/>
      <c r="W32" s="11">
        <f t="shared" si="6"/>
        <v>169</v>
      </c>
      <c r="X32" s="18">
        <f>AVERAGE(X2:X31)</f>
        <v>0.348005698</v>
      </c>
    </row>
  </sheetData>
  <drawing r:id="rId2"/>
  <legacyDrawing r:id="rId3"/>
  <tableParts count="1">
    <tablePart r:id="rId5"/>
  </tableParts>
</worksheet>
</file>