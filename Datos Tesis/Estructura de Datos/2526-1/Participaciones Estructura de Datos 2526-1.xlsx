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otal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tc={02a880db-ad86-4bcd-a2fe-3ffed38a065b}</author>
    <author>tc={421da29b-0bf0-4dcf-93ae-a693c025bc1c}</author>
    <author>tc={696d030f-55a2-48a4-8002-1531c3a82aa6}</author>
    <author>tc={72cf7c3d-f7ff-4805-b452-54236660865b}</author>
    <author>tc={743a1ac0-91ed-40af-a713-a2ff76945344}</author>
    <author>tc={911d0d9d-f5d4-48f5-9058-23f13083afb5}</author>
    <author>tc={9407fa9a-29b6-4948-a134-3912409f67ae}</author>
  </authors>
  <commentList>
    <comment authorId="0" ref="L25">
      <text>
        <t xml:space="preserve">Pizarra</t>
      </text>
    </comment>
    <comment authorId="0" ref="M9">
      <text>
        <t xml:space="preserve">Pizarra</t>
      </text>
    </comment>
    <comment authorId="0" ref="N25">
      <text>
        <t xml:space="preserve">Pizarra</t>
      </text>
    </comment>
    <comment authorId="0" ref="L33">
      <text>
        <t xml:space="preserve">Pizarra</t>
      </text>
    </comment>
    <comment authorId="0" ref="M33">
      <text>
        <t xml:space="preserve">Pizarra</t>
      </text>
    </comment>
    <comment authorId="0" ref="N33">
      <text>
        <t xml:space="preserve">Pizarra</t>
      </text>
    </comment>
    <comment authorId="0" ref="L29">
      <text>
        <t xml:space="preserve">Pizarra</t>
      </text>
    </comment>
    <comment authorId="1" xr:uid="{02a880db-ad86-4bcd-a2fe-3ffed38a065b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2" xr:uid="{421da29b-0bf0-4dcf-93ae-a693c025bc1c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3" xr:uid="{696d030f-55a2-48a4-8002-1531c3a82aa6}" ref="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4" xr:uid="{72cf7c3d-f7ff-4805-b452-54236660865b}" ref="K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5" xr:uid="{743a1ac0-91ed-40af-a713-a2ff76945344}" ref="K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6" xr:uid="{911d0d9d-f5d4-48f5-9058-23f13083afb5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  <comment authorId="7" xr:uid="{9407fa9a-29b6-4948-a134-3912409f67ae}" ref="G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Pizarra
</t>
      </text>
    </comment>
  </commentList>
</comments>
</file>

<file path=xl/sharedStrings.xml><?xml version="1.0" encoding="utf-8"?>
<sst xmlns="http://schemas.openxmlformats.org/spreadsheetml/2006/main" count="116" uniqueCount="111">
  <si>
    <t>Fernando Torre</t>
  </si>
  <si>
    <t>TOTAL</t>
  </si>
  <si>
    <t>%</t>
  </si>
  <si>
    <r>
      <rPr>
        <rFont val="&quot;Century Gothic&quot;, Arial, Helvetica, sans-serif"/>
        <color rgb="FF1155CC"/>
        <sz val="11.0"/>
        <u/>
      </rPr>
      <t>GA</t>
    </r>
    <r>
      <rPr>
        <rFont val="&quot;Century Gothic&quot;, Arial, Helvetica, sans-serif"/>
        <color rgb="FF1155CC"/>
        <sz val="11.0"/>
        <u/>
      </rPr>
      <t>Gustavo Abad</t>
    </r>
  </si>
  <si>
    <t>Nombre</t>
  </si>
  <si>
    <t>Apellido(s)</t>
  </si>
  <si>
    <t>Cédula</t>
  </si>
  <si>
    <t>Parcial 1</t>
  </si>
  <si>
    <t>Parcial 2</t>
  </si>
  <si>
    <t>Prueba Práctica 1</t>
  </si>
  <si>
    <t>Prueba Práctica 2</t>
  </si>
  <si>
    <t>Proyecto 1</t>
  </si>
  <si>
    <t>Proyecto 2</t>
  </si>
  <si>
    <t xml:space="preserve"> IBM SkillBuild</t>
  </si>
  <si>
    <t>Video interactivo</t>
  </si>
  <si>
    <t>GameMap</t>
  </si>
  <si>
    <t>Código Naranja</t>
  </si>
  <si>
    <t>Total %</t>
  </si>
  <si>
    <t>Escala 20</t>
  </si>
  <si>
    <t>Partic</t>
  </si>
  <si>
    <t>Def</t>
  </si>
  <si>
    <t>Gustavo</t>
  </si>
  <si>
    <t>Abad</t>
  </si>
  <si>
    <r>
      <rPr>
        <rFont val="&quot;Century Gothic&quot;, Arial, Helvetica, sans-serif"/>
        <color rgb="FF1155CC"/>
        <sz val="11.0"/>
        <u/>
      </rPr>
      <t>DA</t>
    </r>
    <r>
      <rPr>
        <rFont val="&quot;Century Gothic&quot;, Arial, Helvetica, sans-serif"/>
        <color rgb="FF1155CC"/>
        <sz val="11.0"/>
        <u/>
      </rPr>
      <t>Daniel Angulo</t>
    </r>
  </si>
  <si>
    <t>Daniel</t>
  </si>
  <si>
    <t>Angulo</t>
  </si>
  <si>
    <r>
      <rPr>
        <rFont val="&quot;Century Gothic&quot;, Arial, Helvetica, sans-serif"/>
        <color rgb="FF1155CC"/>
        <sz val="11.0"/>
        <u/>
      </rPr>
      <t>JB</t>
    </r>
    <r>
      <rPr>
        <rFont val="&quot;Century Gothic&quot;, Arial, Helvetica, sans-serif"/>
        <color rgb="FF1155CC"/>
        <sz val="11.0"/>
        <u/>
      </rPr>
      <t>Jesus Bethencourt</t>
    </r>
  </si>
  <si>
    <t>Ret</t>
  </si>
  <si>
    <t>Jesús</t>
  </si>
  <si>
    <t>Bethencourt</t>
  </si>
  <si>
    <r>
      <rPr>
        <rFont val="&quot;Century Gothic&quot;, Arial, Helvetica, sans-serif"/>
        <color rgb="FF1155CC"/>
        <sz val="11.0"/>
        <u/>
      </rPr>
      <t>LB</t>
    </r>
    <r>
      <rPr>
        <rFont val="&quot;Century Gothic&quot;, Arial, Helvetica, sans-serif"/>
        <color rgb="FF1155CC"/>
        <sz val="11.0"/>
        <u/>
      </rPr>
      <t>Luis Bravo</t>
    </r>
  </si>
  <si>
    <t>Luis</t>
  </si>
  <si>
    <t>Bravo</t>
  </si>
  <si>
    <t>Calderon</t>
  </si>
  <si>
    <t>Rafael</t>
  </si>
  <si>
    <t>Cardenas</t>
  </si>
  <si>
    <r>
      <rPr>
        <rFont val="&quot;Century Gothic&quot;, Arial, Helvetica, sans-serif"/>
        <b/>
        <color rgb="FF1155CC"/>
        <sz val="11.0"/>
        <u/>
      </rPr>
      <t>Daniel Calderon</t>
    </r>
  </si>
  <si>
    <t>Derek Braian</t>
  </si>
  <si>
    <t>Carvajal Lisboa</t>
  </si>
  <si>
    <r>
      <rPr>
        <rFont val="&quot;Century Gothic&quot;, Arial, Helvetica, sans-serif"/>
        <color rgb="FF1155CC"/>
        <sz val="11.0"/>
        <u/>
      </rPr>
      <t>RC</t>
    </r>
    <r>
      <rPr>
        <rFont val="&quot;Century Gothic&quot;, Arial, Helvetica, sans-serif"/>
        <color rgb="FF1155CC"/>
        <sz val="11.0"/>
        <u/>
      </rPr>
      <t>Rafael Cardenas</t>
    </r>
  </si>
  <si>
    <t>Carolina</t>
  </si>
  <si>
    <t>Dib</t>
  </si>
  <si>
    <r>
      <rPr>
        <rFont val="&quot;Century Gothic&quot;, Arial, Helvetica, sans-serif"/>
        <color rgb="FF1155CC"/>
        <sz val="11.0"/>
        <u/>
      </rPr>
      <t>RC</t>
    </r>
    <r>
      <rPr>
        <rFont val="&quot;Century Gothic&quot;, Arial, Helvetica, sans-serif"/>
        <color rgb="FF1155CC"/>
        <sz val="11.0"/>
        <u/>
      </rPr>
      <t>Rhadamés Carmona</t>
    </r>
  </si>
  <si>
    <t>Natalio</t>
  </si>
  <si>
    <t>Djandji</t>
  </si>
  <si>
    <t>Farrera</t>
  </si>
  <si>
    <r>
      <rPr>
        <rFont val="&quot;Century Gothic&quot;, Arial, Helvetica, sans-serif"/>
        <b/>
        <color rgb="FF1155CC"/>
        <sz val="11.0"/>
        <u/>
      </rPr>
      <t>Derek Braian Carvajal Lisboa</t>
    </r>
  </si>
  <si>
    <t>Andrés Alejandro</t>
  </si>
  <si>
    <t>Fung Lander</t>
  </si>
  <si>
    <t>Diego Eduardo</t>
  </si>
  <si>
    <t>Gutierrez Mora</t>
  </si>
  <si>
    <r>
      <rPr>
        <rFont val="&quot;Century Gothic&quot;, Arial, Helvetica, sans-serif"/>
        <color rgb="FF1155CC"/>
        <sz val="11.0"/>
        <u/>
      </rPr>
      <t>CD</t>
    </r>
    <r>
      <rPr>
        <rFont val="&quot;Century Gothic&quot;, Arial, Helvetica, sans-serif"/>
        <color rgb="FF1155CC"/>
        <sz val="11.0"/>
        <u/>
      </rPr>
      <t>Carolina Dib</t>
    </r>
  </si>
  <si>
    <r>
      <rPr>
        <rFont val="&quot;Century Gothic&quot;, Arial, Helvetica, sans-serif"/>
        <color rgb="FF1155CC"/>
        <sz val="11.0"/>
        <u/>
      </rPr>
      <t>ND</t>
    </r>
    <r>
      <rPr>
        <rFont val="&quot;Century Gothic&quot;, Arial, Helvetica, sans-serif"/>
        <color rgb="FF1155CC"/>
        <sz val="11.0"/>
        <u/>
      </rPr>
      <t>Natalio Djandji</t>
    </r>
  </si>
  <si>
    <t>Victoria</t>
  </si>
  <si>
    <t>Hernández</t>
  </si>
  <si>
    <t>Kelvin</t>
  </si>
  <si>
    <t>Hurtado</t>
  </si>
  <si>
    <r>
      <rPr>
        <rFont val="&quot;Century Gothic&quot;, Arial, Helvetica, sans-serif"/>
        <color rgb="FF1155CC"/>
        <sz val="11.0"/>
        <u/>
      </rPr>
      <t>LF</t>
    </r>
    <r>
      <rPr>
        <rFont val="&quot;Century Gothic&quot;, Arial, Helvetica, sans-serif"/>
        <color rgb="FF1155CC"/>
        <sz val="11.0"/>
        <u/>
      </rPr>
      <t>Luis Farrera</t>
    </r>
  </si>
  <si>
    <t>Jesus Enrique</t>
  </si>
  <si>
    <t>Leal Carrillo</t>
  </si>
  <si>
    <r>
      <rPr>
        <rFont val="&quot;Century Gothic&quot;, Arial, Helvetica, sans-serif"/>
        <color rgb="FF1155CC"/>
        <sz val="11.0"/>
        <u/>
      </rPr>
      <t>AF</t>
    </r>
    <r>
      <rPr>
        <rFont val="&quot;Century Gothic&quot;, Arial, Helvetica, sans-serif"/>
        <color rgb="FF1155CC"/>
        <sz val="11.0"/>
        <u/>
      </rPr>
      <t>Andrés Alejandro Fung Lander</t>
    </r>
  </si>
  <si>
    <t>Andres Emilio</t>
  </si>
  <si>
    <t>Mujica Gil</t>
  </si>
  <si>
    <r>
      <rPr>
        <rFont val="&quot;Century Gothic&quot;, Arial, Helvetica, sans-serif"/>
        <color rgb="FF1155CC"/>
        <sz val="11.0"/>
        <u/>
      </rPr>
      <t>DG</t>
    </r>
    <r>
      <rPr>
        <rFont val="&quot;Century Gothic&quot;, Arial, Helvetica, sans-serif"/>
        <color rgb="FF1155CC"/>
        <sz val="11.0"/>
        <u/>
      </rPr>
      <t>Diego Eduardo Gutierrez Mora</t>
    </r>
  </si>
  <si>
    <t>Juan</t>
  </si>
  <si>
    <t>Olivero</t>
  </si>
  <si>
    <t>Carlos</t>
  </si>
  <si>
    <t>Padron</t>
  </si>
  <si>
    <r>
      <rPr>
        <rFont val="&quot;Century Gothic&quot;, Arial, Helvetica, sans-serif"/>
        <color rgb="FF1155CC"/>
        <sz val="11.0"/>
        <u/>
      </rPr>
      <t>VH</t>
    </r>
    <r>
      <rPr>
        <rFont val="&quot;Century Gothic&quot;, Arial, Helvetica, sans-serif"/>
        <color rgb="FF1155CC"/>
        <sz val="11.0"/>
        <u/>
      </rPr>
      <t>Victoria Hernández</t>
    </r>
  </si>
  <si>
    <t>Andres</t>
  </si>
  <si>
    <t>Perozo Minetti</t>
  </si>
  <si>
    <t>Alexander</t>
  </si>
  <si>
    <t>Ramírez</t>
  </si>
  <si>
    <r>
      <rPr>
        <rFont val="&quot;Century Gothic&quot;, Arial, Helvetica, sans-serif"/>
        <b/>
        <color rgb="FF1155CC"/>
        <sz val="11.0"/>
        <u/>
      </rPr>
      <t>Kelvin Hurtado</t>
    </r>
  </si>
  <si>
    <t>Luciano</t>
  </si>
  <si>
    <t>Roa</t>
  </si>
  <si>
    <t>Jesus Gabriel</t>
  </si>
  <si>
    <t>Rodríguez Brito</t>
  </si>
  <si>
    <r>
      <rPr>
        <rFont val="&quot;Century Gothic&quot;, Arial, Helvetica, sans-serif"/>
        <b/>
        <color rgb="FF1155CC"/>
        <sz val="11.0"/>
        <u/>
      </rPr>
      <t>Jesus Enrique Leal Carrillo</t>
    </r>
  </si>
  <si>
    <t>Leonardo Miguel</t>
  </si>
  <si>
    <t>Segovia Pinho</t>
  </si>
  <si>
    <r>
      <rPr>
        <rFont val="&quot;Century Gothic&quot;, Arial, Helvetica, sans-serif"/>
        <b/>
        <color rgb="FF1155CC"/>
        <sz val="11.0"/>
        <u/>
      </rPr>
      <t>Andres Emilio Mujica Gil</t>
    </r>
  </si>
  <si>
    <t>Armando</t>
  </si>
  <si>
    <t>Suarez</t>
  </si>
  <si>
    <t>Sophia</t>
  </si>
  <si>
    <t>Tenorio</t>
  </si>
  <si>
    <r>
      <rPr>
        <rFont val="&quot;Century Gothic&quot;, Arial, Helvetica, sans-serif"/>
        <color rgb="FF1155CC"/>
        <sz val="11.0"/>
        <u/>
      </rPr>
      <t>JO</t>
    </r>
    <r>
      <rPr>
        <rFont val="&quot;Century Gothic&quot;, Arial, Helvetica, sans-serif"/>
        <color rgb="FF1155CC"/>
        <sz val="11.0"/>
        <u/>
      </rPr>
      <t>Juan Olivero</t>
    </r>
  </si>
  <si>
    <t>Antonio</t>
  </si>
  <si>
    <t>Yibirin</t>
  </si>
  <si>
    <t>Alejandro Ezequiel</t>
  </si>
  <si>
    <t>Zamora Escalante</t>
  </si>
  <si>
    <r>
      <rPr>
        <rFont val="&quot;Century Gothic&quot;, Arial, Helvetica, sans-serif"/>
        <color rgb="FF1155CC"/>
        <sz val="11.0"/>
        <u/>
      </rPr>
      <t>CP</t>
    </r>
    <r>
      <rPr>
        <rFont val="&quot;Century Gothic&quot;, Arial, Helvetica, sans-serif"/>
        <color rgb="FF1155CC"/>
        <sz val="11.0"/>
        <u/>
      </rPr>
      <t>Carlos Padron</t>
    </r>
  </si>
  <si>
    <t>Giovanni</t>
  </si>
  <si>
    <t>Zarbo</t>
  </si>
  <si>
    <t>Azael Alonso</t>
  </si>
  <si>
    <t>Zerpa Salazar</t>
  </si>
  <si>
    <r>
      <rPr>
        <rFont val="&quot;Century Gothic&quot;, Arial, Helvetica, sans-serif"/>
        <color rgb="FF1155CC"/>
        <sz val="11.0"/>
        <u/>
      </rPr>
      <t>AP</t>
    </r>
    <r>
      <rPr>
        <rFont val="&quot;Century Gothic&quot;, Arial, Helvetica, sans-serif"/>
        <color rgb="FF1155CC"/>
        <sz val="11.0"/>
        <u/>
      </rPr>
      <t>Andres Perozo Minetti</t>
    </r>
  </si>
  <si>
    <t>Nicolás</t>
  </si>
  <si>
    <t>Mendez</t>
  </si>
  <si>
    <r>
      <rPr>
        <rFont val="&quot;Century Gothic&quot;, Arial, Helvetica, sans-serif"/>
        <b/>
        <color rgb="FF1155CC"/>
        <sz val="11.0"/>
        <u/>
      </rPr>
      <t>Alexander Ramírez</t>
    </r>
  </si>
  <si>
    <r>
      <rPr>
        <rFont val="&quot;Century Gothic&quot;, Arial, Helvetica, sans-serif"/>
        <b/>
        <color rgb="FF1155CC"/>
        <sz val="11.0"/>
        <u/>
      </rPr>
      <t>Luciano Roa</t>
    </r>
  </si>
  <si>
    <r>
      <rPr>
        <rFont val="&quot;Century Gothic&quot;, Arial, Helvetica, sans-serif"/>
        <b/>
        <color rgb="FF1155CC"/>
        <sz val="11.0"/>
        <u/>
      </rPr>
      <t>Jesus Gabriel Rodríguez Brito</t>
    </r>
  </si>
  <si>
    <r>
      <rPr>
        <rFont val="&quot;Century Gothic&quot;, Arial, Helvetica, sans-serif"/>
        <color rgb="FF1155CC"/>
        <sz val="11.0"/>
        <u/>
      </rPr>
      <t>LS</t>
    </r>
    <r>
      <rPr>
        <rFont val="&quot;Century Gothic&quot;, Arial, Helvetica, sans-serif"/>
        <color rgb="FF1155CC"/>
        <sz val="11.0"/>
        <u/>
      </rPr>
      <t>Leonardo Miguel Segovia Pinho</t>
    </r>
  </si>
  <si>
    <r>
      <rPr>
        <rFont val="&quot;Century Gothic&quot;, Arial, Helvetica, sans-serif"/>
        <color rgb="FF1155CC"/>
        <sz val="11.0"/>
        <u/>
      </rPr>
      <t>AS</t>
    </r>
    <r>
      <rPr>
        <rFont val="&quot;Century Gothic&quot;, Arial, Helvetica, sans-serif"/>
        <color rgb="FF1155CC"/>
        <sz val="11.0"/>
        <u/>
      </rPr>
      <t>Armando Suarez</t>
    </r>
  </si>
  <si>
    <r>
      <rPr>
        <rFont val="&quot;Century Gothic&quot;, Arial, Helvetica, sans-serif"/>
        <color rgb="FF1155CC"/>
        <sz val="11.0"/>
        <u/>
      </rPr>
      <t>ST</t>
    </r>
    <r>
      <rPr>
        <rFont val="&quot;Century Gothic&quot;, Arial, Helvetica, sans-serif"/>
        <color rgb="FF1155CC"/>
        <sz val="11.0"/>
        <u/>
      </rPr>
      <t>Sophia Tenorio</t>
    </r>
  </si>
  <si>
    <r>
      <rPr>
        <rFont val="&quot;Century Gothic&quot;, Arial, Helvetica, sans-serif"/>
        <b/>
        <color rgb="FF1155CC"/>
        <sz val="11.0"/>
        <u/>
      </rPr>
      <t>Fernando Torre</t>
    </r>
  </si>
  <si>
    <r>
      <rPr>
        <rFont val="&quot;Century Gothic&quot;, Arial, Helvetica, sans-serif"/>
        <color rgb="FF1155CC"/>
        <sz val="11.0"/>
        <u/>
      </rPr>
      <t>AY</t>
    </r>
    <r>
      <rPr>
        <rFont val="&quot;Century Gothic&quot;, Arial, Helvetica, sans-serif"/>
        <color rgb="FF1155CC"/>
        <sz val="11.0"/>
        <u/>
      </rPr>
      <t>Antonio Yibirin</t>
    </r>
  </si>
  <si>
    <r>
      <rPr>
        <rFont val="&quot;Century Gothic&quot;, Arial, Helvetica, sans-serif"/>
        <b/>
        <color rgb="FF1155CC"/>
        <sz val="11.0"/>
        <u/>
      </rPr>
      <t>Alejandro Ezequiel Zamora Escalante</t>
    </r>
  </si>
  <si>
    <r>
      <rPr>
        <rFont val="&quot;Century Gothic&quot;, Arial, Helvetica, sans-serif"/>
        <color rgb="FF1155CC"/>
        <sz val="11.0"/>
        <u/>
      </rPr>
      <t>GZ</t>
    </r>
    <r>
      <rPr>
        <rFont val="&quot;Century Gothic&quot;, Arial, Helvetica, sans-serif"/>
        <color rgb="FF1155CC"/>
        <sz val="11.0"/>
        <u/>
      </rPr>
      <t>Giovanni Zarbo</t>
    </r>
  </si>
  <si>
    <r>
      <rPr>
        <rFont val="&quot;Century Gothic&quot;, Arial, Helvetica, sans-serif"/>
        <b/>
        <color rgb="FF1155CC"/>
        <sz val="11.0"/>
        <u/>
      </rPr>
      <t>Azael Alonso Zerpa Salazar</t>
    </r>
  </si>
  <si>
    <t>Nicolas Mendez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</si>
</sst>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&quot;Arial Unicode MS&quot;"/>
    </font>
    <font>
      <b/>
      <sz val="11.0"/>
      <color rgb="FF000000"/>
      <name val="Arial"/>
    </font>
    <font>
      <u/>
      <sz val="11.0"/>
      <color rgb="FF0000FF"/>
      <name val="&quot;Century Gothic&quot;"/>
    </font>
    <font>
      <sz val="11.0"/>
      <color rgb="FF000000"/>
      <name val="&quot;Arial Unicode MS&quot;"/>
    </font>
    <font>
      <b/>
      <sz val="11.0"/>
      <color theme="1"/>
      <name val="&quot;Arial Unicode MS&quot;"/>
    </font>
    <font>
      <b/>
      <sz val="11.0"/>
      <color theme="1"/>
      <name val="Arial"/>
    </font>
    <font>
      <sz val="11.0"/>
      <color rgb="FF000000"/>
      <name val="Arial"/>
    </font>
    <font>
      <b/>
      <u/>
      <sz val="11.0"/>
      <color rgb="FF0000FF"/>
      <name val="&quot;Century Gothic&quot;"/>
    </font>
    <font>
      <b/>
      <sz val="11.0"/>
      <color rgb="FFBF9000"/>
      <name val="&quot;Arial Unicode MS&quot;"/>
    </font>
    <font>
      <b/>
      <sz val="11.0"/>
      <color rgb="FFBF9000"/>
      <name val="Arial"/>
    </font>
    <font>
      <b/>
      <color rgb="FFBF9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5" numFmtId="0" xfId="0" applyAlignment="1" applyBorder="1" applyFont="1">
      <alignment horizontal="left" readingOrder="0"/>
    </xf>
    <xf borderId="0" fillId="0" fontId="4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center"/>
    </xf>
    <xf borderId="0" fillId="0" fontId="1" numFmtId="10" xfId="0" applyFont="1" applyNumberFormat="1"/>
    <xf borderId="0" fillId="0" fontId="3" numFmtId="2" xfId="0" applyAlignment="1" applyFont="1" applyNumberFormat="1">
      <alignment horizontal="right" readingOrder="0" shrinkToFit="0" vertical="bottom" wrapText="0"/>
    </xf>
    <xf borderId="0" fillId="0" fontId="6" numFmtId="9" xfId="0" applyAlignment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7" numFmtId="1" xfId="0" applyAlignment="1" applyFont="1" applyNumberFormat="1">
      <alignment horizontal="right" readingOrder="0" shrinkToFit="0" vertical="bottom" wrapText="0"/>
    </xf>
    <xf borderId="0" fillId="0" fontId="8" numFmtId="1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horizontal="left" readingOrder="0"/>
    </xf>
    <xf borderId="0" fillId="0" fontId="11" numFmtId="1" xfId="0" applyAlignment="1" applyFont="1" applyNumberFormat="1">
      <alignment horizontal="right" readingOrder="0" shrinkToFit="0" vertical="bottom" wrapText="0"/>
    </xf>
    <xf borderId="0" fillId="0" fontId="12" numFmtId="1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3" numFmtId="1" xfId="0" applyAlignment="1" applyFont="1" applyNumberFormat="1">
      <alignment readingOrder="0"/>
    </xf>
    <xf borderId="0" fillId="0" fontId="3" numFmtId="9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ota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ernando Javier Torre Mora" id="{c926d3c3-fead-4f55-894f-6a7ea40df499}" providerId="google-sheets"/>
</x18tc:personList>
</file>

<file path=xl/tables/table1.xml><?xml version="1.0" encoding="utf-8"?>
<table xmlns="http://schemas.openxmlformats.org/spreadsheetml/2006/main" ref="A1:Q31" displayName="Table_1" name="Table_1" id="1">
  <tableColumns count="17">
    <tableColumn name="Nombre" id="1"/>
    <tableColumn name="Apellido(s)" id="2"/>
    <tableColumn name="Cédula" id="3"/>
    <tableColumn name="Parcial 1" id="4"/>
    <tableColumn name="Parcial 2" id="5"/>
    <tableColumn name="Prueba Práctica 1" id="6"/>
    <tableColumn name="Prueba Práctica 2" id="7"/>
    <tableColumn name="Proyecto 1" id="8"/>
    <tableColumn name="Proyecto 2" id="9"/>
    <tableColumn name=" IBM SkillBuild" id="10"/>
    <tableColumn name="Video interactivo" id="11"/>
    <tableColumn name="GameMap" id="12"/>
    <tableColumn name="Código Naranja" id="13"/>
    <tableColumn name="Total %" id="14"/>
    <tableColumn name="Escala 20" id="15"/>
    <tableColumn name="Partic" id="16"/>
    <tableColumn name="Def" id="17"/>
  </tableColumns>
  <tableStyleInfo name="Tot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3" dT="2025-11-23T02:10:08.00" personId="{c926d3c3-fead-4f55-894f-6a7ea40df499}" id="{72cf7c3d-f7ff-4805-b452-54236660865b}" done="0">
    <x18tc:text xml:space="preserve">Pizarra</x18tc:text>
  </x18tc:threadedComment>
  <x18tc:threadedComment ref="G27" dT="2025-11-23T02:12:47.00" personId="{c926d3c3-fead-4f55-894f-6a7ea40df499}" id="{02a880db-ad86-4bcd-a2fe-3ffed38a065b}" done="0">
    <x18tc:text xml:space="preserve">Pizarra</x18tc:text>
  </x18tc:threadedComment>
  <x18tc:threadedComment ref="F24" dT="2025-11-23T02:14:27.00" personId="{c926d3c3-fead-4f55-894f-6a7ea40df499}" id="{696d030f-55a2-48a4-8002-1531c3a82aa6}" done="0">
    <x18tc:text xml:space="preserve">Pizarra</x18tc:text>
  </x18tc:threadedComment>
  <x18tc:threadedComment ref="F33" dT="2025-11-23T02:14:54.00" personId="{c926d3c3-fead-4f55-894f-6a7ea40df499}" id="{911d0d9d-f5d4-48f5-9058-23f13083afb5}" done="0">
    <x18tc:text xml:space="preserve">Pizarra</x18tc:text>
  </x18tc:threadedComment>
  <x18tc:threadedComment ref="G25" dT="2025-11-23T02:11:04.00" personId="{c926d3c3-fead-4f55-894f-6a7ea40df499}" id="{9407fa9a-29b6-4948-a134-3912409f67ae}" done="0">
    <x18tc:text xml:space="preserve">Pizarra</x18tc:text>
  </x18tc:threadedComment>
  <x18tc:threadedComment ref="K25" dT="2025-11-23T02:09:27.00" personId="{c926d3c3-fead-4f55-894f-6a7ea40df499}" id="{743a1ac0-91ed-40af-a713-a2ff76945344}" done="0">
    <x18tc:text xml:space="preserve">Pizarra</x18tc:text>
  </x18tc:threadedComment>
  <x18tc:threadedComment ref="H29" dT="2025-11-23T02:11:41.00" personId="{c926d3c3-fead-4f55-894f-6a7ea40df499}" id="{421da29b-0bf0-4dcf-93ae-a693c025bc1c}" done="0">
    <x18tc:text xml:space="preserve">Pizarra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ulasvirtuales.unimet.edu.ve/user/view.php?id=11869&amp;course=2879" TargetMode="External"/><Relationship Id="rId22" Type="http://schemas.openxmlformats.org/officeDocument/2006/relationships/hyperlink" Target="https://aulasvirtuales.unimet.edu.ve/user/view.php?id=15967&amp;course=2879" TargetMode="External"/><Relationship Id="rId21" Type="http://schemas.openxmlformats.org/officeDocument/2006/relationships/hyperlink" Target="https://aulasvirtuales.unimet.edu.ve/user/view.php?id=9269&amp;course=2879" TargetMode="External"/><Relationship Id="rId24" Type="http://schemas.openxmlformats.org/officeDocument/2006/relationships/hyperlink" Target="https://aulasvirtuales.unimet.edu.ve/user/view.php?id=15892&amp;course=2879" TargetMode="External"/><Relationship Id="rId23" Type="http://schemas.openxmlformats.org/officeDocument/2006/relationships/hyperlink" Target="https://aulasvirtuales.unimet.edu.ve/user/view.php?id=10993&amp;course=287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ulasvirtuales.unimet.edu.ve/user/view.php?id=15825&amp;course=2879" TargetMode="External"/><Relationship Id="rId9" Type="http://schemas.openxmlformats.org/officeDocument/2006/relationships/hyperlink" Target="https://aulasvirtuales.unimet.edu.ve/user/view.php?id=11122&amp;course=2879" TargetMode="External"/><Relationship Id="rId26" Type="http://schemas.openxmlformats.org/officeDocument/2006/relationships/hyperlink" Target="https://aulasvirtuales.unimet.edu.ve/user/view.php?id=8488&amp;course=2879" TargetMode="External"/><Relationship Id="rId25" Type="http://schemas.openxmlformats.org/officeDocument/2006/relationships/hyperlink" Target="https://aulasvirtuales.unimet.edu.ve/user/view.php?id=15946&amp;course=2879" TargetMode="External"/><Relationship Id="rId28" Type="http://schemas.openxmlformats.org/officeDocument/2006/relationships/hyperlink" Target="https://aulasvirtuales.unimet.edu.ve/user/view.php?id=10179&amp;course=2879" TargetMode="External"/><Relationship Id="rId27" Type="http://schemas.openxmlformats.org/officeDocument/2006/relationships/hyperlink" Target="https://aulasvirtuales.unimet.edu.ve/user/view.php?id=11886&amp;course=2879" TargetMode="External"/><Relationship Id="rId5" Type="http://schemas.openxmlformats.org/officeDocument/2006/relationships/hyperlink" Target="https://aulasvirtuales.unimet.edu.ve/user/view.php?id=11732&amp;course=2879" TargetMode="External"/><Relationship Id="rId6" Type="http://schemas.openxmlformats.org/officeDocument/2006/relationships/hyperlink" Target="https://aulasvirtuales.unimet.edu.ve/user/view.php?id=11666&amp;course=2879" TargetMode="External"/><Relationship Id="rId29" Type="http://schemas.openxmlformats.org/officeDocument/2006/relationships/hyperlink" Target="https://aulasvirtuales.unimet.edu.ve/user/view.php?id=15879&amp;course=2879" TargetMode="External"/><Relationship Id="rId7" Type="http://schemas.openxmlformats.org/officeDocument/2006/relationships/hyperlink" Target="https://aulasvirtuales.unimet.edu.ve/user/view.php?id=17123&amp;course=2879" TargetMode="External"/><Relationship Id="rId8" Type="http://schemas.openxmlformats.org/officeDocument/2006/relationships/hyperlink" Target="https://aulasvirtuales.unimet.edu.ve/user/view.php?id=6954&amp;course=2879" TargetMode="External"/><Relationship Id="rId31" Type="http://schemas.openxmlformats.org/officeDocument/2006/relationships/hyperlink" Target="https://aulasvirtuales.unimet.edu.ve/user/view.php?id=15649&amp;course=2879" TargetMode="External"/><Relationship Id="rId30" Type="http://schemas.openxmlformats.org/officeDocument/2006/relationships/hyperlink" Target="https://aulasvirtuales.unimet.edu.ve/user/view.php?id=13668&amp;course=2879" TargetMode="External"/><Relationship Id="rId11" Type="http://schemas.openxmlformats.org/officeDocument/2006/relationships/hyperlink" Target="https://aulasvirtuales.unimet.edu.ve/user/view.php?id=12282&amp;course=2879" TargetMode="External"/><Relationship Id="rId33" Type="http://schemas.openxmlformats.org/officeDocument/2006/relationships/hyperlink" Target="https://aulasvirtuales.unimet.edu.ve/user/view.php?id=15813&amp;course=2879" TargetMode="External"/><Relationship Id="rId10" Type="http://schemas.openxmlformats.org/officeDocument/2006/relationships/hyperlink" Target="https://aulasvirtuales.unimet.edu.ve/user/view.php?id=19462&amp;course=2879" TargetMode="External"/><Relationship Id="rId32" Type="http://schemas.openxmlformats.org/officeDocument/2006/relationships/hyperlink" Target="https://aulasvirtuales.unimet.edu.ve/user/view.php?id=12278&amp;course=2879" TargetMode="External"/><Relationship Id="rId13" Type="http://schemas.openxmlformats.org/officeDocument/2006/relationships/hyperlink" Target="https://aulasvirtuales.unimet.edu.ve/user/view.php?id=16050&amp;course=2879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aulasvirtuales.unimet.edu.ve/user/view.php?id=2095&amp;course=2879" TargetMode="External"/><Relationship Id="rId34" Type="http://schemas.openxmlformats.org/officeDocument/2006/relationships/hyperlink" Target="https://aulasvirtuales.unimet.edu.ve/user/view.php?id=12435&amp;course=2879" TargetMode="External"/><Relationship Id="rId15" Type="http://schemas.openxmlformats.org/officeDocument/2006/relationships/hyperlink" Target="https://aulasvirtuales.unimet.edu.ve/user/view.php?id=11921&amp;course=2879" TargetMode="External"/><Relationship Id="rId14" Type="http://schemas.openxmlformats.org/officeDocument/2006/relationships/hyperlink" Target="https://aulasvirtuales.unimet.edu.ve/user/view.php?id=12970&amp;course=2879" TargetMode="External"/><Relationship Id="rId36" Type="http://schemas.openxmlformats.org/officeDocument/2006/relationships/vmlDrawing" Target="../drawings/vmlDrawing1.vml"/><Relationship Id="rId17" Type="http://schemas.openxmlformats.org/officeDocument/2006/relationships/hyperlink" Target="https://aulasvirtuales.unimet.edu.ve/user/view.php?id=15638&amp;course=2879" TargetMode="External"/><Relationship Id="rId16" Type="http://schemas.openxmlformats.org/officeDocument/2006/relationships/hyperlink" Target="https://aulasvirtuales.unimet.edu.ve/user/view.php?id=12432&amp;course=2879" TargetMode="External"/><Relationship Id="rId19" Type="http://schemas.openxmlformats.org/officeDocument/2006/relationships/hyperlink" Target="https://aulasvirtuales.unimet.edu.ve/user/view.php?id=8499&amp;course=2879" TargetMode="External"/><Relationship Id="rId18" Type="http://schemas.openxmlformats.org/officeDocument/2006/relationships/hyperlink" Target="https://aulasvirtuales.unimet.edu.ve/user/view.php?id=7555&amp;course=28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16" width="6.38"/>
  </cols>
  <sheetData>
    <row r="1">
      <c r="A1" s="1" t="s">
        <v>0</v>
      </c>
      <c r="B1" s="2">
        <v>45909.0</v>
      </c>
      <c r="C1" s="2">
        <v>45911.0</v>
      </c>
      <c r="D1" s="2">
        <v>45925.0</v>
      </c>
      <c r="E1" s="2">
        <v>45930.0</v>
      </c>
      <c r="F1" s="2">
        <v>45932.0</v>
      </c>
      <c r="G1" s="2">
        <v>45937.0</v>
      </c>
      <c r="H1" s="2">
        <v>45939.0</v>
      </c>
      <c r="I1" s="2">
        <v>45945.0</v>
      </c>
      <c r="J1" s="2">
        <v>45956.0</v>
      </c>
      <c r="K1" s="2">
        <v>45960.0</v>
      </c>
      <c r="L1" s="2">
        <v>45965.0</v>
      </c>
      <c r="M1" s="2">
        <v>45972.0</v>
      </c>
      <c r="N1" s="2">
        <v>45974.0</v>
      </c>
      <c r="O1" s="2">
        <v>45979.0</v>
      </c>
      <c r="P1" s="2">
        <v>45985.0</v>
      </c>
      <c r="Q1" s="3" t="s">
        <v>1</v>
      </c>
      <c r="R1" s="4" t="s">
        <v>2</v>
      </c>
    </row>
    <row r="2">
      <c r="A2" s="7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3">
        <f t="shared" ref="Q2:Q33" si="1">SUM(B2:P2)</f>
        <v>0</v>
      </c>
      <c r="R2" s="14">
        <f t="shared" ref="R2:R33" si="2">Q2/counta($B$1:$P$1)</f>
        <v>0</v>
      </c>
    </row>
    <row r="3">
      <c r="A3" s="7" t="s">
        <v>23</v>
      </c>
      <c r="B3" s="9"/>
      <c r="C3" s="9"/>
      <c r="D3" s="9"/>
      <c r="E3" s="9"/>
      <c r="F3" s="9"/>
      <c r="G3" s="9"/>
      <c r="H3" s="9"/>
      <c r="I3" s="9"/>
      <c r="J3" s="17">
        <v>1.0</v>
      </c>
      <c r="K3" s="17"/>
      <c r="L3" s="9"/>
      <c r="M3" s="9"/>
      <c r="N3" s="9"/>
      <c r="O3" s="9"/>
      <c r="P3" s="9"/>
      <c r="Q3" s="13">
        <f t="shared" si="1"/>
        <v>1</v>
      </c>
      <c r="R3" s="14">
        <f t="shared" si="2"/>
        <v>0.06666666667</v>
      </c>
    </row>
    <row r="4">
      <c r="A4" s="7" t="s">
        <v>26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3">
        <f t="shared" si="1"/>
        <v>0</v>
      </c>
      <c r="R4" s="14">
        <f t="shared" si="2"/>
        <v>0</v>
      </c>
    </row>
    <row r="5">
      <c r="A5" s="7" t="s">
        <v>30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3">
        <f t="shared" si="1"/>
        <v>0</v>
      </c>
      <c r="R5" s="14">
        <f t="shared" si="2"/>
        <v>0</v>
      </c>
    </row>
    <row r="6">
      <c r="A6" s="21" t="s">
        <v>36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3">
        <f t="shared" si="1"/>
        <v>0</v>
      </c>
      <c r="R6" s="14">
        <f t="shared" si="2"/>
        <v>0</v>
      </c>
    </row>
    <row r="7">
      <c r="A7" s="7" t="s">
        <v>39</v>
      </c>
      <c r="B7" s="9"/>
      <c r="C7" s="17">
        <v>1.0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7">
        <v>1.0</v>
      </c>
      <c r="P7" s="17">
        <v>1.0</v>
      </c>
      <c r="Q7" s="13">
        <f t="shared" si="1"/>
        <v>3</v>
      </c>
      <c r="R7" s="14">
        <f t="shared" si="2"/>
        <v>0.2</v>
      </c>
    </row>
    <row r="8">
      <c r="A8" s="7" t="s">
        <v>42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3">
        <f t="shared" si="1"/>
        <v>0</v>
      </c>
      <c r="R8" s="14">
        <f t="shared" si="2"/>
        <v>0</v>
      </c>
    </row>
    <row r="9">
      <c r="A9" s="21" t="s">
        <v>46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>
        <v>6.0</v>
      </c>
      <c r="N9" s="9"/>
      <c r="O9" s="9"/>
      <c r="P9" s="9"/>
      <c r="Q9" s="13">
        <f t="shared" si="1"/>
        <v>6</v>
      </c>
      <c r="R9" s="14">
        <f t="shared" si="2"/>
        <v>0.4</v>
      </c>
    </row>
    <row r="10">
      <c r="A10" s="7" t="s">
        <v>51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3">
        <f t="shared" si="1"/>
        <v>0</v>
      </c>
      <c r="R10" s="14">
        <f t="shared" si="2"/>
        <v>0</v>
      </c>
    </row>
    <row r="11">
      <c r="A11" s="7" t="s">
        <v>52</v>
      </c>
      <c r="B11" s="17">
        <v>1.0</v>
      </c>
      <c r="C11" s="9"/>
      <c r="D11" s="9"/>
      <c r="E11" s="17">
        <v>1.0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3">
        <f t="shared" si="1"/>
        <v>2</v>
      </c>
      <c r="R11" s="14">
        <f t="shared" si="2"/>
        <v>0.1333333333</v>
      </c>
    </row>
    <row r="12">
      <c r="A12" s="7" t="s">
        <v>57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3">
        <f t="shared" si="1"/>
        <v>0</v>
      </c>
      <c r="R12" s="14">
        <f t="shared" si="2"/>
        <v>0</v>
      </c>
    </row>
    <row r="13">
      <c r="A13" s="7" t="s">
        <v>60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3">
        <f t="shared" si="1"/>
        <v>0</v>
      </c>
      <c r="R13" s="14">
        <f t="shared" si="2"/>
        <v>0</v>
      </c>
    </row>
    <row r="14">
      <c r="A14" s="7" t="s">
        <v>63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3">
        <f t="shared" si="1"/>
        <v>0</v>
      </c>
      <c r="R14" s="14">
        <f t="shared" si="2"/>
        <v>0</v>
      </c>
    </row>
    <row r="15">
      <c r="A15" s="7" t="s">
        <v>68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3">
        <f t="shared" si="1"/>
        <v>0</v>
      </c>
      <c r="R15" s="14">
        <f t="shared" si="2"/>
        <v>0</v>
      </c>
    </row>
    <row r="16">
      <c r="A16" s="21" t="s">
        <v>73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3">
        <f t="shared" si="1"/>
        <v>0</v>
      </c>
      <c r="R16" s="14">
        <f t="shared" si="2"/>
        <v>0</v>
      </c>
    </row>
    <row r="17">
      <c r="A17" s="21" t="s">
        <v>78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3">
        <f t="shared" si="1"/>
        <v>0</v>
      </c>
      <c r="R17" s="14">
        <f t="shared" si="2"/>
        <v>0</v>
      </c>
    </row>
    <row r="18">
      <c r="A18" s="21" t="s">
        <v>81</v>
      </c>
      <c r="B18" s="9"/>
      <c r="C18" s="17">
        <v>1.0</v>
      </c>
      <c r="D18" s="17">
        <v>1.0</v>
      </c>
      <c r="E18" s="9"/>
      <c r="F18" s="9"/>
      <c r="G18" s="17">
        <v>3.0</v>
      </c>
      <c r="H18" s="17"/>
      <c r="I18" s="17"/>
      <c r="J18" s="17"/>
      <c r="K18" s="17"/>
      <c r="L18" s="9"/>
      <c r="M18" s="9"/>
      <c r="N18" s="9"/>
      <c r="O18" s="9"/>
      <c r="P18" s="9"/>
      <c r="Q18" s="13">
        <f t="shared" si="1"/>
        <v>5</v>
      </c>
      <c r="R18" s="14">
        <f t="shared" si="2"/>
        <v>0.3333333333</v>
      </c>
    </row>
    <row r="19">
      <c r="A19" s="7" t="s">
        <v>86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3">
        <f t="shared" si="1"/>
        <v>0</v>
      </c>
      <c r="R19" s="14">
        <f t="shared" si="2"/>
        <v>0</v>
      </c>
    </row>
    <row r="20">
      <c r="A20" s="7" t="s">
        <v>91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3">
        <f t="shared" si="1"/>
        <v>0</v>
      </c>
      <c r="R20" s="14">
        <f t="shared" si="2"/>
        <v>0</v>
      </c>
    </row>
    <row r="21">
      <c r="A21" s="7" t="s">
        <v>96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3">
        <f t="shared" si="1"/>
        <v>0</v>
      </c>
      <c r="R21" s="14">
        <f t="shared" si="2"/>
        <v>0</v>
      </c>
    </row>
    <row r="22">
      <c r="A22" s="21" t="s">
        <v>99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3">
        <f t="shared" si="1"/>
        <v>0</v>
      </c>
      <c r="R22" s="14">
        <f t="shared" si="2"/>
        <v>0</v>
      </c>
    </row>
    <row r="23">
      <c r="A23" s="21" t="s">
        <v>100</v>
      </c>
      <c r="B23" s="9"/>
      <c r="C23" s="17">
        <v>1.0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3">
        <f t="shared" si="1"/>
        <v>1</v>
      </c>
      <c r="R23" s="14">
        <f t="shared" si="2"/>
        <v>0.06666666667</v>
      </c>
    </row>
    <row r="24">
      <c r="A24" s="21" t="s">
        <v>101</v>
      </c>
      <c r="B24" s="9"/>
      <c r="C24" s="9"/>
      <c r="D24" s="9"/>
      <c r="E24" s="9"/>
      <c r="F24" s="17">
        <v>4.0</v>
      </c>
      <c r="G24" s="17"/>
      <c r="H24" s="17"/>
      <c r="I24" s="17"/>
      <c r="J24" s="17"/>
      <c r="K24" s="17"/>
      <c r="L24" s="9"/>
      <c r="M24" s="9"/>
      <c r="N24" s="9"/>
      <c r="O24" s="9"/>
      <c r="P24" s="9"/>
      <c r="Q24" s="13">
        <f t="shared" si="1"/>
        <v>4</v>
      </c>
      <c r="R24" s="14">
        <f t="shared" si="2"/>
        <v>0.2666666667</v>
      </c>
    </row>
    <row r="25">
      <c r="A25" s="7" t="s">
        <v>102</v>
      </c>
      <c r="B25" s="17">
        <v>1.0</v>
      </c>
      <c r="C25" s="17">
        <v>1.0</v>
      </c>
      <c r="D25" s="17">
        <v>1.0</v>
      </c>
      <c r="E25" s="17"/>
      <c r="F25" s="17"/>
      <c r="G25" s="17">
        <v>8.0</v>
      </c>
      <c r="H25" s="17"/>
      <c r="I25" s="17"/>
      <c r="J25" s="17">
        <v>1.0</v>
      </c>
      <c r="K25" s="17">
        <v>2.0</v>
      </c>
      <c r="L25" s="17">
        <v>4.0</v>
      </c>
      <c r="M25" s="9"/>
      <c r="N25" s="17">
        <v>3.0</v>
      </c>
      <c r="O25" s="17">
        <v>1.0</v>
      </c>
      <c r="P25" s="17">
        <v>1.0</v>
      </c>
      <c r="Q25" s="13">
        <f t="shared" si="1"/>
        <v>23</v>
      </c>
      <c r="R25" s="14">
        <f t="shared" si="2"/>
        <v>1.533333333</v>
      </c>
    </row>
    <row r="26">
      <c r="A26" s="7" t="s">
        <v>103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3">
        <f t="shared" si="1"/>
        <v>0</v>
      </c>
      <c r="R26" s="14">
        <f t="shared" si="2"/>
        <v>0</v>
      </c>
    </row>
    <row r="27">
      <c r="A27" s="7" t="s">
        <v>104</v>
      </c>
      <c r="B27" s="17">
        <v>2.0</v>
      </c>
      <c r="C27" s="17">
        <v>1.0</v>
      </c>
      <c r="D27" s="9"/>
      <c r="E27" s="9"/>
      <c r="F27" s="9"/>
      <c r="G27" s="17">
        <v>3.0</v>
      </c>
      <c r="H27" s="17"/>
      <c r="I27" s="17"/>
      <c r="J27" s="17"/>
      <c r="K27" s="17"/>
      <c r="L27" s="9"/>
      <c r="M27" s="9"/>
      <c r="N27" s="9"/>
      <c r="O27" s="9"/>
      <c r="P27" s="9"/>
      <c r="Q27" s="13">
        <f t="shared" si="1"/>
        <v>6</v>
      </c>
      <c r="R27" s="14">
        <f t="shared" si="2"/>
        <v>0.4</v>
      </c>
    </row>
    <row r="28">
      <c r="A28" s="21" t="s">
        <v>105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3">
        <f t="shared" si="1"/>
        <v>0</v>
      </c>
      <c r="R28" s="14">
        <f t="shared" si="2"/>
        <v>0</v>
      </c>
    </row>
    <row r="29">
      <c r="A29" s="7" t="s">
        <v>106</v>
      </c>
      <c r="B29" s="17"/>
      <c r="C29" s="17">
        <v>2.0</v>
      </c>
      <c r="D29" s="17">
        <v>1.0</v>
      </c>
      <c r="E29" s="17"/>
      <c r="F29" s="17"/>
      <c r="G29" s="17"/>
      <c r="H29" s="17">
        <v>5.0</v>
      </c>
      <c r="I29" s="17">
        <v>1.0</v>
      </c>
      <c r="J29" s="17">
        <v>1.0</v>
      </c>
      <c r="K29" s="17"/>
      <c r="L29" s="17">
        <v>4.0</v>
      </c>
      <c r="M29" s="9"/>
      <c r="N29" s="9"/>
      <c r="O29" s="9"/>
      <c r="P29" s="9"/>
      <c r="Q29" s="13">
        <f t="shared" si="1"/>
        <v>14</v>
      </c>
      <c r="R29" s="14">
        <f t="shared" si="2"/>
        <v>0.9333333333</v>
      </c>
    </row>
    <row r="30">
      <c r="A30" s="21" t="s">
        <v>107</v>
      </c>
      <c r="B30" s="17">
        <v>1.0</v>
      </c>
      <c r="C30" s="17">
        <v>1.0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3">
        <f t="shared" si="1"/>
        <v>2</v>
      </c>
      <c r="R30" s="14">
        <f t="shared" si="2"/>
        <v>0.1333333333</v>
      </c>
    </row>
    <row r="31">
      <c r="A31" s="7" t="s">
        <v>108</v>
      </c>
      <c r="B31" s="17">
        <v>1.0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7">
        <v>1.0</v>
      </c>
      <c r="Q31" s="13">
        <f t="shared" si="1"/>
        <v>2</v>
      </c>
      <c r="R31" s="14">
        <f t="shared" si="2"/>
        <v>0.1333333333</v>
      </c>
    </row>
    <row r="32">
      <c r="A32" s="21" t="s">
        <v>109</v>
      </c>
      <c r="B32" s="9"/>
      <c r="C32" s="9"/>
      <c r="D32" s="17">
        <v>1.0</v>
      </c>
      <c r="E32" s="9"/>
      <c r="F32" s="9"/>
      <c r="G32" s="9"/>
      <c r="H32" s="9"/>
      <c r="I32" s="17">
        <v>1.0</v>
      </c>
      <c r="J32" s="9"/>
      <c r="K32" s="9"/>
      <c r="L32" s="9"/>
      <c r="M32" s="9"/>
      <c r="N32" s="9"/>
      <c r="O32" s="9"/>
      <c r="P32" s="9"/>
      <c r="Q32" s="13">
        <f t="shared" si="1"/>
        <v>2</v>
      </c>
      <c r="R32" s="14">
        <f t="shared" si="2"/>
        <v>0.1333333333</v>
      </c>
    </row>
    <row r="33">
      <c r="A33" s="1" t="s">
        <v>110</v>
      </c>
      <c r="B33" s="17"/>
      <c r="C33" s="17"/>
      <c r="D33" s="17"/>
      <c r="E33" s="17"/>
      <c r="F33" s="17">
        <v>2.0</v>
      </c>
      <c r="G33" s="17"/>
      <c r="H33" s="17"/>
      <c r="I33" s="17">
        <v>1.0</v>
      </c>
      <c r="J33" s="17"/>
      <c r="K33" s="17">
        <v>2.0</v>
      </c>
      <c r="L33" s="17">
        <v>4.0</v>
      </c>
      <c r="M33" s="17">
        <v>4.0</v>
      </c>
      <c r="N33" s="17">
        <v>5.0</v>
      </c>
      <c r="O33" s="17">
        <v>1.0</v>
      </c>
      <c r="P33" s="17">
        <v>2.0</v>
      </c>
      <c r="Q33" s="13">
        <f t="shared" si="1"/>
        <v>21</v>
      </c>
      <c r="R33" s="14">
        <f t="shared" si="2"/>
        <v>1.4</v>
      </c>
    </row>
    <row r="34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2"/>
    </row>
    <row r="35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2"/>
    </row>
    <row r="36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2"/>
    </row>
    <row r="37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2"/>
    </row>
    <row r="38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2"/>
    </row>
    <row r="39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</row>
    <row r="40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2"/>
    </row>
    <row r="41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2"/>
    </row>
    <row r="4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2"/>
    </row>
    <row r="43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2"/>
    </row>
    <row r="4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2"/>
    </row>
    <row r="4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2"/>
    </row>
    <row r="46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2"/>
    </row>
    <row r="47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2"/>
    </row>
    <row r="48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2"/>
    </row>
    <row r="49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2"/>
    </row>
    <row r="50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2"/>
    </row>
    <row r="5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2"/>
    </row>
    <row r="52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2"/>
    </row>
    <row r="53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2"/>
    </row>
    <row r="5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2"/>
    </row>
    <row r="55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2"/>
    </row>
    <row r="56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2"/>
    </row>
    <row r="57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2"/>
    </row>
    <row r="58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2"/>
    </row>
    <row r="59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2"/>
    </row>
    <row r="60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2"/>
    </row>
    <row r="6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2"/>
    </row>
    <row r="6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2"/>
    </row>
    <row r="63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2"/>
    </row>
    <row r="6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2"/>
    </row>
    <row r="6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2"/>
    </row>
    <row r="66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2"/>
    </row>
    <row r="67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2"/>
    </row>
    <row r="68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</row>
    <row r="69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</row>
    <row r="70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/>
    </row>
    <row r="7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2"/>
    </row>
    <row r="7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</row>
    <row r="73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2"/>
    </row>
    <row r="7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2"/>
    </row>
    <row r="75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2"/>
    </row>
    <row r="76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2"/>
    </row>
    <row r="77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2"/>
    </row>
    <row r="78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2"/>
    </row>
    <row r="79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2"/>
    </row>
    <row r="80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2"/>
    </row>
    <row r="8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2"/>
    </row>
    <row r="82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2"/>
    </row>
    <row r="83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2"/>
    </row>
    <row r="84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2"/>
    </row>
    <row r="85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2"/>
    </row>
    <row r="86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2"/>
    </row>
    <row r="87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2"/>
    </row>
    <row r="88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2"/>
    </row>
    <row r="89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2"/>
    </row>
    <row r="90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2"/>
    </row>
    <row r="91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2"/>
    </row>
    <row r="92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2"/>
    </row>
    <row r="93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2"/>
    </row>
    <row r="94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2"/>
    </row>
    <row r="95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2"/>
    </row>
    <row r="96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2"/>
    </row>
    <row r="97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2"/>
    </row>
    <row r="98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2"/>
    </row>
    <row r="99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2"/>
    </row>
    <row r="100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2"/>
    </row>
    <row r="101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2"/>
    </row>
    <row r="102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2"/>
    </row>
    <row r="103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2"/>
    </row>
    <row r="104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2"/>
    </row>
    <row r="105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2"/>
    </row>
    <row r="106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2"/>
    </row>
    <row r="107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2"/>
    </row>
    <row r="108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2"/>
    </row>
    <row r="109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2"/>
    </row>
    <row r="110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2"/>
    </row>
    <row r="111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2"/>
    </row>
    <row r="112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2"/>
    </row>
    <row r="113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2"/>
    </row>
    <row r="114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2"/>
    </row>
    <row r="115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2"/>
    </row>
    <row r="116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2"/>
    </row>
    <row r="117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2"/>
    </row>
    <row r="118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2"/>
    </row>
    <row r="119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2"/>
    </row>
    <row r="120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2"/>
    </row>
    <row r="121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2"/>
    </row>
    <row r="122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2"/>
    </row>
    <row r="123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2"/>
    </row>
    <row r="124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2"/>
    </row>
    <row r="1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2"/>
    </row>
    <row r="126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2"/>
    </row>
    <row r="127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2"/>
    </row>
    <row r="128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2"/>
    </row>
    <row r="129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2"/>
    </row>
    <row r="130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2"/>
    </row>
    <row r="131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2"/>
    </row>
    <row r="132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2"/>
    </row>
    <row r="133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2"/>
    </row>
    <row r="134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2"/>
    </row>
    <row r="13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2"/>
    </row>
    <row r="136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2"/>
    </row>
    <row r="137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2"/>
    </row>
    <row r="138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2"/>
    </row>
    <row r="139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2"/>
    </row>
    <row r="140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2"/>
    </row>
    <row r="141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2"/>
    </row>
    <row r="142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2"/>
    </row>
    <row r="143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2"/>
    </row>
    <row r="144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2"/>
    </row>
    <row r="14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2"/>
    </row>
    <row r="146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2"/>
    </row>
    <row r="147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2"/>
    </row>
    <row r="148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2"/>
    </row>
    <row r="149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2"/>
    </row>
    <row r="150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2"/>
    </row>
    <row r="15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2"/>
    </row>
    <row r="15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2"/>
    </row>
    <row r="153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2"/>
    </row>
    <row r="154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2"/>
    </row>
    <row r="15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2"/>
    </row>
    <row r="156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2"/>
    </row>
    <row r="157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2"/>
    </row>
    <row r="158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2"/>
    </row>
    <row r="159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2"/>
    </row>
    <row r="160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2"/>
    </row>
    <row r="16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2"/>
    </row>
    <row r="162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2"/>
    </row>
    <row r="163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2"/>
    </row>
    <row r="164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2"/>
    </row>
    <row r="165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2"/>
    </row>
    <row r="166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2"/>
    </row>
    <row r="167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2"/>
    </row>
    <row r="168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2"/>
    </row>
    <row r="169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2"/>
    </row>
    <row r="170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2"/>
    </row>
    <row r="171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2"/>
    </row>
    <row r="172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2"/>
    </row>
    <row r="173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2"/>
    </row>
    <row r="174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2"/>
    </row>
    <row r="175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2"/>
    </row>
    <row r="176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2"/>
    </row>
    <row r="177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2"/>
    </row>
    <row r="178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2"/>
    </row>
    <row r="179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2"/>
    </row>
    <row r="180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2"/>
    </row>
    <row r="181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2"/>
    </row>
    <row r="182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2"/>
    </row>
    <row r="183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2"/>
    </row>
    <row r="184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2"/>
    </row>
    <row r="185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2"/>
    </row>
    <row r="186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2"/>
    </row>
    <row r="187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2"/>
    </row>
    <row r="188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2"/>
    </row>
    <row r="189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2"/>
    </row>
    <row r="190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2"/>
    </row>
    <row r="191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2"/>
    </row>
    <row r="192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2"/>
    </row>
    <row r="193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2"/>
    </row>
    <row r="194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2"/>
    </row>
    <row r="195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2"/>
    </row>
    <row r="196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2"/>
    </row>
    <row r="197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2"/>
    </row>
    <row r="198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2"/>
    </row>
    <row r="199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2"/>
    </row>
    <row r="200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2"/>
    </row>
    <row r="201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2"/>
    </row>
    <row r="202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2"/>
    </row>
    <row r="203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2"/>
    </row>
    <row r="204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2"/>
    </row>
    <row r="205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2"/>
    </row>
    <row r="206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2"/>
    </row>
    <row r="207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2"/>
    </row>
    <row r="208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2"/>
    </row>
    <row r="209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2"/>
    </row>
    <row r="210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2"/>
    </row>
    <row r="211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2"/>
    </row>
    <row r="212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2"/>
    </row>
    <row r="213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2"/>
    </row>
    <row r="214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2"/>
    </row>
    <row r="215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2"/>
    </row>
    <row r="216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2"/>
    </row>
    <row r="217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2"/>
    </row>
    <row r="218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2"/>
    </row>
    <row r="219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2"/>
    </row>
    <row r="220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2"/>
    </row>
    <row r="221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2"/>
    </row>
    <row r="222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2"/>
    </row>
    <row r="223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2"/>
    </row>
    <row r="224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2"/>
    </row>
    <row r="225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2"/>
    </row>
    <row r="226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2"/>
    </row>
    <row r="227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2"/>
    </row>
    <row r="228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2"/>
    </row>
    <row r="229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2"/>
    </row>
    <row r="230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2"/>
    </row>
    <row r="231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2"/>
    </row>
    <row r="232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2"/>
    </row>
    <row r="233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2"/>
    </row>
    <row r="234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2"/>
    </row>
    <row r="235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2"/>
    </row>
    <row r="236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2"/>
    </row>
    <row r="237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2"/>
    </row>
    <row r="238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2"/>
    </row>
    <row r="239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2"/>
    </row>
    <row r="240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2"/>
    </row>
    <row r="241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2"/>
    </row>
    <row r="242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2"/>
    </row>
    <row r="243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2"/>
    </row>
    <row r="244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2"/>
    </row>
    <row r="245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2"/>
    </row>
    <row r="246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2"/>
    </row>
    <row r="247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2"/>
    </row>
    <row r="248"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2"/>
    </row>
    <row r="249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2"/>
    </row>
    <row r="250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2"/>
    </row>
    <row r="251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2"/>
    </row>
    <row r="252"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2"/>
    </row>
    <row r="253"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2"/>
    </row>
    <row r="254"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2"/>
    </row>
    <row r="255"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2"/>
    </row>
    <row r="256"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2"/>
    </row>
    <row r="257"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2"/>
    </row>
    <row r="258"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2"/>
    </row>
    <row r="259"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2"/>
    </row>
    <row r="260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2"/>
    </row>
    <row r="261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2"/>
    </row>
    <row r="262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2"/>
    </row>
    <row r="263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2"/>
    </row>
    <row r="264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2"/>
    </row>
    <row r="265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2"/>
    </row>
    <row r="266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2"/>
    </row>
    <row r="267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2"/>
    </row>
    <row r="268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2"/>
    </row>
    <row r="269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2"/>
    </row>
    <row r="270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2"/>
    </row>
    <row r="271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2"/>
    </row>
    <row r="272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2"/>
    </row>
    <row r="273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2"/>
    </row>
    <row r="274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2"/>
    </row>
    <row r="275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2"/>
    </row>
    <row r="276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2"/>
    </row>
    <row r="277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2"/>
    </row>
    <row r="278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2"/>
    </row>
    <row r="279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2"/>
    </row>
    <row r="280"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2"/>
    </row>
    <row r="281"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2"/>
    </row>
    <row r="282"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2"/>
    </row>
    <row r="283"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2"/>
    </row>
    <row r="284"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2"/>
    </row>
    <row r="285"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2"/>
    </row>
    <row r="286"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2"/>
    </row>
    <row r="287"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2"/>
    </row>
    <row r="288"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2"/>
    </row>
    <row r="289"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2"/>
    </row>
    <row r="290"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2"/>
    </row>
    <row r="291"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2"/>
    </row>
    <row r="292"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2"/>
    </row>
    <row r="293"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2"/>
    </row>
    <row r="294"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2"/>
    </row>
    <row r="295"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2"/>
    </row>
    <row r="296"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2"/>
    </row>
    <row r="297"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2"/>
    </row>
    <row r="298"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2"/>
    </row>
    <row r="299"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2"/>
    </row>
    <row r="300"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2"/>
    </row>
    <row r="301"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2"/>
    </row>
    <row r="302"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2"/>
    </row>
    <row r="303"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2"/>
    </row>
    <row r="304"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2"/>
    </row>
    <row r="305"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2"/>
    </row>
    <row r="306"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2"/>
    </row>
    <row r="307"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2"/>
    </row>
    <row r="308"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2"/>
    </row>
    <row r="309"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2"/>
    </row>
    <row r="310"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2"/>
    </row>
    <row r="311"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2"/>
    </row>
    <row r="312"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2"/>
    </row>
    <row r="313"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2"/>
    </row>
    <row r="314"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2"/>
    </row>
    <row r="315"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2"/>
    </row>
    <row r="316"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2"/>
    </row>
    <row r="317"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2"/>
    </row>
    <row r="318"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2"/>
    </row>
    <row r="319"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2"/>
    </row>
    <row r="320"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2"/>
    </row>
    <row r="321"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2"/>
    </row>
    <row r="322"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2"/>
    </row>
    <row r="323"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2"/>
    </row>
    <row r="324"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2"/>
    </row>
    <row r="325"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2"/>
    </row>
    <row r="326"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2"/>
    </row>
    <row r="327"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2"/>
    </row>
    <row r="328"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2"/>
    </row>
    <row r="329"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2"/>
    </row>
    <row r="330"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2"/>
    </row>
    <row r="331"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2"/>
    </row>
    <row r="332"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2"/>
    </row>
    <row r="333"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2"/>
    </row>
    <row r="334"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2"/>
    </row>
    <row r="335"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2"/>
    </row>
    <row r="336"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2"/>
    </row>
    <row r="337"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2"/>
    </row>
    <row r="338"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2"/>
    </row>
    <row r="339"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2"/>
    </row>
    <row r="340"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2"/>
    </row>
    <row r="341"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2"/>
    </row>
    <row r="342"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2"/>
    </row>
    <row r="343"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2"/>
    </row>
    <row r="344"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2"/>
    </row>
    <row r="345"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2"/>
    </row>
    <row r="346"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2"/>
    </row>
    <row r="347"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2"/>
    </row>
    <row r="348"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2"/>
    </row>
    <row r="349"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2"/>
    </row>
    <row r="350"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2"/>
    </row>
    <row r="351"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2"/>
    </row>
    <row r="352"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2"/>
    </row>
    <row r="353"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2"/>
    </row>
    <row r="354"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2"/>
    </row>
    <row r="355"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2"/>
    </row>
    <row r="356"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2"/>
    </row>
    <row r="357"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2"/>
    </row>
    <row r="358"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2"/>
    </row>
    <row r="359"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2"/>
    </row>
    <row r="360"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2"/>
    </row>
    <row r="361"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2"/>
    </row>
    <row r="362"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2"/>
    </row>
    <row r="363"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2"/>
    </row>
    <row r="364"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2"/>
    </row>
    <row r="365"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2"/>
    </row>
    <row r="366"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2"/>
    </row>
    <row r="367"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2"/>
    </row>
    <row r="368"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2"/>
    </row>
    <row r="369"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2"/>
    </row>
    <row r="370"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2"/>
    </row>
    <row r="371"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2"/>
    </row>
    <row r="372"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2"/>
    </row>
    <row r="373"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2"/>
    </row>
    <row r="374"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2"/>
    </row>
    <row r="375"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2"/>
    </row>
    <row r="376"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2"/>
    </row>
    <row r="377"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2"/>
    </row>
    <row r="378"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2"/>
    </row>
    <row r="379"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2"/>
    </row>
    <row r="380"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2"/>
    </row>
    <row r="381"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2"/>
    </row>
    <row r="382"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2"/>
    </row>
    <row r="383"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2"/>
    </row>
    <row r="384"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2"/>
    </row>
    <row r="385"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2"/>
    </row>
    <row r="386"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2"/>
    </row>
    <row r="387"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2"/>
    </row>
    <row r="388"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2"/>
    </row>
    <row r="389"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2"/>
    </row>
    <row r="390"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2"/>
    </row>
    <row r="391"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2"/>
    </row>
    <row r="392"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2"/>
    </row>
    <row r="393"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2"/>
    </row>
    <row r="394"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2"/>
    </row>
    <row r="395"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2"/>
    </row>
    <row r="396"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2"/>
    </row>
    <row r="397"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2"/>
    </row>
    <row r="398"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2"/>
    </row>
    <row r="399"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2"/>
    </row>
    <row r="400"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2"/>
    </row>
    <row r="401"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2"/>
    </row>
    <row r="402"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2"/>
    </row>
    <row r="403"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2"/>
    </row>
    <row r="404"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2"/>
    </row>
    <row r="405"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2"/>
    </row>
    <row r="406"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2"/>
    </row>
    <row r="407"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2"/>
    </row>
    <row r="408"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2"/>
    </row>
    <row r="409"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2"/>
    </row>
    <row r="410"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2"/>
    </row>
    <row r="411"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2"/>
    </row>
    <row r="412"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2"/>
    </row>
    <row r="413"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2"/>
    </row>
    <row r="414"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2"/>
    </row>
    <row r="415"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2"/>
    </row>
    <row r="416"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2"/>
    </row>
    <row r="417"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2"/>
    </row>
    <row r="418"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2"/>
    </row>
    <row r="419"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2"/>
    </row>
    <row r="420"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2"/>
    </row>
    <row r="421"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2"/>
    </row>
    <row r="422"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2"/>
    </row>
    <row r="423"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2"/>
    </row>
    <row r="424"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2"/>
    </row>
    <row r="425"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2"/>
    </row>
    <row r="426"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2"/>
    </row>
    <row r="427"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2"/>
    </row>
    <row r="428"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2"/>
    </row>
    <row r="429"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2"/>
    </row>
    <row r="430"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2"/>
    </row>
    <row r="431"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2"/>
    </row>
    <row r="432"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2"/>
    </row>
    <row r="433"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2"/>
    </row>
    <row r="434"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2"/>
    </row>
    <row r="435"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2"/>
    </row>
    <row r="436"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2"/>
    </row>
    <row r="437"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2"/>
    </row>
    <row r="438"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2"/>
    </row>
    <row r="439"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2"/>
    </row>
    <row r="440"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2"/>
    </row>
    <row r="441"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2"/>
    </row>
    <row r="442"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2"/>
    </row>
    <row r="443"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2"/>
    </row>
    <row r="444"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2"/>
    </row>
    <row r="445"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2"/>
    </row>
    <row r="446"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2"/>
    </row>
    <row r="447"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2"/>
    </row>
    <row r="448"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2"/>
    </row>
    <row r="449"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2"/>
    </row>
    <row r="450"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2"/>
    </row>
    <row r="451"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2"/>
    </row>
    <row r="452"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2"/>
    </row>
    <row r="453"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2"/>
    </row>
    <row r="454"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2"/>
    </row>
    <row r="455"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2"/>
    </row>
    <row r="456"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2"/>
    </row>
    <row r="457"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2"/>
    </row>
    <row r="458"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2"/>
    </row>
    <row r="459"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2"/>
    </row>
    <row r="460"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2"/>
    </row>
    <row r="461"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2"/>
    </row>
    <row r="462"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2"/>
    </row>
    <row r="463"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2"/>
    </row>
    <row r="464"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2"/>
    </row>
    <row r="465"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2"/>
    </row>
    <row r="466"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2"/>
    </row>
    <row r="467"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2"/>
    </row>
    <row r="468"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2"/>
    </row>
    <row r="469"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2"/>
    </row>
    <row r="470"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2"/>
    </row>
    <row r="471"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2"/>
    </row>
    <row r="472"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2"/>
    </row>
    <row r="473"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2"/>
    </row>
    <row r="474"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2"/>
    </row>
    <row r="475"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2"/>
    </row>
    <row r="476"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2"/>
    </row>
    <row r="477"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2"/>
    </row>
    <row r="478"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2"/>
    </row>
    <row r="479"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2"/>
    </row>
    <row r="480"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2"/>
    </row>
    <row r="481"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2"/>
    </row>
    <row r="482"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2"/>
    </row>
    <row r="483"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2"/>
    </row>
    <row r="484"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2"/>
    </row>
    <row r="485"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2"/>
    </row>
    <row r="486"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2"/>
    </row>
    <row r="487"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2"/>
    </row>
    <row r="488"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2"/>
    </row>
    <row r="489"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2"/>
    </row>
    <row r="490"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2"/>
    </row>
    <row r="491"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2"/>
    </row>
    <row r="492"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2"/>
    </row>
    <row r="493"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2"/>
    </row>
    <row r="494"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2"/>
    </row>
    <row r="495"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2"/>
    </row>
    <row r="496"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2"/>
    </row>
    <row r="497"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2"/>
    </row>
    <row r="498"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2"/>
    </row>
    <row r="499"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2"/>
    </row>
    <row r="500"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2"/>
    </row>
    <row r="501"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2"/>
    </row>
    <row r="502"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2"/>
    </row>
    <row r="503"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2"/>
    </row>
    <row r="504"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2"/>
    </row>
    <row r="505"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2"/>
    </row>
    <row r="506"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2"/>
    </row>
    <row r="507"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2"/>
    </row>
    <row r="508"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2"/>
    </row>
    <row r="509"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2"/>
    </row>
    <row r="510"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2"/>
    </row>
    <row r="511"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2"/>
    </row>
    <row r="512"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2"/>
    </row>
    <row r="513"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2"/>
    </row>
    <row r="514"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2"/>
    </row>
    <row r="515"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2"/>
    </row>
    <row r="516"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2"/>
    </row>
    <row r="517"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2"/>
    </row>
    <row r="518"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2"/>
    </row>
    <row r="519"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2"/>
    </row>
    <row r="520"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2"/>
    </row>
    <row r="521"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2"/>
    </row>
    <row r="522"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2"/>
    </row>
    <row r="523"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2"/>
    </row>
    <row r="524"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2"/>
    </row>
    <row r="525"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2"/>
    </row>
    <row r="526"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2"/>
    </row>
    <row r="527"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2"/>
    </row>
    <row r="528"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2"/>
    </row>
    <row r="529"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2"/>
    </row>
    <row r="530"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2"/>
    </row>
    <row r="531"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2"/>
    </row>
    <row r="532"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2"/>
    </row>
    <row r="533"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2"/>
    </row>
    <row r="534"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2"/>
    </row>
    <row r="535"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2"/>
    </row>
    <row r="536"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2"/>
    </row>
    <row r="537"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2"/>
    </row>
    <row r="538"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2"/>
    </row>
    <row r="539"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2"/>
    </row>
    <row r="540"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2"/>
    </row>
    <row r="541"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2"/>
    </row>
    <row r="542"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2"/>
    </row>
    <row r="543"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2"/>
    </row>
    <row r="544"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2"/>
    </row>
    <row r="545"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2"/>
    </row>
    <row r="546"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2"/>
    </row>
    <row r="547"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2"/>
    </row>
    <row r="548"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2"/>
    </row>
    <row r="549"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2"/>
    </row>
    <row r="550"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2"/>
    </row>
    <row r="551"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2"/>
    </row>
    <row r="552"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2"/>
    </row>
    <row r="553"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2"/>
    </row>
    <row r="554"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2"/>
    </row>
    <row r="555"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2"/>
    </row>
    <row r="556"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2"/>
    </row>
    <row r="557"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2"/>
    </row>
    <row r="558"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2"/>
    </row>
    <row r="559"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2"/>
    </row>
    <row r="560"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2"/>
    </row>
    <row r="561"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2"/>
    </row>
    <row r="562"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2"/>
    </row>
    <row r="563"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2"/>
    </row>
    <row r="564"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2"/>
    </row>
    <row r="565"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2"/>
    </row>
    <row r="566"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2"/>
    </row>
    <row r="567"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2"/>
    </row>
    <row r="568"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2"/>
    </row>
    <row r="569"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2"/>
    </row>
    <row r="570"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2"/>
    </row>
    <row r="571"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2"/>
    </row>
    <row r="572"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2"/>
    </row>
    <row r="573"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2"/>
    </row>
    <row r="574"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2"/>
    </row>
    <row r="575"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2"/>
    </row>
    <row r="576"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2"/>
    </row>
    <row r="577"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2"/>
    </row>
    <row r="578"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2"/>
    </row>
    <row r="579"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2"/>
    </row>
    <row r="580"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2"/>
    </row>
    <row r="581"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2"/>
    </row>
    <row r="582"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2"/>
    </row>
    <row r="583"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2"/>
    </row>
    <row r="584"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2"/>
    </row>
    <row r="585"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2"/>
    </row>
    <row r="586"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2"/>
    </row>
    <row r="587"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2"/>
    </row>
    <row r="588"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2"/>
    </row>
    <row r="589"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2"/>
    </row>
    <row r="590"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2"/>
    </row>
    <row r="591"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2"/>
    </row>
    <row r="592"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2"/>
    </row>
    <row r="593"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2"/>
    </row>
    <row r="594"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2"/>
    </row>
    <row r="595"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2"/>
    </row>
    <row r="596"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2"/>
    </row>
    <row r="597"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2"/>
    </row>
    <row r="598"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2"/>
    </row>
    <row r="599"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2"/>
    </row>
    <row r="600"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2"/>
    </row>
    <row r="601"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2"/>
    </row>
    <row r="602"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2"/>
    </row>
    <row r="603"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2"/>
    </row>
    <row r="604"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2"/>
    </row>
    <row r="605"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2"/>
    </row>
    <row r="606"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2"/>
    </row>
    <row r="607"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2"/>
    </row>
    <row r="608"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2"/>
    </row>
    <row r="609"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2"/>
    </row>
    <row r="610"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2"/>
    </row>
    <row r="611"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2"/>
    </row>
    <row r="612"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2"/>
    </row>
    <row r="613"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2"/>
    </row>
    <row r="614"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2"/>
    </row>
    <row r="615"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2"/>
    </row>
    <row r="616"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2"/>
    </row>
    <row r="617"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2"/>
    </row>
    <row r="618"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2"/>
    </row>
    <row r="619"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2"/>
    </row>
    <row r="620"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2"/>
    </row>
    <row r="621"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2"/>
    </row>
    <row r="622"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2"/>
    </row>
    <row r="623"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2"/>
    </row>
    <row r="624"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2"/>
    </row>
    <row r="625"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2"/>
    </row>
    <row r="626"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2"/>
    </row>
    <row r="627"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2"/>
    </row>
    <row r="628"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2"/>
    </row>
    <row r="629"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2"/>
    </row>
    <row r="630"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2"/>
    </row>
    <row r="631"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2"/>
    </row>
    <row r="632"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2"/>
    </row>
    <row r="633"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2"/>
    </row>
    <row r="634"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2"/>
    </row>
    <row r="635"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2"/>
    </row>
    <row r="636"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2"/>
    </row>
    <row r="637"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2"/>
    </row>
    <row r="638"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2"/>
    </row>
    <row r="639"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2"/>
    </row>
    <row r="640"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2"/>
    </row>
    <row r="641"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2"/>
    </row>
    <row r="642"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2"/>
    </row>
    <row r="643"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2"/>
    </row>
    <row r="644"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2"/>
    </row>
    <row r="645"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2"/>
    </row>
    <row r="646"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2"/>
    </row>
    <row r="647"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2"/>
    </row>
    <row r="648"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2"/>
    </row>
    <row r="649"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2"/>
    </row>
    <row r="650"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2"/>
    </row>
    <row r="651"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2"/>
    </row>
    <row r="652"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2"/>
    </row>
    <row r="653"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2"/>
    </row>
    <row r="654"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2"/>
    </row>
    <row r="655"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2"/>
    </row>
    <row r="656"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2"/>
    </row>
    <row r="657"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2"/>
    </row>
    <row r="658"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2"/>
    </row>
    <row r="659"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2"/>
    </row>
    <row r="660"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2"/>
    </row>
    <row r="661"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2"/>
    </row>
    <row r="662"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2"/>
    </row>
    <row r="663"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2"/>
    </row>
    <row r="664"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2"/>
    </row>
    <row r="665"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2"/>
    </row>
    <row r="666"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2"/>
    </row>
    <row r="667"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2"/>
    </row>
    <row r="668"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2"/>
    </row>
    <row r="669"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2"/>
    </row>
    <row r="670"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2"/>
    </row>
    <row r="671"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2"/>
    </row>
    <row r="672"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2"/>
    </row>
    <row r="673"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2"/>
    </row>
    <row r="674"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2"/>
    </row>
    <row r="675"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2"/>
    </row>
    <row r="676"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2"/>
    </row>
    <row r="677"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2"/>
    </row>
    <row r="678"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2"/>
    </row>
    <row r="679"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2"/>
    </row>
    <row r="680"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2"/>
    </row>
    <row r="681"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2"/>
    </row>
    <row r="682"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2"/>
    </row>
    <row r="683"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2"/>
    </row>
    <row r="684"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2"/>
    </row>
    <row r="685"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2"/>
    </row>
    <row r="686"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2"/>
    </row>
    <row r="687"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2"/>
    </row>
    <row r="688"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2"/>
    </row>
    <row r="689"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2"/>
    </row>
    <row r="690"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2"/>
    </row>
    <row r="691"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2"/>
    </row>
    <row r="692"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2"/>
    </row>
    <row r="693"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2"/>
    </row>
    <row r="694"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2"/>
    </row>
    <row r="695"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2"/>
    </row>
    <row r="696"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2"/>
    </row>
    <row r="697"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2"/>
    </row>
    <row r="698"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2"/>
    </row>
    <row r="699"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2"/>
    </row>
    <row r="700"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2"/>
    </row>
    <row r="701"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2"/>
    </row>
    <row r="702"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2"/>
    </row>
    <row r="703"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2"/>
    </row>
    <row r="704"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2"/>
    </row>
    <row r="705"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2"/>
    </row>
    <row r="706"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2"/>
    </row>
    <row r="707"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2"/>
    </row>
    <row r="708"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2"/>
    </row>
    <row r="709"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2"/>
    </row>
    <row r="710"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2"/>
    </row>
    <row r="711"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2"/>
    </row>
    <row r="712"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2"/>
    </row>
    <row r="713"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2"/>
    </row>
    <row r="714"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2"/>
    </row>
    <row r="715"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2"/>
    </row>
    <row r="716"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2"/>
    </row>
    <row r="717"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2"/>
    </row>
    <row r="718"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2"/>
    </row>
    <row r="719"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2"/>
    </row>
    <row r="720"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2"/>
    </row>
    <row r="721"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2"/>
    </row>
    <row r="722"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2"/>
    </row>
    <row r="723"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2"/>
    </row>
    <row r="724"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2"/>
    </row>
    <row r="725"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2"/>
    </row>
    <row r="726"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2"/>
    </row>
    <row r="727"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2"/>
    </row>
    <row r="728"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2"/>
    </row>
    <row r="729"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2"/>
    </row>
    <row r="730"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2"/>
    </row>
    <row r="731"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2"/>
    </row>
    <row r="732"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2"/>
    </row>
    <row r="733"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2"/>
    </row>
    <row r="734"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2"/>
    </row>
    <row r="735"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2"/>
    </row>
    <row r="736"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2"/>
    </row>
    <row r="737"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2"/>
    </row>
    <row r="738"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2"/>
    </row>
    <row r="739"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2"/>
    </row>
    <row r="740"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2"/>
    </row>
    <row r="741"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2"/>
    </row>
    <row r="742"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2"/>
    </row>
    <row r="743"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2"/>
    </row>
    <row r="744"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2"/>
    </row>
    <row r="745"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2"/>
    </row>
    <row r="746"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2"/>
    </row>
    <row r="747"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2"/>
    </row>
    <row r="748"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2"/>
    </row>
    <row r="749"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2"/>
    </row>
    <row r="750"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2"/>
    </row>
    <row r="751"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2"/>
    </row>
    <row r="752"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2"/>
    </row>
    <row r="753"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2"/>
    </row>
    <row r="754"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2"/>
    </row>
    <row r="755"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2"/>
    </row>
    <row r="756"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2"/>
    </row>
    <row r="757"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2"/>
    </row>
    <row r="758"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2"/>
    </row>
    <row r="759"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2"/>
    </row>
    <row r="760"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2"/>
    </row>
    <row r="761"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2"/>
    </row>
    <row r="762"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2"/>
    </row>
    <row r="763"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2"/>
    </row>
    <row r="764"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2"/>
    </row>
    <row r="765"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2"/>
    </row>
    <row r="766"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2"/>
    </row>
    <row r="767"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2"/>
    </row>
    <row r="768"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2"/>
    </row>
    <row r="769"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2"/>
    </row>
    <row r="770"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2"/>
    </row>
    <row r="771"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2"/>
    </row>
    <row r="772"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2"/>
    </row>
    <row r="773"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2"/>
    </row>
    <row r="774"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2"/>
    </row>
    <row r="775"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2"/>
    </row>
    <row r="776"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2"/>
    </row>
    <row r="777"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2"/>
    </row>
    <row r="778"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2"/>
    </row>
    <row r="779"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2"/>
    </row>
    <row r="780"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2"/>
    </row>
    <row r="781"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2"/>
    </row>
    <row r="782"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2"/>
    </row>
    <row r="783"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2"/>
    </row>
    <row r="784"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2"/>
    </row>
    <row r="785"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2"/>
    </row>
    <row r="786"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2"/>
    </row>
    <row r="787"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2"/>
    </row>
    <row r="788"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2"/>
    </row>
    <row r="789"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2"/>
    </row>
    <row r="790"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2"/>
    </row>
    <row r="791"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2"/>
    </row>
    <row r="792"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2"/>
    </row>
    <row r="793"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2"/>
    </row>
    <row r="794"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2"/>
    </row>
    <row r="795"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2"/>
    </row>
    <row r="796"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2"/>
    </row>
    <row r="797"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2"/>
    </row>
    <row r="798"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2"/>
    </row>
    <row r="799"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2"/>
    </row>
    <row r="800"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2"/>
    </row>
    <row r="801"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2"/>
    </row>
    <row r="802"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2"/>
    </row>
    <row r="803"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2"/>
    </row>
    <row r="804"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2"/>
    </row>
    <row r="805"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2"/>
    </row>
    <row r="806"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2"/>
    </row>
    <row r="807"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2"/>
    </row>
    <row r="808"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2"/>
    </row>
    <row r="809"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2"/>
    </row>
    <row r="810"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2"/>
    </row>
    <row r="811"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2"/>
    </row>
    <row r="812"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2"/>
    </row>
    <row r="813"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2"/>
    </row>
    <row r="814"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2"/>
    </row>
    <row r="815"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2"/>
    </row>
    <row r="816"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2"/>
    </row>
    <row r="817"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2"/>
    </row>
    <row r="818"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2"/>
    </row>
    <row r="819"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2"/>
    </row>
    <row r="820"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2"/>
    </row>
    <row r="821"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2"/>
    </row>
    <row r="822"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2"/>
    </row>
    <row r="823"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2"/>
    </row>
    <row r="824"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2"/>
    </row>
    <row r="825"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2"/>
    </row>
    <row r="826"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2"/>
    </row>
    <row r="827"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2"/>
    </row>
    <row r="828"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2"/>
    </row>
    <row r="829"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2"/>
    </row>
    <row r="830"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2"/>
    </row>
    <row r="831"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2"/>
    </row>
    <row r="832"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2"/>
    </row>
    <row r="833"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2"/>
    </row>
    <row r="834"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2"/>
    </row>
    <row r="835"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2"/>
    </row>
    <row r="836"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2"/>
    </row>
    <row r="837"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2"/>
    </row>
    <row r="838"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2"/>
    </row>
    <row r="839"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2"/>
    </row>
    <row r="840"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2"/>
    </row>
    <row r="841"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2"/>
    </row>
    <row r="842"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2"/>
    </row>
    <row r="843"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2"/>
    </row>
    <row r="844"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2"/>
    </row>
    <row r="845"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2"/>
    </row>
    <row r="846"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2"/>
    </row>
    <row r="847"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2"/>
    </row>
    <row r="848"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2"/>
    </row>
    <row r="849"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2"/>
    </row>
    <row r="850"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2"/>
    </row>
    <row r="851"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2"/>
    </row>
    <row r="852"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2"/>
    </row>
    <row r="853"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2"/>
    </row>
    <row r="854"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2"/>
    </row>
    <row r="855"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2"/>
    </row>
    <row r="856"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2"/>
    </row>
    <row r="857"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2"/>
    </row>
    <row r="858"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2"/>
    </row>
    <row r="859"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2"/>
    </row>
    <row r="860"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2"/>
    </row>
    <row r="861"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2"/>
    </row>
    <row r="862"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2"/>
    </row>
    <row r="863"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2"/>
    </row>
    <row r="864"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2"/>
    </row>
    <row r="865"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2"/>
    </row>
    <row r="866"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2"/>
    </row>
    <row r="867"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2"/>
    </row>
    <row r="868"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2"/>
    </row>
    <row r="869"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2"/>
    </row>
    <row r="870"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2"/>
    </row>
    <row r="871"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2"/>
    </row>
    <row r="872"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2"/>
    </row>
    <row r="873"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2"/>
    </row>
    <row r="874"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2"/>
    </row>
    <row r="875"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2"/>
    </row>
    <row r="876"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2"/>
    </row>
    <row r="877"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2"/>
    </row>
    <row r="878"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2"/>
    </row>
    <row r="879"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2"/>
    </row>
    <row r="880"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2"/>
    </row>
    <row r="881"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2"/>
    </row>
    <row r="882"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2"/>
    </row>
    <row r="883"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2"/>
    </row>
    <row r="884"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2"/>
    </row>
    <row r="885"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2"/>
    </row>
    <row r="886"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2"/>
    </row>
    <row r="887"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2"/>
    </row>
    <row r="888"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2"/>
    </row>
    <row r="889"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2"/>
    </row>
    <row r="890"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2"/>
    </row>
    <row r="891"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2"/>
    </row>
    <row r="892"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2"/>
    </row>
    <row r="893"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2"/>
    </row>
    <row r="894"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2"/>
    </row>
    <row r="895"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2"/>
    </row>
    <row r="896"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2"/>
    </row>
    <row r="897"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2"/>
    </row>
    <row r="898"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2"/>
    </row>
    <row r="899"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2"/>
    </row>
    <row r="900"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2"/>
    </row>
    <row r="901"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2"/>
    </row>
    <row r="902"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2"/>
    </row>
    <row r="903"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2"/>
    </row>
    <row r="904"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2"/>
    </row>
    <row r="905"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2"/>
    </row>
    <row r="906"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2"/>
    </row>
    <row r="907"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2"/>
    </row>
    <row r="908"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2"/>
    </row>
    <row r="909"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2"/>
    </row>
    <row r="910"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2"/>
    </row>
    <row r="911"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2"/>
    </row>
    <row r="912"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2"/>
    </row>
    <row r="913"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2"/>
    </row>
    <row r="914"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2"/>
    </row>
    <row r="915"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2"/>
    </row>
    <row r="916"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2"/>
    </row>
    <row r="917"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2"/>
    </row>
    <row r="918"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2"/>
    </row>
    <row r="919"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2"/>
    </row>
    <row r="920"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2"/>
    </row>
    <row r="921"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2"/>
    </row>
    <row r="922"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2"/>
    </row>
    <row r="923"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2"/>
    </row>
    <row r="924"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2"/>
    </row>
    <row r="925"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2"/>
    </row>
    <row r="926"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2"/>
    </row>
    <row r="927"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2"/>
    </row>
    <row r="928"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2"/>
    </row>
    <row r="929"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2"/>
    </row>
    <row r="930"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2"/>
    </row>
    <row r="931"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2"/>
    </row>
    <row r="932"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2"/>
    </row>
    <row r="933"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2"/>
    </row>
    <row r="934"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2"/>
    </row>
    <row r="935"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2"/>
    </row>
    <row r="936"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2"/>
    </row>
    <row r="937"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2"/>
    </row>
    <row r="938"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2"/>
    </row>
    <row r="939"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2"/>
    </row>
    <row r="940"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2"/>
    </row>
    <row r="941"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2"/>
    </row>
    <row r="942"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2"/>
    </row>
    <row r="943"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2"/>
    </row>
    <row r="944"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2"/>
    </row>
    <row r="945"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2"/>
    </row>
    <row r="946"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2"/>
    </row>
    <row r="947"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2"/>
    </row>
    <row r="948"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2"/>
    </row>
    <row r="949"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2"/>
    </row>
    <row r="950"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2"/>
    </row>
    <row r="951"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2"/>
    </row>
    <row r="952"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2"/>
    </row>
    <row r="953"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2"/>
    </row>
    <row r="954"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2"/>
    </row>
    <row r="955"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2"/>
    </row>
    <row r="956"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2"/>
    </row>
    <row r="957"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2"/>
    </row>
    <row r="958"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2"/>
    </row>
    <row r="959"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2"/>
    </row>
    <row r="960"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2"/>
    </row>
    <row r="961"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2"/>
    </row>
    <row r="962"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2"/>
    </row>
    <row r="963"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2"/>
    </row>
    <row r="964"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2"/>
    </row>
    <row r="965"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2"/>
    </row>
    <row r="966"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2"/>
    </row>
    <row r="967"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2"/>
    </row>
    <row r="968"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2"/>
    </row>
    <row r="969"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2"/>
    </row>
    <row r="970"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2"/>
    </row>
    <row r="971"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2"/>
    </row>
    <row r="972"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2"/>
    </row>
    <row r="973"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2"/>
    </row>
    <row r="974"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2"/>
    </row>
    <row r="975"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2"/>
    </row>
    <row r="976"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2"/>
    </row>
    <row r="977"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2"/>
    </row>
    <row r="978"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2"/>
    </row>
    <row r="979"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2"/>
    </row>
    <row r="980"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2"/>
    </row>
    <row r="981"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2"/>
    </row>
    <row r="982"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2"/>
    </row>
    <row r="983"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2"/>
    </row>
    <row r="984"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2"/>
    </row>
    <row r="985"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2"/>
    </row>
    <row r="986"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2"/>
    </row>
    <row r="987"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2"/>
    </row>
    <row r="988"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2"/>
    </row>
    <row r="989"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2"/>
    </row>
    <row r="990"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2"/>
    </row>
    <row r="991"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2"/>
    </row>
    <row r="992"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2"/>
    </row>
    <row r="993"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2"/>
    </row>
    <row r="994"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2"/>
    </row>
    <row r="995"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2"/>
    </row>
    <row r="996"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2"/>
    </row>
    <row r="997"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2"/>
    </row>
    <row r="998"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2"/>
    </row>
    <row r="999"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2"/>
    </row>
  </sheetData>
  <hyperlinks>
    <hyperlink r:id="rId4" ref="A2"/>
    <hyperlink r:id="rId5" ref="A3"/>
    <hyperlink r:id="rId6" ref="A4"/>
    <hyperlink r:id="rId7" ref="A5"/>
    <hyperlink r:id="rId8" ref="A6"/>
    <hyperlink r:id="rId9" ref="A7"/>
    <hyperlink r:id="rId10" ref="A8"/>
    <hyperlink r:id="rId11" ref="A9"/>
    <hyperlink r:id="rId12" ref="A10"/>
    <hyperlink r:id="rId13" ref="A11"/>
    <hyperlink r:id="rId14" ref="A12"/>
    <hyperlink r:id="rId15" ref="A13"/>
    <hyperlink r:id="rId16" ref="A14"/>
    <hyperlink r:id="rId17" ref="A15"/>
    <hyperlink r:id="rId18" ref="A16"/>
    <hyperlink r:id="rId19" ref="A17"/>
    <hyperlink r:id="rId20" ref="A18"/>
    <hyperlink r:id="rId21" ref="A19"/>
    <hyperlink r:id="rId22" ref="A20"/>
    <hyperlink r:id="rId23" ref="A21"/>
    <hyperlink r:id="rId24" ref="A22"/>
    <hyperlink r:id="rId25" ref="A23"/>
    <hyperlink r:id="rId26" ref="A24"/>
    <hyperlink r:id="rId27" ref="A25"/>
    <hyperlink r:id="rId28" ref="A26"/>
    <hyperlink r:id="rId29" ref="A27"/>
    <hyperlink r:id="rId30" ref="A28"/>
    <hyperlink r:id="rId31" ref="A29"/>
    <hyperlink r:id="rId32" ref="A30"/>
    <hyperlink r:id="rId33" ref="A31"/>
    <hyperlink r:id="rId34" ref="A3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5"/>
  <legacy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25"/>
    <col customWidth="1" min="2" max="2" width="15.88"/>
    <col customWidth="1" min="3" max="3" width="9.13"/>
    <col customWidth="1" min="4" max="5" width="8.5"/>
    <col customWidth="1" min="6" max="7" width="9.63"/>
    <col customWidth="1" min="8" max="9" width="10.38"/>
    <col customWidth="1" min="10" max="10" width="9.38"/>
    <col customWidth="1" min="11" max="11" width="10.25"/>
    <col customWidth="1" min="12" max="12" width="9.75"/>
    <col customWidth="1" min="13" max="13" width="7.75"/>
    <col customWidth="1" min="14" max="14" width="7.38"/>
    <col customWidth="1" min="15" max="15" width="9.38"/>
    <col customWidth="1" min="16" max="16" width="6.13"/>
    <col customWidth="1" min="17" max="17" width="4.0"/>
  </cols>
  <sheetData>
    <row r="1" ht="36.0" customHeight="1">
      <c r="A1" s="5" t="s">
        <v>4</v>
      </c>
      <c r="B1" s="5" t="s">
        <v>5</v>
      </c>
      <c r="C1" s="6" t="s">
        <v>6</v>
      </c>
      <c r="D1" s="6" t="s">
        <v>7</v>
      </c>
      <c r="E1" s="6" t="s">
        <v>8</v>
      </c>
      <c r="F1" s="8" t="s">
        <v>9</v>
      </c>
      <c r="G1" s="8" t="s">
        <v>10</v>
      </c>
      <c r="H1" s="6" t="s">
        <v>11</v>
      </c>
      <c r="I1" s="6" t="s">
        <v>12</v>
      </c>
      <c r="J1" s="8" t="s">
        <v>13</v>
      </c>
      <c r="K1" s="8" t="s">
        <v>14</v>
      </c>
      <c r="L1" s="6" t="s">
        <v>15</v>
      </c>
      <c r="M1" s="8" t="s">
        <v>16</v>
      </c>
      <c r="N1" s="6" t="s">
        <v>17</v>
      </c>
      <c r="O1" s="6" t="s">
        <v>18</v>
      </c>
      <c r="P1" s="6" t="s">
        <v>19</v>
      </c>
      <c r="Q1" s="6" t="s">
        <v>20</v>
      </c>
    </row>
    <row r="2">
      <c r="A2" s="10" t="s">
        <v>21</v>
      </c>
      <c r="B2" s="10" t="s">
        <v>22</v>
      </c>
      <c r="C2" s="10">
        <v>3.2050015E7</v>
      </c>
      <c r="D2" s="11">
        <v>17.0</v>
      </c>
      <c r="E2" s="11">
        <v>14.4</v>
      </c>
      <c r="F2" s="11">
        <v>0.0</v>
      </c>
      <c r="G2" s="10"/>
      <c r="H2" s="11">
        <v>18.7</v>
      </c>
      <c r="I2" s="11">
        <v>13.6</v>
      </c>
      <c r="J2" s="10"/>
      <c r="K2" s="11">
        <v>18.89</v>
      </c>
      <c r="L2" s="11">
        <v>20.0</v>
      </c>
      <c r="M2" s="10"/>
      <c r="N2" s="12">
        <v>61.14</v>
      </c>
      <c r="O2" s="15">
        <f t="shared" ref="O2:O31" si="1">N2/5</f>
        <v>12.228</v>
      </c>
      <c r="P2" s="16">
        <f>'Hoja 1'!R2</f>
        <v>0</v>
      </c>
      <c r="Q2" s="18">
        <f>O2+P2</f>
        <v>12.228</v>
      </c>
    </row>
    <row r="3">
      <c r="A3" s="10" t="s">
        <v>24</v>
      </c>
      <c r="B3" s="10" t="s">
        <v>25</v>
      </c>
      <c r="C3" s="10">
        <v>3.0911705E7</v>
      </c>
      <c r="D3" s="11">
        <v>7.0</v>
      </c>
      <c r="E3" s="10"/>
      <c r="F3" s="11">
        <v>0.0</v>
      </c>
      <c r="G3" s="10"/>
      <c r="H3" s="10"/>
      <c r="I3" s="10"/>
      <c r="J3" s="10"/>
      <c r="K3" s="11">
        <v>16.67</v>
      </c>
      <c r="L3" s="10"/>
      <c r="M3" s="10"/>
      <c r="N3" s="12">
        <v>10.83</v>
      </c>
      <c r="O3" s="15">
        <f t="shared" si="1"/>
        <v>2.166</v>
      </c>
      <c r="P3" s="16">
        <f>'Hoja 1'!R3</f>
        <v>0.06666666667</v>
      </c>
      <c r="Q3" s="19" t="s">
        <v>27</v>
      </c>
    </row>
    <row r="4">
      <c r="A4" s="10" t="s">
        <v>28</v>
      </c>
      <c r="B4" s="10" t="s">
        <v>29</v>
      </c>
      <c r="C4" s="10">
        <v>3.0906782E7</v>
      </c>
      <c r="D4" s="11">
        <v>5.0</v>
      </c>
      <c r="E4" s="11">
        <v>10.4</v>
      </c>
      <c r="F4" s="10"/>
      <c r="G4" s="11">
        <v>0.0</v>
      </c>
      <c r="H4" s="11">
        <v>18.0</v>
      </c>
      <c r="I4" s="11">
        <v>13.2</v>
      </c>
      <c r="J4" s="10"/>
      <c r="K4" s="10"/>
      <c r="L4" s="11">
        <v>20.0</v>
      </c>
      <c r="M4" s="10"/>
      <c r="N4" s="12">
        <v>39.95</v>
      </c>
      <c r="O4" s="15">
        <f t="shared" si="1"/>
        <v>7.99</v>
      </c>
      <c r="P4" s="16">
        <f>'Hoja 1'!R4</f>
        <v>0</v>
      </c>
      <c r="Q4" s="18">
        <f t="shared" ref="Q4:Q7" si="2">O4+P4</f>
        <v>7.99</v>
      </c>
    </row>
    <row r="5">
      <c r="A5" s="10" t="s">
        <v>31</v>
      </c>
      <c r="B5" s="10" t="s">
        <v>32</v>
      </c>
      <c r="C5" s="10">
        <v>3.1852011E7</v>
      </c>
      <c r="D5" s="11">
        <v>17.0</v>
      </c>
      <c r="E5" s="11">
        <v>10.05</v>
      </c>
      <c r="F5" s="11">
        <v>0.0</v>
      </c>
      <c r="G5" s="10"/>
      <c r="H5" s="11">
        <v>0.0</v>
      </c>
      <c r="I5" s="10"/>
      <c r="J5" s="10"/>
      <c r="K5" s="11">
        <v>17.78</v>
      </c>
      <c r="L5" s="11">
        <v>20.0</v>
      </c>
      <c r="M5" s="10"/>
      <c r="N5" s="12">
        <v>33.51</v>
      </c>
      <c r="O5" s="15">
        <f t="shared" si="1"/>
        <v>6.702</v>
      </c>
      <c r="P5" s="16">
        <f>'Hoja 1'!R5</f>
        <v>0</v>
      </c>
      <c r="Q5" s="18">
        <f t="shared" si="2"/>
        <v>6.702</v>
      </c>
    </row>
    <row r="6">
      <c r="A6" s="10" t="s">
        <v>24</v>
      </c>
      <c r="B6" s="10" t="s">
        <v>33</v>
      </c>
      <c r="C6" s="10">
        <v>2.9947503E7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5"/>
      <c r="O6" s="15">
        <f t="shared" si="1"/>
        <v>0</v>
      </c>
      <c r="P6" s="16">
        <f>'Hoja 1'!R6</f>
        <v>0</v>
      </c>
      <c r="Q6" s="18">
        <f t="shared" si="2"/>
        <v>0</v>
      </c>
    </row>
    <row r="7">
      <c r="A7" s="10" t="s">
        <v>34</v>
      </c>
      <c r="B7" s="10" t="s">
        <v>35</v>
      </c>
      <c r="C7" s="10">
        <v>3.1448284E7</v>
      </c>
      <c r="D7" s="11">
        <v>7.0</v>
      </c>
      <c r="E7" s="11">
        <v>11.67</v>
      </c>
      <c r="F7" s="11">
        <v>0.0</v>
      </c>
      <c r="G7" s="10"/>
      <c r="H7" s="11">
        <v>0.0</v>
      </c>
      <c r="I7" s="11">
        <v>19.6</v>
      </c>
      <c r="J7" s="11">
        <v>20.0</v>
      </c>
      <c r="K7" s="11">
        <v>20.0</v>
      </c>
      <c r="L7" s="11">
        <v>20.0</v>
      </c>
      <c r="M7" s="20">
        <v>9.86</v>
      </c>
      <c r="N7" s="12">
        <f>42.2+M7</f>
        <v>52.06</v>
      </c>
      <c r="O7" s="15">
        <f t="shared" si="1"/>
        <v>10.412</v>
      </c>
      <c r="P7" s="16">
        <f>'Hoja 1'!R7</f>
        <v>0.2</v>
      </c>
      <c r="Q7" s="22">
        <f t="shared" si="2"/>
        <v>10.612</v>
      </c>
    </row>
    <row r="8">
      <c r="A8" s="10" t="s">
        <v>37</v>
      </c>
      <c r="B8" s="10" t="s">
        <v>38</v>
      </c>
      <c r="C8" s="10">
        <v>3.069353E7</v>
      </c>
      <c r="D8" s="11">
        <v>12.0</v>
      </c>
      <c r="E8" s="11">
        <v>16.53</v>
      </c>
      <c r="F8" s="11">
        <v>4.5</v>
      </c>
      <c r="G8" s="11">
        <v>7.25</v>
      </c>
      <c r="H8" s="11">
        <v>18.2</v>
      </c>
      <c r="I8" s="11">
        <v>16.0</v>
      </c>
      <c r="J8" s="11">
        <v>5.0</v>
      </c>
      <c r="K8" s="11">
        <v>16.67</v>
      </c>
      <c r="L8" s="11">
        <v>20.0</v>
      </c>
      <c r="M8" s="10"/>
      <c r="N8" s="12">
        <v>64.75</v>
      </c>
      <c r="O8" s="15">
        <f t="shared" si="1"/>
        <v>12.95</v>
      </c>
      <c r="P8" s="16">
        <f>'Hoja 1'!R9</f>
        <v>0.4</v>
      </c>
      <c r="Q8" s="23">
        <v>14.0</v>
      </c>
    </row>
    <row r="9">
      <c r="A9" s="10" t="s">
        <v>40</v>
      </c>
      <c r="B9" s="10" t="s">
        <v>41</v>
      </c>
      <c r="C9" s="10">
        <v>2.8175373E7</v>
      </c>
      <c r="D9" s="11">
        <v>15.0</v>
      </c>
      <c r="E9" s="11">
        <v>11.57</v>
      </c>
      <c r="F9" s="11">
        <v>6.5</v>
      </c>
      <c r="G9" s="11">
        <v>0.0</v>
      </c>
      <c r="H9" s="11">
        <v>17.4</v>
      </c>
      <c r="I9" s="11">
        <v>9.2</v>
      </c>
      <c r="J9" s="11">
        <v>20.0</v>
      </c>
      <c r="K9" s="11">
        <v>17.78</v>
      </c>
      <c r="L9" s="11">
        <v>20.0</v>
      </c>
      <c r="M9" s="10"/>
      <c r="N9" s="12">
        <v>60.35</v>
      </c>
      <c r="O9" s="15">
        <f t="shared" si="1"/>
        <v>12.07</v>
      </c>
      <c r="P9" s="16">
        <f>'Hoja 1'!R10</f>
        <v>0</v>
      </c>
      <c r="Q9" s="22">
        <f>O9+P9</f>
        <v>12.07</v>
      </c>
    </row>
    <row r="10">
      <c r="A10" s="10" t="s">
        <v>43</v>
      </c>
      <c r="B10" s="10" t="s">
        <v>44</v>
      </c>
      <c r="C10" s="10">
        <v>3.1792509E7</v>
      </c>
      <c r="D10" s="11">
        <v>0.0</v>
      </c>
      <c r="E10" s="10"/>
      <c r="F10" s="11">
        <v>5.5</v>
      </c>
      <c r="G10" s="10"/>
      <c r="H10" s="10"/>
      <c r="I10" s="10"/>
      <c r="J10" s="10"/>
      <c r="K10" s="11">
        <v>18.89</v>
      </c>
      <c r="L10" s="10"/>
      <c r="M10" s="10"/>
      <c r="N10" s="12">
        <v>5.11</v>
      </c>
      <c r="O10" s="15">
        <f t="shared" si="1"/>
        <v>1.022</v>
      </c>
      <c r="P10" s="16">
        <f>'Hoja 1'!R11</f>
        <v>0.1333333333</v>
      </c>
      <c r="Q10" s="19" t="s">
        <v>27</v>
      </c>
    </row>
    <row r="11">
      <c r="A11" s="10" t="s">
        <v>31</v>
      </c>
      <c r="B11" s="10" t="s">
        <v>45</v>
      </c>
      <c r="C11" s="10">
        <v>3.0942903E7</v>
      </c>
      <c r="D11" s="10"/>
      <c r="E11" s="10"/>
      <c r="F11" s="10"/>
      <c r="G11" s="10"/>
      <c r="H11" s="11">
        <v>0.0</v>
      </c>
      <c r="I11" s="10"/>
      <c r="J11" s="10"/>
      <c r="K11" s="10"/>
      <c r="L11" s="10"/>
      <c r="M11" s="10"/>
      <c r="N11" s="12">
        <v>0.0</v>
      </c>
      <c r="O11" s="15">
        <f t="shared" si="1"/>
        <v>0</v>
      </c>
      <c r="P11" s="16">
        <f>'Hoja 1'!R12</f>
        <v>0</v>
      </c>
      <c r="Q11" s="18">
        <f t="shared" ref="Q11:Q12" si="3">O11+P11</f>
        <v>0</v>
      </c>
    </row>
    <row r="12">
      <c r="A12" s="10" t="s">
        <v>47</v>
      </c>
      <c r="B12" s="10" t="s">
        <v>48</v>
      </c>
      <c r="C12" s="10">
        <v>3.1307971E7</v>
      </c>
      <c r="D12" s="11">
        <v>11.0</v>
      </c>
      <c r="E12" s="10"/>
      <c r="F12" s="11">
        <v>0.0</v>
      </c>
      <c r="G12" s="10"/>
      <c r="H12" s="10"/>
      <c r="I12" s="10"/>
      <c r="J12" s="10"/>
      <c r="K12" s="10"/>
      <c r="L12" s="10"/>
      <c r="M12" s="10"/>
      <c r="N12" s="12">
        <v>13.75</v>
      </c>
      <c r="O12" s="15">
        <f t="shared" si="1"/>
        <v>2.75</v>
      </c>
      <c r="P12" s="16">
        <f>'Hoja 1'!R13</f>
        <v>0</v>
      </c>
      <c r="Q12" s="18">
        <f t="shared" si="3"/>
        <v>2.75</v>
      </c>
    </row>
    <row r="13">
      <c r="A13" s="10" t="s">
        <v>49</v>
      </c>
      <c r="B13" s="10" t="s">
        <v>50</v>
      </c>
      <c r="C13" s="10">
        <v>2.9948233E7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5"/>
      <c r="O13" s="15">
        <f t="shared" si="1"/>
        <v>0</v>
      </c>
      <c r="P13" s="16">
        <f>'Hoja 1'!R14</f>
        <v>0</v>
      </c>
      <c r="Q13" s="19" t="s">
        <v>27</v>
      </c>
    </row>
    <row r="14">
      <c r="A14" s="10" t="s">
        <v>53</v>
      </c>
      <c r="B14" s="10" t="s">
        <v>54</v>
      </c>
      <c r="C14" s="10">
        <v>3.1886469E7</v>
      </c>
      <c r="D14" s="11">
        <v>10.0</v>
      </c>
      <c r="E14" s="11">
        <v>14.98</v>
      </c>
      <c r="F14" s="11">
        <v>0.0</v>
      </c>
      <c r="G14" s="10"/>
      <c r="H14" s="11">
        <v>18.7</v>
      </c>
      <c r="I14" s="11">
        <v>13.6</v>
      </c>
      <c r="J14" s="11">
        <v>5.0</v>
      </c>
      <c r="K14" s="11">
        <v>20.0</v>
      </c>
      <c r="L14" s="10"/>
      <c r="M14" s="10"/>
      <c r="N14" s="12">
        <v>51.71</v>
      </c>
      <c r="O14" s="15">
        <f t="shared" si="1"/>
        <v>10.342</v>
      </c>
      <c r="P14" s="16">
        <f>'Hoja 1'!R15</f>
        <v>0</v>
      </c>
      <c r="Q14" s="18">
        <f t="shared" ref="Q14:Q21" si="4">O14+P14</f>
        <v>10.342</v>
      </c>
    </row>
    <row r="15">
      <c r="A15" s="10" t="s">
        <v>55</v>
      </c>
      <c r="B15" s="10" t="s">
        <v>56</v>
      </c>
      <c r="C15" s="10">
        <v>2.6794618E7</v>
      </c>
      <c r="D15" s="11">
        <v>12.0</v>
      </c>
      <c r="E15" s="11">
        <v>11.66</v>
      </c>
      <c r="F15" s="11">
        <v>0.0</v>
      </c>
      <c r="G15" s="11">
        <v>0.0</v>
      </c>
      <c r="H15" s="11">
        <v>0.0</v>
      </c>
      <c r="I15" s="10"/>
      <c r="J15" s="11">
        <v>20.0</v>
      </c>
      <c r="K15" s="11">
        <v>18.89</v>
      </c>
      <c r="L15" s="10"/>
      <c r="M15" s="10"/>
      <c r="N15" s="12">
        <v>31.1</v>
      </c>
      <c r="O15" s="15">
        <f t="shared" si="1"/>
        <v>6.22</v>
      </c>
      <c r="P15" s="16">
        <f>'Hoja 1'!R16</f>
        <v>0</v>
      </c>
      <c r="Q15" s="18">
        <f t="shared" si="4"/>
        <v>6.22</v>
      </c>
    </row>
    <row r="16">
      <c r="A16" s="10" t="s">
        <v>58</v>
      </c>
      <c r="B16" s="10" t="s">
        <v>59</v>
      </c>
      <c r="C16" s="10">
        <v>3.0245943E7</v>
      </c>
      <c r="D16" s="11">
        <v>7.0</v>
      </c>
      <c r="E16" s="11">
        <v>14.4</v>
      </c>
      <c r="F16" s="11">
        <v>19.5</v>
      </c>
      <c r="G16" s="11">
        <v>18.5</v>
      </c>
      <c r="H16" s="11">
        <v>18.8</v>
      </c>
      <c r="I16" s="11">
        <v>15.2</v>
      </c>
      <c r="J16" s="11">
        <v>20.0</v>
      </c>
      <c r="K16" s="11">
        <v>16.67</v>
      </c>
      <c r="L16" s="11">
        <v>20.0</v>
      </c>
      <c r="M16" s="10"/>
      <c r="N16" s="12">
        <v>73.63</v>
      </c>
      <c r="O16" s="15">
        <f t="shared" si="1"/>
        <v>14.726</v>
      </c>
      <c r="P16" s="16">
        <f>'Hoja 1'!R17</f>
        <v>0</v>
      </c>
      <c r="Q16" s="22">
        <f t="shared" si="4"/>
        <v>14.726</v>
      </c>
    </row>
    <row r="17">
      <c r="A17" s="10" t="s">
        <v>61</v>
      </c>
      <c r="B17" s="10" t="s">
        <v>62</v>
      </c>
      <c r="C17" s="10">
        <v>3.1229787E7</v>
      </c>
      <c r="D17" s="11">
        <v>10.0</v>
      </c>
      <c r="E17" s="24">
        <v>12.18</v>
      </c>
      <c r="F17" s="11">
        <v>0.0</v>
      </c>
      <c r="G17" s="10"/>
      <c r="H17" s="11">
        <v>0.0</v>
      </c>
      <c r="I17" s="11">
        <v>19.6</v>
      </c>
      <c r="J17" s="11">
        <v>20.0</v>
      </c>
      <c r="K17" s="11">
        <v>14.44</v>
      </c>
      <c r="L17" s="11">
        <v>20.0</v>
      </c>
      <c r="M17" s="20">
        <v>10.0</v>
      </c>
      <c r="N17" s="12">
        <f>45.64+M17</f>
        <v>55.64</v>
      </c>
      <c r="O17" s="15">
        <f t="shared" si="1"/>
        <v>11.128</v>
      </c>
      <c r="P17" s="16">
        <f>'Hoja 1'!R18</f>
        <v>0.3333333333</v>
      </c>
      <c r="Q17" s="18">
        <f t="shared" si="4"/>
        <v>11.46133333</v>
      </c>
    </row>
    <row r="18">
      <c r="A18" s="10" t="s">
        <v>64</v>
      </c>
      <c r="B18" s="10" t="s">
        <v>65</v>
      </c>
      <c r="C18" s="10">
        <v>3.0719195E7</v>
      </c>
      <c r="D18" s="11">
        <v>14.0</v>
      </c>
      <c r="E18" s="11">
        <v>10.4</v>
      </c>
      <c r="F18" s="11">
        <v>0.0</v>
      </c>
      <c r="G18" s="11">
        <v>0.0</v>
      </c>
      <c r="H18" s="10"/>
      <c r="I18" s="10"/>
      <c r="J18" s="10"/>
      <c r="K18" s="10"/>
      <c r="L18" s="10"/>
      <c r="M18" s="10"/>
      <c r="N18" s="12">
        <v>25.3</v>
      </c>
      <c r="O18" s="15">
        <f t="shared" si="1"/>
        <v>5.06</v>
      </c>
      <c r="P18" s="16">
        <f>'Hoja 1'!R19</f>
        <v>0</v>
      </c>
      <c r="Q18" s="18">
        <f t="shared" si="4"/>
        <v>5.06</v>
      </c>
    </row>
    <row r="19">
      <c r="A19" s="10" t="s">
        <v>66</v>
      </c>
      <c r="B19" s="10" t="s">
        <v>67</v>
      </c>
      <c r="C19" s="10">
        <v>3.1785756E7</v>
      </c>
      <c r="D19" s="11">
        <v>10.0</v>
      </c>
      <c r="E19" s="11">
        <v>10.4</v>
      </c>
      <c r="F19" s="11">
        <v>2.5</v>
      </c>
      <c r="G19" s="11">
        <v>0.0</v>
      </c>
      <c r="H19" s="11">
        <v>0.0</v>
      </c>
      <c r="I19" s="10"/>
      <c r="J19" s="11">
        <v>20.0</v>
      </c>
      <c r="K19" s="11">
        <v>20.0</v>
      </c>
      <c r="L19" s="11">
        <v>20.0</v>
      </c>
      <c r="M19" s="10"/>
      <c r="N19" s="12">
        <v>31.55</v>
      </c>
      <c r="O19" s="15">
        <f t="shared" si="1"/>
        <v>6.31</v>
      </c>
      <c r="P19" s="16">
        <f>'Hoja 1'!R20</f>
        <v>0</v>
      </c>
      <c r="Q19" s="18">
        <f t="shared" si="4"/>
        <v>6.31</v>
      </c>
    </row>
    <row r="20">
      <c r="A20" s="10" t="s">
        <v>69</v>
      </c>
      <c r="B20" s="10" t="s">
        <v>70</v>
      </c>
      <c r="C20" s="10">
        <v>3.10204E7</v>
      </c>
      <c r="D20" s="11">
        <v>8.5</v>
      </c>
      <c r="E20" s="11">
        <v>14.4</v>
      </c>
      <c r="F20" s="11">
        <v>0.0</v>
      </c>
      <c r="G20" s="11">
        <v>20.0</v>
      </c>
      <c r="H20" s="11">
        <v>18.4</v>
      </c>
      <c r="I20" s="20">
        <v>12.2</v>
      </c>
      <c r="J20" s="11">
        <v>10.0</v>
      </c>
      <c r="K20" s="11">
        <v>14.44</v>
      </c>
      <c r="L20" s="11">
        <v>20.0</v>
      </c>
      <c r="M20" s="10"/>
      <c r="N20" s="25">
        <v>61.18</v>
      </c>
      <c r="O20" s="15">
        <f t="shared" si="1"/>
        <v>12.236</v>
      </c>
      <c r="P20" s="16">
        <f>'Hoja 1'!R21</f>
        <v>0</v>
      </c>
      <c r="Q20" s="18">
        <f t="shared" si="4"/>
        <v>12.236</v>
      </c>
    </row>
    <row r="21">
      <c r="A21" s="10" t="s">
        <v>71</v>
      </c>
      <c r="B21" s="10" t="s">
        <v>72</v>
      </c>
      <c r="C21" s="10">
        <v>2.9611077E7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5"/>
      <c r="O21" s="15">
        <f t="shared" si="1"/>
        <v>0</v>
      </c>
      <c r="P21" s="16">
        <f>'Hoja 1'!R22</f>
        <v>0</v>
      </c>
      <c r="Q21" s="18">
        <f t="shared" si="4"/>
        <v>0</v>
      </c>
    </row>
    <row r="22">
      <c r="A22" s="10" t="s">
        <v>74</v>
      </c>
      <c r="B22" s="10" t="s">
        <v>75</v>
      </c>
      <c r="C22" s="10">
        <v>3.1587327E7</v>
      </c>
      <c r="D22" s="11">
        <v>6.0</v>
      </c>
      <c r="E22" s="10"/>
      <c r="F22" s="11">
        <v>7.5</v>
      </c>
      <c r="G22" s="10"/>
      <c r="H22" s="10"/>
      <c r="I22" s="10"/>
      <c r="J22" s="10"/>
      <c r="K22" s="10"/>
      <c r="L22" s="10"/>
      <c r="M22" s="10"/>
      <c r="N22" s="12">
        <v>11.25</v>
      </c>
      <c r="O22" s="15">
        <f t="shared" si="1"/>
        <v>2.25</v>
      </c>
      <c r="P22" s="16">
        <f>'Hoja 1'!R23</f>
        <v>0.06666666667</v>
      </c>
      <c r="Q22" s="19" t="s">
        <v>27</v>
      </c>
    </row>
    <row r="23">
      <c r="A23" s="10" t="s">
        <v>76</v>
      </c>
      <c r="B23" s="10" t="s">
        <v>77</v>
      </c>
      <c r="C23" s="10">
        <v>3.0229939E7</v>
      </c>
      <c r="D23" s="11">
        <v>12.0</v>
      </c>
      <c r="E23" s="11">
        <v>10.91</v>
      </c>
      <c r="F23" s="11">
        <v>11.5</v>
      </c>
      <c r="G23" s="11">
        <v>20.0</v>
      </c>
      <c r="H23" s="11">
        <v>18.8</v>
      </c>
      <c r="I23" s="11">
        <v>15.2</v>
      </c>
      <c r="J23" s="11">
        <v>10.0</v>
      </c>
      <c r="K23" s="11">
        <v>1.11</v>
      </c>
      <c r="L23" s="10"/>
      <c r="M23" s="10"/>
      <c r="N23" s="12">
        <v>67.07</v>
      </c>
      <c r="O23" s="15">
        <f t="shared" si="1"/>
        <v>13.414</v>
      </c>
      <c r="P23" s="16">
        <f>'Hoja 1'!R24</f>
        <v>0.2666666667</v>
      </c>
      <c r="Q23" s="18">
        <f t="shared" ref="Q23:Q26" si="5">O23+P23</f>
        <v>13.68066667</v>
      </c>
    </row>
    <row r="24">
      <c r="A24" s="10" t="s">
        <v>79</v>
      </c>
      <c r="B24" s="10" t="s">
        <v>80</v>
      </c>
      <c r="C24" s="10">
        <v>2.798552E7</v>
      </c>
      <c r="D24" s="11">
        <v>12.0</v>
      </c>
      <c r="E24" s="11">
        <v>14.4</v>
      </c>
      <c r="F24" s="11">
        <v>0.0</v>
      </c>
      <c r="G24" s="11">
        <v>14.5</v>
      </c>
      <c r="H24" s="11">
        <v>18.4</v>
      </c>
      <c r="I24" s="20">
        <v>12.2</v>
      </c>
      <c r="J24" s="11">
        <v>20.0</v>
      </c>
      <c r="K24" s="11">
        <v>16.67</v>
      </c>
      <c r="L24" s="11">
        <v>20.0</v>
      </c>
      <c r="M24" s="20">
        <v>1.67</v>
      </c>
      <c r="N24" s="12">
        <f>65.58+M24</f>
        <v>67.25</v>
      </c>
      <c r="O24" s="15">
        <f t="shared" si="1"/>
        <v>13.45</v>
      </c>
      <c r="P24" s="16">
        <f>'Hoja 1'!R25</f>
        <v>1.533333333</v>
      </c>
      <c r="Q24" s="22">
        <f t="shared" si="5"/>
        <v>14.98333333</v>
      </c>
    </row>
    <row r="25">
      <c r="A25" s="10" t="s">
        <v>82</v>
      </c>
      <c r="B25" s="10" t="s">
        <v>83</v>
      </c>
      <c r="C25" s="10">
        <v>3.1623487E7</v>
      </c>
      <c r="D25" s="10"/>
      <c r="E25" s="10"/>
      <c r="F25" s="10"/>
      <c r="G25" s="10"/>
      <c r="H25" s="11">
        <v>0.0</v>
      </c>
      <c r="I25" s="10"/>
      <c r="J25" s="11">
        <v>10.0</v>
      </c>
      <c r="K25" s="10"/>
      <c r="L25" s="10"/>
      <c r="M25" s="10"/>
      <c r="N25" s="12">
        <v>2.5</v>
      </c>
      <c r="O25" s="15">
        <f t="shared" si="1"/>
        <v>0.5</v>
      </c>
      <c r="P25" s="16">
        <f>'Hoja 1'!R26</f>
        <v>0</v>
      </c>
      <c r="Q25" s="18">
        <f t="shared" si="5"/>
        <v>0.5</v>
      </c>
    </row>
    <row r="26">
      <c r="A26" s="10" t="s">
        <v>84</v>
      </c>
      <c r="B26" s="10" t="s">
        <v>85</v>
      </c>
      <c r="C26" s="10">
        <v>2.7714324E7</v>
      </c>
      <c r="D26" s="11">
        <v>19.0</v>
      </c>
      <c r="E26" s="11">
        <v>16.0</v>
      </c>
      <c r="F26" s="10"/>
      <c r="G26" s="11">
        <v>20.0</v>
      </c>
      <c r="H26" s="11">
        <v>18.4</v>
      </c>
      <c r="I26" s="20">
        <v>12.2</v>
      </c>
      <c r="J26" s="10"/>
      <c r="K26" s="11">
        <v>14.44</v>
      </c>
      <c r="L26" s="10"/>
      <c r="M26" s="10"/>
      <c r="N26" s="25">
        <v>70.5</v>
      </c>
      <c r="O26" s="15">
        <f t="shared" si="1"/>
        <v>14.1</v>
      </c>
      <c r="P26" s="16">
        <f>'Hoja 1'!R27</f>
        <v>0.4</v>
      </c>
      <c r="Q26" s="18">
        <f t="shared" si="5"/>
        <v>14.5</v>
      </c>
    </row>
    <row r="27">
      <c r="A27" s="10" t="s">
        <v>87</v>
      </c>
      <c r="B27" s="10" t="s">
        <v>88</v>
      </c>
      <c r="C27" s="10">
        <v>3.2001374E7</v>
      </c>
      <c r="D27" s="11">
        <v>11.0</v>
      </c>
      <c r="E27" s="11">
        <v>15.2</v>
      </c>
      <c r="F27" s="11">
        <v>13.0</v>
      </c>
      <c r="G27" s="10"/>
      <c r="H27" s="11">
        <v>0.0</v>
      </c>
      <c r="I27" s="11">
        <v>14.0</v>
      </c>
      <c r="J27" s="10"/>
      <c r="K27" s="11">
        <v>20.0</v>
      </c>
      <c r="L27" s="11">
        <v>20.0</v>
      </c>
      <c r="M27" s="10"/>
      <c r="N27" s="12">
        <v>47.15</v>
      </c>
      <c r="O27" s="15">
        <f t="shared" si="1"/>
        <v>9.43</v>
      </c>
      <c r="P27" s="16">
        <f>'Hoja 1'!R29</f>
        <v>0.9333333333</v>
      </c>
      <c r="Q27" s="23">
        <v>11.0</v>
      </c>
    </row>
    <row r="28">
      <c r="A28" s="10" t="s">
        <v>89</v>
      </c>
      <c r="B28" s="10" t="s">
        <v>90</v>
      </c>
      <c r="C28" s="10">
        <v>3.0394855E7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5"/>
      <c r="O28" s="15">
        <f t="shared" si="1"/>
        <v>0</v>
      </c>
      <c r="P28" s="16">
        <f>'Hoja 1'!R30</f>
        <v>0.1333333333</v>
      </c>
      <c r="Q28" s="18">
        <f t="shared" ref="Q28:Q30" si="6">O28+P28</f>
        <v>0.1333333333</v>
      </c>
    </row>
    <row r="29">
      <c r="A29" s="10" t="s">
        <v>92</v>
      </c>
      <c r="B29" s="10" t="s">
        <v>93</v>
      </c>
      <c r="C29" s="10">
        <v>3.1872806E7</v>
      </c>
      <c r="D29" s="11">
        <v>16.0</v>
      </c>
      <c r="E29" s="11">
        <v>10.81</v>
      </c>
      <c r="F29" s="11">
        <v>5.05</v>
      </c>
      <c r="G29" s="11">
        <v>0.0</v>
      </c>
      <c r="H29" s="11">
        <v>18.7</v>
      </c>
      <c r="I29" s="11">
        <v>13.6</v>
      </c>
      <c r="J29" s="10"/>
      <c r="K29" s="11">
        <v>18.89</v>
      </c>
      <c r="L29" s="11">
        <v>20.0</v>
      </c>
      <c r="M29" s="10"/>
      <c r="N29" s="12">
        <v>59.72</v>
      </c>
      <c r="O29" s="15">
        <f t="shared" si="1"/>
        <v>11.944</v>
      </c>
      <c r="P29" s="16">
        <f>'Hoja 1'!R31</f>
        <v>0.1333333333</v>
      </c>
      <c r="Q29" s="18">
        <f t="shared" si="6"/>
        <v>12.07733333</v>
      </c>
    </row>
    <row r="30">
      <c r="A30" s="10" t="s">
        <v>94</v>
      </c>
      <c r="B30" s="10" t="s">
        <v>95</v>
      </c>
      <c r="C30" s="10">
        <v>3.1963201E7</v>
      </c>
      <c r="D30" s="11">
        <v>15.0</v>
      </c>
      <c r="E30" s="11">
        <v>9.6</v>
      </c>
      <c r="F30" s="11">
        <v>4.5</v>
      </c>
      <c r="G30" s="10"/>
      <c r="H30" s="11">
        <v>0.0</v>
      </c>
      <c r="I30" s="11">
        <v>19.6</v>
      </c>
      <c r="J30" s="11">
        <v>20.0</v>
      </c>
      <c r="K30" s="11">
        <v>18.89</v>
      </c>
      <c r="L30" s="11">
        <v>20.0</v>
      </c>
      <c r="M30" s="10"/>
      <c r="N30" s="12">
        <v>52.76</v>
      </c>
      <c r="O30" s="15">
        <f t="shared" si="1"/>
        <v>10.552</v>
      </c>
      <c r="P30" s="16">
        <f>'Hoja 1'!R32</f>
        <v>0.1333333333</v>
      </c>
      <c r="Q30" s="18">
        <f t="shared" si="6"/>
        <v>10.68533333</v>
      </c>
    </row>
    <row r="31">
      <c r="A31" s="26" t="s">
        <v>97</v>
      </c>
      <c r="B31" s="26" t="s">
        <v>98</v>
      </c>
      <c r="C31" s="26">
        <v>3.198526E7</v>
      </c>
      <c r="D31" s="26">
        <v>13.0</v>
      </c>
      <c r="E31" s="26">
        <v>14.4</v>
      </c>
      <c r="F31" s="26">
        <v>11.5</v>
      </c>
      <c r="G31" s="26"/>
      <c r="H31" s="26">
        <v>0.0</v>
      </c>
      <c r="I31" s="26">
        <v>14.0</v>
      </c>
      <c r="J31" s="26">
        <v>20.0</v>
      </c>
      <c r="K31" s="26">
        <v>18.89</v>
      </c>
      <c r="L31" s="27"/>
      <c r="M31" s="27"/>
      <c r="N31" s="28">
        <v>50.66</v>
      </c>
      <c r="O31" s="15">
        <f t="shared" si="1"/>
        <v>10.132</v>
      </c>
      <c r="P31" s="16">
        <f>'Hoja 1'!R33</f>
        <v>1.4</v>
      </c>
      <c r="Q31" s="29">
        <v>12.0</v>
      </c>
    </row>
    <row r="33">
      <c r="P33" s="30" t="str">
        <f>'Hoja 1'!R34</f>
        <v/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