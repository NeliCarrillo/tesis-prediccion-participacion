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Asistenci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Entrega Proy</t>
      </text>
    </comment>
    <comment authorId="0" ref="P13">
      <text>
        <t xml:space="preserve">Ausencia justificada</t>
      </text>
    </comment>
    <comment authorId="0" ref="M9">
      <text>
        <t xml:space="preserve">Pizzarra + 2 intervenciones</t>
      </text>
    </comment>
    <comment authorId="0" ref="Q13">
      <text>
        <t xml:space="preserve">Ausencia justificada</t>
      </text>
    </comment>
    <comment authorId="0" ref="R13">
      <text>
        <t xml:space="preserve">Ausencia justificada</t>
      </text>
    </comment>
    <comment authorId="0" ref="S13">
      <text>
        <t xml:space="preserve">Ausencia justificada</t>
      </text>
    </comment>
    <comment authorId="0" ref="Q9">
      <text>
        <t xml:space="preserve">Entrega Proy</t>
      </text>
    </comment>
    <comment authorId="0" ref="W13">
      <text>
        <t xml:space="preserve">Tarde
</t>
      </text>
    </comment>
    <comment authorId="0" ref="J30">
      <text>
        <t xml:space="preserve">pero regresó</t>
      </text>
    </comment>
    <comment authorId="0" ref="G26">
      <text>
        <t xml:space="preserve">Llegó 12:30</t>
      </text>
    </comment>
    <comment authorId="0" ref="Z9">
      <text>
        <t xml:space="preserve">2 pizarra</t>
      </text>
    </comment>
    <comment authorId="0" ref="H22">
      <text>
        <t xml:space="preserve">pero regresó</t>
      </text>
    </comment>
    <comment authorId="0" ref="J22">
      <text>
        <t xml:space="preserve">pero regresó</t>
      </text>
    </comment>
    <comment authorId="0" ref="K22">
      <text>
        <t xml:space="preserve">Dinámica CRC</t>
      </text>
    </comment>
    <comment authorId="0" ref="N22">
      <text>
        <t xml:space="preserve">Entrega Proy</t>
      </text>
    </comment>
    <comment authorId="0" ref="N18">
      <text>
        <t xml:space="preserve">Entrega Proy + intervención</t>
      </text>
    </comment>
    <comment authorId="0" ref="K14">
      <text>
        <t xml:space="preserve">Dinámica CRC</t>
      </text>
    </comment>
    <comment authorId="0" ref="U22">
      <text>
        <t xml:space="preserve">Entrega Proyecto
Jubilado</t>
      </text>
    </comment>
    <comment authorId="0" ref="X22">
      <text>
        <t xml:space="preserve">1 intervención, jubilado</t>
      </text>
    </comment>
    <comment authorId="0" ref="K6">
      <text>
        <t xml:space="preserve">Dinámica CRC</t>
      </text>
    </comment>
    <comment authorId="0" ref="M6">
      <text>
        <t xml:space="preserve">Dinámica CRC</t>
      </text>
    </comment>
    <comment authorId="0" ref="P6">
      <text>
        <t xml:space="preserve">Pizarra</t>
      </text>
    </comment>
    <comment authorId="0" ref="N31">
      <text>
        <t xml:space="preserve">Entrega Proy</t>
      </text>
    </comment>
    <comment authorId="0" ref="V6">
      <text>
        <t xml:space="preserve">Pizarra</t>
      </text>
    </comment>
    <comment authorId="0" ref="P27">
      <text>
        <t xml:space="preserve">Pizarra</t>
      </text>
    </comment>
    <comment authorId="0" ref="K19">
      <text>
        <t xml:space="preserve">Dinámica CRC</t>
      </text>
    </comment>
    <comment authorId="0" ref="U27">
      <text>
        <t xml:space="preserve">Pizarra</t>
      </text>
    </comment>
    <comment authorId="0" ref="M15">
      <text>
        <t xml:space="preserve">Pizzarra + 1 intervención</t>
      </text>
    </comment>
    <comment authorId="0" ref="Y27">
      <text>
        <t xml:space="preserve">Pizarra</t>
      </text>
    </comment>
    <comment authorId="0" ref="Z27">
      <text>
        <t xml:space="preserve">Llegó tarde
Pizarra</t>
      </text>
    </comment>
    <comment authorId="0" ref="K7">
      <text>
        <t xml:space="preserve">Dinámica CRC</t>
      </text>
    </comment>
    <comment authorId="0" ref="P7">
      <text>
        <t xml:space="preserve">Pizarra</t>
      </text>
    </comment>
    <comment authorId="0" ref="G28">
      <text>
        <t xml:space="preserve">Pizarra</t>
      </text>
    </comment>
    <comment authorId="0" ref="S7">
      <text>
        <t xml:space="preserve">Pizarra</t>
      </text>
    </comment>
    <comment authorId="0" ref="P3">
      <text>
        <t xml:space="preserve">Pizarra</t>
      </text>
    </comment>
    <comment authorId="0" ref="U7">
      <text>
        <t xml:space="preserve">Entrega Proyecto</t>
      </text>
    </comment>
    <comment authorId="0" ref="V7">
      <text>
        <t xml:space="preserve">Pizarra</t>
      </text>
    </comment>
    <comment authorId="0" ref="G24">
      <text>
        <t xml:space="preserve">Pizzarra + 2 intervenciones</t>
      </text>
    </comment>
    <comment authorId="0" ref="Y7">
      <text>
        <t xml:space="preserve">Llegó tarde
Pizarra</t>
      </text>
    </comment>
    <comment authorId="0" ref="V3">
      <text>
        <t xml:space="preserve">Llegó tarde
Pizarra</t>
      </text>
    </comment>
    <comment authorId="0" ref="Z3">
      <text>
        <t xml:space="preserve">Llegó tarde
Pizarra</t>
      </text>
    </comment>
    <comment authorId="0" ref="Q24">
      <text>
        <t xml:space="preserve">Entrega Proy, llegó tarde</t>
      </text>
    </comment>
    <comment authorId="0" ref="N20">
      <text>
        <t xml:space="preserve">Entrega Proy</t>
      </text>
    </comment>
    <comment authorId="0" ref="S24">
      <text>
        <t xml:space="preserve">Llegó tarde
Pizarra</t>
      </text>
    </comment>
    <comment authorId="0" ref="X24">
      <text>
        <t xml:space="preserve">2 pizarra, 1 intervención, jubilado</t>
      </text>
    </comment>
    <comment authorId="0" ref="U16">
      <text>
        <t xml:space="preserve">Entrega Proyecto
Jubilado</t>
      </text>
    </comment>
    <comment authorId="0" ref="K4">
      <text>
        <t xml:space="preserve">Dinámica CRC</t>
      </text>
    </comment>
    <comment authorId="0" ref="F29">
      <text>
        <t xml:space="preserve">Llegó 1:15</t>
      </text>
    </comment>
    <comment authorId="0" ref="N4">
      <text>
        <t xml:space="preserve">Entrega Proy</t>
      </text>
    </comment>
    <comment authorId="0" ref="E25">
      <text>
        <t xml:space="preserve">Llegó 12:30</t>
      </text>
    </comment>
    <comment authorId="0" ref="Y12">
      <text>
        <t xml:space="preserve">Pizarra</t>
      </text>
    </comment>
    <comment authorId="0" ref="K29">
      <text>
        <t xml:space="preserve">Dinámica CRC</t>
      </text>
    </comment>
    <comment authorId="0" ref="M29">
      <text>
        <t xml:space="preserve">Dinámica CRC</t>
      </text>
    </comment>
    <comment authorId="0" ref="N29">
      <text>
        <t xml:space="preserve">Entrega Proy + intervención</t>
      </text>
    </comment>
    <comment authorId="0" ref="Q29">
      <text>
        <t xml:space="preserve">Entrega Proy + intervención</t>
      </text>
    </comment>
    <comment authorId="0" ref="U29">
      <text>
        <t xml:space="preserve">Pizarra + intervención</t>
      </text>
    </comment>
    <comment authorId="0" ref="W29">
      <text>
        <t xml:space="preserve">Tarde</t>
      </text>
    </comment>
    <comment authorId="0" ref="X29">
      <text>
        <t xml:space="preserve">2 pizarra, 1 intervención, tarde</t>
      </text>
    </comment>
    <comment authorId="0" ref="Z29">
      <text>
        <t xml:space="preserve">Pizarra</t>
      </text>
    </comment>
    <comment authorId="0" ref="K13">
      <text>
        <t xml:space="preserve">Dinámica CRC</t>
      </text>
    </comment>
  </commentList>
</comments>
</file>

<file path=xl/sharedStrings.xml><?xml version="1.0" encoding="utf-8"?>
<sst xmlns="http://schemas.openxmlformats.org/spreadsheetml/2006/main" count="577" uniqueCount="303">
  <si>
    <t>Profesor(a):</t>
  </si>
  <si>
    <t>Torre</t>
  </si>
  <si>
    <t>Fernando Javier</t>
  </si>
  <si>
    <t>C.I.:</t>
  </si>
  <si>
    <t>21132576</t>
  </si>
  <si>
    <t>Asignatura:</t>
  </si>
  <si>
    <t>BPTSP06</t>
  </si>
  <si>
    <t>ESTRUCTURAS DE DATOS</t>
  </si>
  <si>
    <t>Periodo:</t>
  </si>
  <si>
    <t>2526</t>
  </si>
  <si>
    <t>009</t>
  </si>
  <si>
    <t>Sección:</t>
  </si>
  <si>
    <t>BPTSP06-2</t>
  </si>
  <si>
    <t>ID</t>
  </si>
  <si>
    <t>CEDULA</t>
  </si>
  <si>
    <t>CARNET</t>
  </si>
  <si>
    <t>APELLIDO</t>
  </si>
  <si>
    <t>NOMBRE</t>
  </si>
  <si>
    <t>2º Nombre</t>
  </si>
  <si>
    <t>Correo Unimet</t>
  </si>
  <si>
    <t>EMAIL_PRINC</t>
  </si>
  <si>
    <t>EMAIL_ADIC</t>
  </si>
  <si>
    <t>RQ_RT</t>
  </si>
  <si>
    <t xml:space="preserve">  1</t>
  </si>
  <si>
    <t>32241977</t>
  </si>
  <si>
    <t>20251110154</t>
  </si>
  <si>
    <t>Bezara</t>
  </si>
  <si>
    <t>Cesar</t>
  </si>
  <si>
    <t>Miguel</t>
  </si>
  <si>
    <t>cbezara@correo.unimet.edu.ve,</t>
  </si>
  <si>
    <t>cesarbezara@gmail.com</t>
  </si>
  <si>
    <t>ibezara@gmail.com</t>
  </si>
  <si>
    <t xml:space="preserve">  2</t>
  </si>
  <si>
    <t>31852011</t>
  </si>
  <si>
    <t>20251120004</t>
  </si>
  <si>
    <t>Bravo</t>
  </si>
  <si>
    <t>Luis</t>
  </si>
  <si>
    <t>Fernando</t>
  </si>
  <si>
    <t>luisbravo@correo.unimet.edu.ve,</t>
  </si>
  <si>
    <t>luisfbh1@gmail.com</t>
  </si>
  <si>
    <t>arquimedesbravoc@gmail.com</t>
  </si>
  <si>
    <t xml:space="preserve">  3</t>
  </si>
  <si>
    <t>29947503</t>
  </si>
  <si>
    <t>20221110165</t>
  </si>
  <si>
    <t>Calderon</t>
  </si>
  <si>
    <t>Daniel</t>
  </si>
  <si>
    <t>Antonio</t>
  </si>
  <si>
    <t>daniel.calderon@correo.unimet.edu.ve,</t>
  </si>
  <si>
    <t>daniel.calderon@correo.unimet.edu.ve</t>
  </si>
  <si>
    <t>mcnordelo@gmail.com</t>
  </si>
  <si>
    <t xml:space="preserve">  4</t>
  </si>
  <si>
    <t>29724329</t>
  </si>
  <si>
    <t>20221110604</t>
  </si>
  <si>
    <t>Cedeño</t>
  </si>
  <si>
    <t>Gabriel</t>
  </si>
  <si>
    <t>Alejandro</t>
  </si>
  <si>
    <t>g.cedeno@correo.unimet.edu.ve,</t>
  </si>
  <si>
    <t>gabocensore@gmail.com</t>
  </si>
  <si>
    <t>Gabrielacensore21@gmail.com</t>
  </si>
  <si>
    <t xml:space="preserve">  5</t>
  </si>
  <si>
    <t>29756222</t>
  </si>
  <si>
    <t>20241110585</t>
  </si>
  <si>
    <t>Charco</t>
  </si>
  <si>
    <t>Isaac</t>
  </si>
  <si>
    <t>Israel</t>
  </si>
  <si>
    <t>i.charco@correo.unimet.edu.ve,</t>
  </si>
  <si>
    <t>ischlt1516@gmail.com</t>
  </si>
  <si>
    <t>Luischarco@gmail.com</t>
  </si>
  <si>
    <t xml:space="preserve">  6</t>
  </si>
  <si>
    <t>31115369</t>
  </si>
  <si>
    <t>20231110312</t>
  </si>
  <si>
    <t>Gamboa</t>
  </si>
  <si>
    <t>Biko</t>
  </si>
  <si>
    <t>Lian</t>
  </si>
  <si>
    <t>b.gamboa@correo.unimet.edu.ve,</t>
  </si>
  <si>
    <t>bikolian@gmail.com</t>
  </si>
  <si>
    <t>monikich28@gmail.com</t>
  </si>
  <si>
    <t xml:space="preserve">  7</t>
  </si>
  <si>
    <t>30673466</t>
  </si>
  <si>
    <t>20231110322</t>
  </si>
  <si>
    <t>Garcia</t>
  </si>
  <si>
    <t>Christian</t>
  </si>
  <si>
    <t>David</t>
  </si>
  <si>
    <t>christian.garcia@correo.unimet.edu.ve,</t>
  </si>
  <si>
    <t>christianxdgarcia23@yahoo.com</t>
  </si>
  <si>
    <t>lenismonica@gmail.com</t>
  </si>
  <si>
    <t xml:space="preserve">  8</t>
  </si>
  <si>
    <t>31423864</t>
  </si>
  <si>
    <t>20251110160</t>
  </si>
  <si>
    <t>García</t>
  </si>
  <si>
    <t>Rocco</t>
  </si>
  <si>
    <t>rocco.garcia@correo.unimet.edu.ve,</t>
  </si>
  <si>
    <t>roccogarciap@gmail.com</t>
  </si>
  <si>
    <t>giovannapoli1601@gmail.com</t>
  </si>
  <si>
    <t xml:space="preserve">  9</t>
  </si>
  <si>
    <t>29948233</t>
  </si>
  <si>
    <t>20241110472</t>
  </si>
  <si>
    <t>Gutierrez</t>
  </si>
  <si>
    <t>Diego</t>
  </si>
  <si>
    <t>Eduardo</t>
  </si>
  <si>
    <t>d.gutierrez@correo.unimet.edu.ve,</t>
  </si>
  <si>
    <t>diegoegm20@gmail.com</t>
  </si>
  <si>
    <t>Salgueirom12@gmail.com</t>
  </si>
  <si>
    <t xml:space="preserve"> 10</t>
  </si>
  <si>
    <t>31873944</t>
  </si>
  <si>
    <t>20251110016</t>
  </si>
  <si>
    <t>Hernandez</t>
  </si>
  <si>
    <t>Santiago</t>
  </si>
  <si>
    <t>Andres</t>
  </si>
  <si>
    <t>santiago.hernandez@correo.unimet.edu.ve,</t>
  </si>
  <si>
    <t>noahhe03072007@gmail.com</t>
  </si>
  <si>
    <t>Veronicaadelina@gmail.com</t>
  </si>
  <si>
    <t xml:space="preserve"> 11</t>
  </si>
  <si>
    <t>30563919</t>
  </si>
  <si>
    <t>20241110443</t>
  </si>
  <si>
    <t>Leiva</t>
  </si>
  <si>
    <t>Darickson</t>
  </si>
  <si>
    <t>Ismael</t>
  </si>
  <si>
    <t>dleiva@correo.unimet.edu.ve,</t>
  </si>
  <si>
    <t>leivadarickson@gmail.com</t>
  </si>
  <si>
    <t>ysbelisfb@gmail.com</t>
  </si>
  <si>
    <t xml:space="preserve"> 12</t>
  </si>
  <si>
    <t>31306531</t>
  </si>
  <si>
    <t>20241120101</t>
  </si>
  <si>
    <t>Linarez</t>
  </si>
  <si>
    <t>Juan</t>
  </si>
  <si>
    <t>Esteban</t>
  </si>
  <si>
    <t>juan.linarez@correo.unimet.edu.ve,</t>
  </si>
  <si>
    <t>juaneslinarez@gmail.com</t>
  </si>
  <si>
    <t>josealinarez@gmail.com</t>
  </si>
  <si>
    <t xml:space="preserve"> 13</t>
  </si>
  <si>
    <t>30420299</t>
  </si>
  <si>
    <t>20211120144</t>
  </si>
  <si>
    <t>López</t>
  </si>
  <si>
    <t>Joseph</t>
  </si>
  <si>
    <t>Joan Antonio</t>
  </si>
  <si>
    <t>joseph-lopez@correo.unimet.edu.ve,</t>
  </si>
  <si>
    <t>josephjoanlopez2003@gmail.com</t>
  </si>
  <si>
    <t>Tanysbarrios@gmail.com</t>
  </si>
  <si>
    <t xml:space="preserve"> 14</t>
  </si>
  <si>
    <t>32336842</t>
  </si>
  <si>
    <t>20261110222</t>
  </si>
  <si>
    <t>Montilla</t>
  </si>
  <si>
    <t>a.montilla@correo.unimet.edu.ve,</t>
  </si>
  <si>
    <t>andresmontilla419@gmail.com</t>
  </si>
  <si>
    <t>mariacele6969@gmail.com</t>
  </si>
  <si>
    <t xml:space="preserve"> 15</t>
  </si>
  <si>
    <t>29865249</t>
  </si>
  <si>
    <t>20231110618</t>
  </si>
  <si>
    <t>Paolino</t>
  </si>
  <si>
    <t>Fabiano</t>
  </si>
  <si>
    <t>alejandro.paolino@correo.unimet.edu.ve,</t>
  </si>
  <si>
    <t>alejandropaolinoz@hotmail.com</t>
  </si>
  <si>
    <t>zaidazp@hotmail.com</t>
  </si>
  <si>
    <t>P=Presente, 1=Intervención, T=Tarde, J=jubilado</t>
  </si>
  <si>
    <t xml:space="preserve"> 16</t>
  </si>
  <si>
    <t>31464995</t>
  </si>
  <si>
    <t>20251110145</t>
  </si>
  <si>
    <t>Giancarlo</t>
  </si>
  <si>
    <t>Rafael</t>
  </si>
  <si>
    <t>giancarlo.paolino@correo.unimet.edu.ve,</t>
  </si>
  <si>
    <t>giancarlopz44@outlook.com</t>
  </si>
  <si>
    <t xml:space="preserve"> 17</t>
  </si>
  <si>
    <t>31661952</t>
  </si>
  <si>
    <t>20251110400</t>
  </si>
  <si>
    <t>Peraza</t>
  </si>
  <si>
    <t>Andrés</t>
  </si>
  <si>
    <t>e.peraza@correo.unimet.edu.ve,</t>
  </si>
  <si>
    <t>perazaeduardo2696@gmail.com</t>
  </si>
  <si>
    <t>perazabetta@gmail.com</t>
  </si>
  <si>
    <t xml:space="preserve"> 18</t>
  </si>
  <si>
    <t>31872084</t>
  </si>
  <si>
    <t>20241110012</t>
  </si>
  <si>
    <t>Perez</t>
  </si>
  <si>
    <t>Andy</t>
  </si>
  <si>
    <t>andy.perez@correo.unimet.edu.ve,</t>
  </si>
  <si>
    <t>d10977@gmail.com</t>
  </si>
  <si>
    <t>D10977@GMAIL.COM</t>
  </si>
  <si>
    <t xml:space="preserve"> 19</t>
  </si>
  <si>
    <t>31307375</t>
  </si>
  <si>
    <t>20241110243</t>
  </si>
  <si>
    <t>perez.gabriel@correo.unimet.edu.ve,</t>
  </si>
  <si>
    <t>gabospace20@gmail.com</t>
  </si>
  <si>
    <t>greizmar@hotmail.com</t>
  </si>
  <si>
    <t xml:space="preserve"> 20</t>
  </si>
  <si>
    <t>Sem 1</t>
  </si>
  <si>
    <t>32241941</t>
  </si>
  <si>
    <t>20261110652</t>
  </si>
  <si>
    <t>Quevedo</t>
  </si>
  <si>
    <t>Jesús</t>
  </si>
  <si>
    <t>jesus.quevedo@correo.unimet.edu.ve,</t>
  </si>
  <si>
    <t>Jquevedo0703@gmail.com</t>
  </si>
  <si>
    <t>Patriciamonteiro271@gmail.com</t>
  </si>
  <si>
    <t xml:space="preserve"> 21</t>
  </si>
  <si>
    <t>30513257</t>
  </si>
  <si>
    <t>Sem 2</t>
  </si>
  <si>
    <t>20231110474</t>
  </si>
  <si>
    <t>Quintero</t>
  </si>
  <si>
    <t>Enrique</t>
  </si>
  <si>
    <t>alejandro.quintero@correo.unimet.edu.ve,</t>
  </si>
  <si>
    <t>alejandro.eqvmet@gmail.com</t>
  </si>
  <si>
    <t>gerardoq09@hotmail.com</t>
  </si>
  <si>
    <t xml:space="preserve"> 22</t>
  </si>
  <si>
    <t>29611077</t>
  </si>
  <si>
    <t>20221110015</t>
  </si>
  <si>
    <t>Ramírez</t>
  </si>
  <si>
    <t>Alexander</t>
  </si>
  <si>
    <t>alexander.ramirez@correo.unimet.edu.ve,</t>
  </si>
  <si>
    <t>alexander.ramirez@correo.unimet.edu.ve</t>
  </si>
  <si>
    <t>zulayduarte@gmail.com</t>
  </si>
  <si>
    <t xml:space="preserve"> 23</t>
  </si>
  <si>
    <t>29947779</t>
  </si>
  <si>
    <t>20191120171</t>
  </si>
  <si>
    <t>Reyes</t>
  </si>
  <si>
    <t>Julio</t>
  </si>
  <si>
    <t>j.reyes2020@correo.unimet.edu.ve,</t>
  </si>
  <si>
    <t>jcrz1304@gmail.com</t>
  </si>
  <si>
    <t>julioareyes@hotmail.com</t>
  </si>
  <si>
    <t xml:space="preserve"> 24</t>
  </si>
  <si>
    <t>29666467</t>
  </si>
  <si>
    <t>20241130097</t>
  </si>
  <si>
    <t>Rivera</t>
  </si>
  <si>
    <t>Antolin</t>
  </si>
  <si>
    <t>antolin.rivera@correo.unimet.edu.ve,</t>
  </si>
  <si>
    <t>antolin2002@gmail.com</t>
  </si>
  <si>
    <t>cardozoaminta@gmail.com</t>
  </si>
  <si>
    <t xml:space="preserve"> 25</t>
  </si>
  <si>
    <t>31587327</t>
  </si>
  <si>
    <t>20241130168</t>
  </si>
  <si>
    <t>Roa</t>
  </si>
  <si>
    <t>Luciano</t>
  </si>
  <si>
    <t>luciano.roa@correo.unimet.edu.ve,</t>
  </si>
  <si>
    <t>luchoroa2024@gmail.com</t>
  </si>
  <si>
    <t>Sem 3</t>
  </si>
  <si>
    <t>yurbisesthee29@gmail.com</t>
  </si>
  <si>
    <t xml:space="preserve"> 26</t>
  </si>
  <si>
    <t>27714378</t>
  </si>
  <si>
    <t>20251110216</t>
  </si>
  <si>
    <t>Santaella</t>
  </si>
  <si>
    <t>Sem 4</t>
  </si>
  <si>
    <t>Willian</t>
  </si>
  <si>
    <t>José</t>
  </si>
  <si>
    <t>wsantaella@correo.unimet.edu.ve,</t>
  </si>
  <si>
    <t>swillianjose28@gmail.com</t>
  </si>
  <si>
    <t>elsaonco@gmail.com</t>
  </si>
  <si>
    <t>Sem 5</t>
  </si>
  <si>
    <t xml:space="preserve"> 27</t>
  </si>
  <si>
    <t>31623487</t>
  </si>
  <si>
    <t>20231110186</t>
  </si>
  <si>
    <t>Suárez</t>
  </si>
  <si>
    <t>Sem 6</t>
  </si>
  <si>
    <t>Armando</t>
  </si>
  <si>
    <t>Sem 7</t>
  </si>
  <si>
    <t>armando.suarez@correo.unimet.edu.ve,</t>
  </si>
  <si>
    <t>armandoesuarezr@gmail.com</t>
  </si>
  <si>
    <t>mariadelourdesrivas@gmail.com</t>
  </si>
  <si>
    <t xml:space="preserve"> 28</t>
  </si>
  <si>
    <t>Sem 8</t>
  </si>
  <si>
    <t>31392044</t>
  </si>
  <si>
    <t>20241110593</t>
  </si>
  <si>
    <t>Uriana</t>
  </si>
  <si>
    <t>Sebastián</t>
  </si>
  <si>
    <t>Sem 9</t>
  </si>
  <si>
    <t>uriana.sebastian@correo.unimet.edu.ve,</t>
  </si>
  <si>
    <t>uriana.sebastian@correo.unimet.edu.ve</t>
  </si>
  <si>
    <t>lucirubiob@gmail.com</t>
  </si>
  <si>
    <t>Sem 10</t>
  </si>
  <si>
    <t xml:space="preserve"> 29</t>
  </si>
  <si>
    <t>31707262</t>
  </si>
  <si>
    <t>20251110309</t>
  </si>
  <si>
    <t>Vergel</t>
  </si>
  <si>
    <t>Sem 11</t>
  </si>
  <si>
    <t>Samuel</t>
  </si>
  <si>
    <t>Moises</t>
  </si>
  <si>
    <t>Asistencia</t>
  </si>
  <si>
    <t>samuel.vergel@correo.unimet.edu.ve,</t>
  </si>
  <si>
    <t>samuel.vergel@correo.unimet.edu.ve</t>
  </si>
  <si>
    <t>dvergel@hotmail.com</t>
  </si>
  <si>
    <t>Interv.</t>
  </si>
  <si>
    <t xml:space="preserve"> 30</t>
  </si>
  <si>
    <t>30965572</t>
  </si>
  <si>
    <t>20241130006</t>
  </si>
  <si>
    <t>Zambrano</t>
  </si>
  <si>
    <t>Leonardo</t>
  </si>
  <si>
    <t>zambrano.leonardo@correo.unimet.edu.ve,</t>
  </si>
  <si>
    <t>zambrano.leonardo@correo.unimet.edu.ve</t>
  </si>
  <si>
    <t>yelitza.camacho@gmail.com</t>
  </si>
  <si>
    <t>prepa2</t>
  </si>
  <si>
    <t>prepa3</t>
  </si>
  <si>
    <t>prepa4</t>
  </si>
  <si>
    <t>Total</t>
  </si>
  <si>
    <t>%</t>
  </si>
  <si>
    <t>P</t>
  </si>
  <si>
    <t>T</t>
  </si>
  <si>
    <t>p</t>
  </si>
  <si>
    <t>J</t>
  </si>
  <si>
    <t>⚖️</t>
  </si>
  <si>
    <t>Intervenciones</t>
  </si>
  <si>
    <t>Asistencia Total</t>
  </si>
  <si>
    <t>Tardy</t>
  </si>
  <si>
    <t>Jubilado</t>
  </si>
  <si>
    <t>Asistencia neta</t>
  </si>
  <si>
    <t>Asistencia ponderada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</si>
</sst>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2.0"/>
      <color rgb="FF212529"/>
      <name val="System-ui"/>
    </font>
    <font>
      <b/>
      <color theme="1"/>
      <name val="Calibri"/>
      <scheme val="minor"/>
    </font>
    <font>
      <b/>
      <color rgb="FFFF0000"/>
      <name val="Calibri"/>
      <scheme val="minor"/>
    </font>
    <font>
      <b/>
      <color rgb="FF0000FF"/>
      <name val="Calibri"/>
      <scheme val="minor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F1C232"/>
        <bgColor rgb="FFF1C23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9" xfId="0" applyFont="1" applyNumberFormat="1"/>
    <xf borderId="0" fillId="4" fontId="1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Lista-style">
      <tableStyleElement dxfId="1" type="headerRow"/>
      <tableStyleElement dxfId="2" type="firstRowStripe"/>
      <tableStyleElement dxfId="3" type="secondRowStripe"/>
    </tableStyle>
    <tableStyle count="3" pivot="0" name="Asistencia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J37" displayName="Table_1" name="Table_1" id="1">
  <tableColumns count="10">
    <tableColumn name="ID" id="1"/>
    <tableColumn name="CEDULA" id="2"/>
    <tableColumn name="CARNET" id="3"/>
    <tableColumn name="APELLIDO" id="4"/>
    <tableColumn name="NOMBRE" id="5"/>
    <tableColumn name="2º Nombre" id="6"/>
    <tableColumn name="Correo Unimet" id="7"/>
    <tableColumn name="EMAIL_PRINC" id="8"/>
    <tableColumn name="EMAIL_ADIC" id="9"/>
    <tableColumn name="RQ_RT" id="10"/>
  </tableColumns>
  <tableStyleInfo name="List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D38" displayName="Table_2" name="Table_2" id="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Asistenc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3.86"/>
    <col customWidth="1" min="8" max="28" width="8.71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</row>
    <row r="3" ht="12.75" customHeight="1">
      <c r="A3" s="1" t="s">
        <v>5</v>
      </c>
      <c r="B3" s="1" t="s">
        <v>6</v>
      </c>
      <c r="C3" s="1" t="s">
        <v>7</v>
      </c>
    </row>
    <row r="4" ht="12.75" customHeight="1">
      <c r="A4" s="1" t="s">
        <v>8</v>
      </c>
      <c r="B4" s="1" t="s">
        <v>9</v>
      </c>
      <c r="C4" s="1" t="s">
        <v>10</v>
      </c>
    </row>
    <row r="5" ht="12.75" customHeight="1">
      <c r="A5" s="1" t="s">
        <v>11</v>
      </c>
      <c r="B5" s="1" t="s">
        <v>12</v>
      </c>
    </row>
    <row r="6" ht="12.75" customHeight="1"/>
    <row r="7" ht="12.75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3" t="s">
        <v>18</v>
      </c>
      <c r="G7" s="3" t="s">
        <v>19</v>
      </c>
      <c r="H7" s="2" t="s">
        <v>20</v>
      </c>
      <c r="I7" s="2" t="s">
        <v>21</v>
      </c>
      <c r="J7" s="2" t="s">
        <v>22</v>
      </c>
    </row>
    <row r="8" ht="12.75" customHeight="1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5" t="s">
        <v>28</v>
      </c>
      <c r="G8" s="6" t="s">
        <v>29</v>
      </c>
      <c r="H8" s="4" t="s">
        <v>30</v>
      </c>
      <c r="I8" s="4" t="s">
        <v>31</v>
      </c>
      <c r="J8" s="4"/>
    </row>
    <row r="9" ht="12.75" customHeight="1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5" t="s">
        <v>37</v>
      </c>
      <c r="G9" s="6" t="s">
        <v>38</v>
      </c>
      <c r="H9" s="4" t="s">
        <v>39</v>
      </c>
      <c r="I9" s="4" t="s">
        <v>40</v>
      </c>
      <c r="J9" s="4"/>
    </row>
    <row r="10" ht="12.75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5" t="s">
        <v>46</v>
      </c>
      <c r="G10" s="6" t="s">
        <v>47</v>
      </c>
      <c r="H10" s="4" t="s">
        <v>48</v>
      </c>
      <c r="I10" s="4" t="s">
        <v>49</v>
      </c>
      <c r="J10" s="4"/>
    </row>
    <row r="11" ht="12.75" customHeight="1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5" t="s">
        <v>55</v>
      </c>
      <c r="G11" s="6" t="s">
        <v>56</v>
      </c>
      <c r="H11" s="4" t="s">
        <v>57</v>
      </c>
      <c r="I11" s="4" t="s">
        <v>58</v>
      </c>
      <c r="J11" s="4"/>
    </row>
    <row r="12" ht="12.75" customHeight="1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5" t="s">
        <v>64</v>
      </c>
      <c r="G12" s="6" t="s">
        <v>65</v>
      </c>
      <c r="H12" s="4" t="s">
        <v>66</v>
      </c>
      <c r="I12" s="4" t="s">
        <v>67</v>
      </c>
      <c r="J12" s="4"/>
    </row>
    <row r="13" ht="12.75" customHeight="1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5" t="s">
        <v>73</v>
      </c>
      <c r="G13" s="6" t="s">
        <v>74</v>
      </c>
      <c r="H13" s="4" t="s">
        <v>75</v>
      </c>
      <c r="I13" s="4" t="s">
        <v>76</v>
      </c>
      <c r="J13" s="4"/>
    </row>
    <row r="14" ht="12.75" customHeight="1">
      <c r="A14" s="4" t="s">
        <v>77</v>
      </c>
      <c r="B14" s="4" t="s">
        <v>78</v>
      </c>
      <c r="C14" s="4" t="s">
        <v>79</v>
      </c>
      <c r="D14" s="4" t="s">
        <v>80</v>
      </c>
      <c r="E14" s="4" t="s">
        <v>81</v>
      </c>
      <c r="F14" s="5" t="s">
        <v>82</v>
      </c>
      <c r="G14" s="6" t="s">
        <v>83</v>
      </c>
      <c r="H14" s="4" t="s">
        <v>84</v>
      </c>
      <c r="I14" s="4" t="s">
        <v>85</v>
      </c>
      <c r="J14" s="4"/>
    </row>
    <row r="15" ht="12.75" customHeight="1">
      <c r="A15" s="4" t="s">
        <v>86</v>
      </c>
      <c r="B15" s="4" t="s">
        <v>87</v>
      </c>
      <c r="C15" s="4" t="s">
        <v>88</v>
      </c>
      <c r="D15" s="4" t="s">
        <v>89</v>
      </c>
      <c r="E15" s="4" t="s">
        <v>90</v>
      </c>
      <c r="F15" s="4"/>
      <c r="G15" s="6" t="s">
        <v>91</v>
      </c>
      <c r="H15" s="4" t="s">
        <v>92</v>
      </c>
      <c r="I15" s="4" t="s">
        <v>93</v>
      </c>
      <c r="J15" s="4"/>
    </row>
    <row r="16" ht="12.75" customHeight="1">
      <c r="A16" s="4" t="s">
        <v>94</v>
      </c>
      <c r="B16" s="4" t="s">
        <v>95</v>
      </c>
      <c r="C16" s="4" t="s">
        <v>96</v>
      </c>
      <c r="D16" s="4" t="s">
        <v>97</v>
      </c>
      <c r="E16" s="4" t="s">
        <v>98</v>
      </c>
      <c r="F16" s="5" t="s">
        <v>99</v>
      </c>
      <c r="G16" s="6" t="s">
        <v>100</v>
      </c>
      <c r="H16" s="4" t="s">
        <v>101</v>
      </c>
      <c r="I16" s="4" t="s">
        <v>102</v>
      </c>
      <c r="J16" s="4"/>
    </row>
    <row r="17" ht="12.75" customHeight="1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5" t="s">
        <v>108</v>
      </c>
      <c r="G17" s="6" t="s">
        <v>109</v>
      </c>
      <c r="H17" s="4" t="s">
        <v>110</v>
      </c>
      <c r="I17" s="4" t="s">
        <v>111</v>
      </c>
      <c r="J17" s="4"/>
    </row>
    <row r="18" ht="12.75" customHeight="1">
      <c r="A18" s="4" t="s">
        <v>112</v>
      </c>
      <c r="B18" s="4" t="s">
        <v>113</v>
      </c>
      <c r="C18" s="4" t="s">
        <v>114</v>
      </c>
      <c r="D18" s="4" t="s">
        <v>115</v>
      </c>
      <c r="E18" s="4" t="s">
        <v>116</v>
      </c>
      <c r="F18" s="5" t="s">
        <v>117</v>
      </c>
      <c r="G18" s="6" t="s">
        <v>118</v>
      </c>
      <c r="H18" s="4" t="s">
        <v>119</v>
      </c>
      <c r="I18" s="4" t="s">
        <v>120</v>
      </c>
      <c r="J18" s="4"/>
    </row>
    <row r="19" ht="12.75" customHeight="1">
      <c r="A19" s="4" t="s">
        <v>121</v>
      </c>
      <c r="B19" s="4" t="s">
        <v>122</v>
      </c>
      <c r="C19" s="4" t="s">
        <v>123</v>
      </c>
      <c r="D19" s="4" t="s">
        <v>124</v>
      </c>
      <c r="E19" s="4" t="s">
        <v>125</v>
      </c>
      <c r="F19" s="5" t="s">
        <v>126</v>
      </c>
      <c r="G19" s="6" t="s">
        <v>127</v>
      </c>
      <c r="H19" s="4" t="s">
        <v>128</v>
      </c>
      <c r="I19" s="4" t="s">
        <v>129</v>
      </c>
      <c r="J19" s="4"/>
    </row>
    <row r="20" ht="12.75" customHeight="1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5" t="s">
        <v>135</v>
      </c>
      <c r="G20" s="6" t="s">
        <v>136</v>
      </c>
      <c r="H20" s="4" t="s">
        <v>137</v>
      </c>
      <c r="I20" s="4" t="s">
        <v>138</v>
      </c>
      <c r="J20" s="4"/>
    </row>
    <row r="21" ht="12.75" customHeight="1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108</v>
      </c>
      <c r="F21" s="5" t="s">
        <v>99</v>
      </c>
      <c r="G21" s="6" t="s">
        <v>143</v>
      </c>
      <c r="H21" s="4" t="s">
        <v>144</v>
      </c>
      <c r="I21" s="4" t="s">
        <v>145</v>
      </c>
      <c r="J21" s="4"/>
    </row>
    <row r="22" ht="12.75" customHeight="1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55</v>
      </c>
      <c r="F22" s="5" t="s">
        <v>150</v>
      </c>
      <c r="G22" s="6" t="s">
        <v>151</v>
      </c>
      <c r="H22" s="4" t="s">
        <v>152</v>
      </c>
      <c r="I22" s="4" t="s">
        <v>153</v>
      </c>
      <c r="J22" s="4"/>
    </row>
    <row r="23" ht="12.75" customHeight="1">
      <c r="A23" s="4" t="s">
        <v>155</v>
      </c>
      <c r="B23" s="4" t="s">
        <v>156</v>
      </c>
      <c r="C23" s="4" t="s">
        <v>157</v>
      </c>
      <c r="D23" s="4" t="s">
        <v>149</v>
      </c>
      <c r="E23" s="4" t="s">
        <v>158</v>
      </c>
      <c r="F23" s="5" t="s">
        <v>159</v>
      </c>
      <c r="G23" s="6" t="s">
        <v>160</v>
      </c>
      <c r="H23" s="4" t="s">
        <v>161</v>
      </c>
      <c r="I23" s="4" t="s">
        <v>153</v>
      </c>
      <c r="J23" s="4"/>
    </row>
    <row r="24" ht="12.75" customHeight="1">
      <c r="A24" s="4" t="s">
        <v>162</v>
      </c>
      <c r="B24" s="4" t="s">
        <v>163</v>
      </c>
      <c r="C24" s="4" t="s">
        <v>164</v>
      </c>
      <c r="D24" s="4" t="s">
        <v>165</v>
      </c>
      <c r="E24" s="4" t="s">
        <v>99</v>
      </c>
      <c r="F24" s="5" t="s">
        <v>166</v>
      </c>
      <c r="G24" s="6" t="s">
        <v>167</v>
      </c>
      <c r="H24" s="4" t="s">
        <v>168</v>
      </c>
      <c r="I24" s="4" t="s">
        <v>169</v>
      </c>
      <c r="J24" s="4"/>
    </row>
    <row r="25" ht="12.75" customHeight="1">
      <c r="A25" s="4" t="s">
        <v>170</v>
      </c>
      <c r="B25" s="4" t="s">
        <v>171</v>
      </c>
      <c r="C25" s="4" t="s">
        <v>172</v>
      </c>
      <c r="D25" s="4" t="s">
        <v>173</v>
      </c>
      <c r="E25" s="4" t="s">
        <v>174</v>
      </c>
      <c r="F25" s="5" t="s">
        <v>45</v>
      </c>
      <c r="G25" s="6" t="s">
        <v>175</v>
      </c>
      <c r="H25" s="4" t="s">
        <v>176</v>
      </c>
      <c r="I25" s="4" t="s">
        <v>177</v>
      </c>
      <c r="J25" s="4"/>
    </row>
    <row r="26" ht="12.75" customHeight="1">
      <c r="A26" s="4" t="s">
        <v>178</v>
      </c>
      <c r="B26" s="4" t="s">
        <v>179</v>
      </c>
      <c r="C26" s="4" t="s">
        <v>180</v>
      </c>
      <c r="D26" s="4" t="s">
        <v>173</v>
      </c>
      <c r="E26" s="4" t="s">
        <v>54</v>
      </c>
      <c r="F26" s="5" t="s">
        <v>55</v>
      </c>
      <c r="G26" s="6" t="s">
        <v>181</v>
      </c>
      <c r="H26" s="4" t="s">
        <v>182</v>
      </c>
      <c r="I26" s="4" t="s">
        <v>183</v>
      </c>
      <c r="J26" s="4"/>
    </row>
    <row r="27" ht="12.75" customHeight="1">
      <c r="A27" s="4" t="s">
        <v>184</v>
      </c>
      <c r="B27" s="4" t="s">
        <v>186</v>
      </c>
      <c r="C27" s="4" t="s">
        <v>187</v>
      </c>
      <c r="D27" s="4" t="s">
        <v>188</v>
      </c>
      <c r="E27" s="4" t="s">
        <v>189</v>
      </c>
      <c r="F27" s="5" t="s">
        <v>55</v>
      </c>
      <c r="G27" s="6" t="s">
        <v>190</v>
      </c>
      <c r="H27" s="4" t="s">
        <v>191</v>
      </c>
      <c r="I27" s="4" t="s">
        <v>192</v>
      </c>
      <c r="J27" s="4"/>
    </row>
    <row r="28" ht="12.75" customHeight="1">
      <c r="A28" s="4" t="s">
        <v>193</v>
      </c>
      <c r="B28" s="4" t="s">
        <v>194</v>
      </c>
      <c r="C28" s="4" t="s">
        <v>196</v>
      </c>
      <c r="D28" s="4" t="s">
        <v>197</v>
      </c>
      <c r="E28" s="4" t="s">
        <v>55</v>
      </c>
      <c r="F28" s="5" t="s">
        <v>198</v>
      </c>
      <c r="G28" s="6" t="s">
        <v>199</v>
      </c>
      <c r="H28" s="4" t="s">
        <v>200</v>
      </c>
      <c r="I28" s="4" t="s">
        <v>201</v>
      </c>
      <c r="J28" s="4"/>
    </row>
    <row r="29" ht="12.75" customHeight="1">
      <c r="A29" s="4" t="s">
        <v>202</v>
      </c>
      <c r="B29" s="4" t="s">
        <v>203</v>
      </c>
      <c r="C29" s="4" t="s">
        <v>204</v>
      </c>
      <c r="D29" s="4" t="s">
        <v>205</v>
      </c>
      <c r="E29" s="4" t="s">
        <v>206</v>
      </c>
      <c r="F29" s="5" t="s">
        <v>54</v>
      </c>
      <c r="G29" s="6" t="s">
        <v>207</v>
      </c>
      <c r="H29" s="4" t="s">
        <v>208</v>
      </c>
      <c r="I29" s="4" t="s">
        <v>209</v>
      </c>
      <c r="J29" s="4"/>
    </row>
    <row r="30" ht="12.75" customHeight="1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5" t="s">
        <v>27</v>
      </c>
      <c r="G30" s="6" t="s">
        <v>215</v>
      </c>
      <c r="H30" s="4" t="s">
        <v>216</v>
      </c>
      <c r="I30" s="4" t="s">
        <v>217</v>
      </c>
      <c r="J30" s="4"/>
    </row>
    <row r="31" ht="12.75" customHeight="1">
      <c r="A31" s="4" t="s">
        <v>218</v>
      </c>
      <c r="B31" s="4" t="s">
        <v>219</v>
      </c>
      <c r="C31" s="4" t="s">
        <v>220</v>
      </c>
      <c r="D31" s="4" t="s">
        <v>221</v>
      </c>
      <c r="E31" s="4" t="s">
        <v>222</v>
      </c>
      <c r="F31" s="4"/>
      <c r="G31" s="6" t="s">
        <v>223</v>
      </c>
      <c r="H31" s="4" t="s">
        <v>224</v>
      </c>
      <c r="I31" s="4" t="s">
        <v>225</v>
      </c>
      <c r="J31" s="4"/>
    </row>
    <row r="32" ht="12.75" customHeight="1">
      <c r="A32" s="4" t="s">
        <v>226</v>
      </c>
      <c r="B32" s="4" t="s">
        <v>227</v>
      </c>
      <c r="C32" s="4" t="s">
        <v>228</v>
      </c>
      <c r="D32" s="4" t="s">
        <v>229</v>
      </c>
      <c r="E32" s="4" t="s">
        <v>230</v>
      </c>
      <c r="F32" s="5" t="s">
        <v>55</v>
      </c>
      <c r="G32" s="6" t="s">
        <v>231</v>
      </c>
      <c r="H32" s="4" t="s">
        <v>232</v>
      </c>
      <c r="I32" s="4" t="s">
        <v>234</v>
      </c>
      <c r="J32" s="4"/>
    </row>
    <row r="33" ht="12.75" customHeight="1">
      <c r="A33" s="4" t="s">
        <v>235</v>
      </c>
      <c r="B33" s="4" t="s">
        <v>236</v>
      </c>
      <c r="C33" s="4" t="s">
        <v>237</v>
      </c>
      <c r="D33" s="4" t="s">
        <v>238</v>
      </c>
      <c r="E33" s="4" t="s">
        <v>240</v>
      </c>
      <c r="F33" s="5" t="s">
        <v>241</v>
      </c>
      <c r="G33" s="6" t="s">
        <v>242</v>
      </c>
      <c r="H33" s="4" t="s">
        <v>243</v>
      </c>
      <c r="I33" s="4" t="s">
        <v>244</v>
      </c>
      <c r="J33" s="4"/>
    </row>
    <row r="34" ht="12.75" customHeight="1">
      <c r="A34" s="4" t="s">
        <v>246</v>
      </c>
      <c r="B34" s="4" t="s">
        <v>247</v>
      </c>
      <c r="C34" s="4" t="s">
        <v>248</v>
      </c>
      <c r="D34" s="4" t="s">
        <v>249</v>
      </c>
      <c r="E34" s="4" t="s">
        <v>251</v>
      </c>
      <c r="F34" s="5" t="s">
        <v>198</v>
      </c>
      <c r="G34" s="6" t="s">
        <v>253</v>
      </c>
      <c r="H34" s="4" t="s">
        <v>254</v>
      </c>
      <c r="I34" s="4" t="s">
        <v>255</v>
      </c>
      <c r="J34" s="4"/>
    </row>
    <row r="35" ht="12.75" customHeight="1">
      <c r="A35" s="4" t="s">
        <v>256</v>
      </c>
      <c r="B35" s="4" t="s">
        <v>258</v>
      </c>
      <c r="C35" s="4" t="s">
        <v>259</v>
      </c>
      <c r="D35" s="4" t="s">
        <v>260</v>
      </c>
      <c r="E35" s="4" t="s">
        <v>261</v>
      </c>
      <c r="F35" s="5" t="s">
        <v>241</v>
      </c>
      <c r="G35" s="6" t="s">
        <v>263</v>
      </c>
      <c r="H35" s="4" t="s">
        <v>264</v>
      </c>
      <c r="I35" s="4" t="s">
        <v>265</v>
      </c>
      <c r="J35" s="4"/>
    </row>
    <row r="36" ht="12.75" customHeight="1">
      <c r="A36" s="4" t="s">
        <v>267</v>
      </c>
      <c r="B36" s="4" t="s">
        <v>268</v>
      </c>
      <c r="C36" s="4" t="s">
        <v>269</v>
      </c>
      <c r="D36" s="4" t="s">
        <v>270</v>
      </c>
      <c r="E36" s="4" t="s">
        <v>272</v>
      </c>
      <c r="F36" s="5" t="s">
        <v>273</v>
      </c>
      <c r="G36" s="6" t="s">
        <v>275</v>
      </c>
      <c r="H36" s="4" t="s">
        <v>276</v>
      </c>
      <c r="I36" s="4" t="s">
        <v>277</v>
      </c>
      <c r="J36" s="4"/>
    </row>
    <row r="37" ht="12.75" customHeight="1">
      <c r="A37" s="4" t="s">
        <v>279</v>
      </c>
      <c r="B37" s="4" t="s">
        <v>280</v>
      </c>
      <c r="C37" s="4" t="s">
        <v>281</v>
      </c>
      <c r="D37" s="4" t="s">
        <v>282</v>
      </c>
      <c r="E37" s="4" t="s">
        <v>283</v>
      </c>
      <c r="F37" s="5" t="s">
        <v>45</v>
      </c>
      <c r="G37" s="6" t="s">
        <v>284</v>
      </c>
      <c r="H37" s="4" t="s">
        <v>285</v>
      </c>
      <c r="I37" s="4" t="s">
        <v>286</v>
      </c>
      <c r="J37" s="4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9.57"/>
    <col customWidth="1" min="2" max="2" width="10.43"/>
    <col customWidth="1" min="3" max="3" width="9.71"/>
    <col customWidth="1" min="4" max="4" width="12.29"/>
    <col customWidth="1" min="5" max="23" width="6.57"/>
    <col customWidth="1" min="24" max="24" width="7.43"/>
    <col customWidth="1" min="25" max="25" width="6.57"/>
    <col customWidth="1" min="26" max="26" width="6.29"/>
    <col customWidth="1" min="27" max="30" width="5.43"/>
  </cols>
  <sheetData>
    <row r="1">
      <c r="A1" s="7" t="s">
        <v>154</v>
      </c>
      <c r="B1" s="8"/>
      <c r="C1" s="8"/>
      <c r="D1" s="7"/>
      <c r="E1" s="9" t="s">
        <v>185</v>
      </c>
      <c r="G1" s="10" t="s">
        <v>195</v>
      </c>
      <c r="J1" s="9" t="s">
        <v>233</v>
      </c>
      <c r="M1" s="10" t="s">
        <v>239</v>
      </c>
      <c r="P1" s="9" t="s">
        <v>245</v>
      </c>
      <c r="R1" s="10" t="s">
        <v>250</v>
      </c>
      <c r="S1" s="9" t="s">
        <v>252</v>
      </c>
      <c r="T1" s="10" t="s">
        <v>257</v>
      </c>
      <c r="V1" s="9" t="s">
        <v>262</v>
      </c>
      <c r="X1" s="10" t="s">
        <v>266</v>
      </c>
      <c r="Z1" s="9" t="s">
        <v>271</v>
      </c>
      <c r="AA1" s="10" t="s">
        <v>274</v>
      </c>
      <c r="AC1" s="10" t="s">
        <v>278</v>
      </c>
    </row>
    <row r="2">
      <c r="A2" s="11" t="s">
        <v>14</v>
      </c>
      <c r="B2" s="11" t="s">
        <v>16</v>
      </c>
      <c r="C2" s="11" t="s">
        <v>17</v>
      </c>
      <c r="D2" s="12" t="s">
        <v>18</v>
      </c>
      <c r="E2" s="13">
        <v>46125.0</v>
      </c>
      <c r="F2" s="13">
        <v>46127.0</v>
      </c>
      <c r="G2" s="13">
        <f>F2+5</f>
        <v>46132</v>
      </c>
      <c r="H2" s="14">
        <f>G2+2</f>
        <v>46134</v>
      </c>
      <c r="I2" s="12" t="s">
        <v>287</v>
      </c>
      <c r="J2" s="13">
        <f t="shared" ref="J2:K2" si="1">G2+7</f>
        <v>46139</v>
      </c>
      <c r="K2" s="13">
        <f t="shared" si="1"/>
        <v>46141</v>
      </c>
      <c r="L2" s="12" t="s">
        <v>288</v>
      </c>
      <c r="M2" s="13">
        <f t="shared" ref="M2:N2" si="2">J2+7</f>
        <v>46146</v>
      </c>
      <c r="N2" s="13">
        <f t="shared" si="2"/>
        <v>46148</v>
      </c>
      <c r="O2" s="12" t="s">
        <v>289</v>
      </c>
      <c r="P2" s="13">
        <f t="shared" ref="P2:Q2" si="3">M2+7</f>
        <v>46153</v>
      </c>
      <c r="Q2" s="13">
        <f t="shared" si="3"/>
        <v>46155</v>
      </c>
      <c r="R2" s="14">
        <f>Q2+7</f>
        <v>46162</v>
      </c>
      <c r="S2" s="13">
        <v>46167.0</v>
      </c>
      <c r="T2" s="13">
        <f>S2+7</f>
        <v>46174</v>
      </c>
      <c r="U2" s="13">
        <f>T2+2</f>
        <v>46176</v>
      </c>
      <c r="V2" s="13">
        <f t="shared" ref="V2:Z2" si="4">T2+7</f>
        <v>46181</v>
      </c>
      <c r="W2" s="13">
        <f t="shared" si="4"/>
        <v>46183</v>
      </c>
      <c r="X2" s="13">
        <f t="shared" si="4"/>
        <v>46188</v>
      </c>
      <c r="Y2" s="13">
        <f t="shared" si="4"/>
        <v>46190</v>
      </c>
      <c r="Z2" s="13">
        <f t="shared" si="4"/>
        <v>46195</v>
      </c>
      <c r="AA2" s="12" t="s">
        <v>290</v>
      </c>
      <c r="AB2" s="15" t="s">
        <v>291</v>
      </c>
      <c r="AC2" s="12" t="s">
        <v>290</v>
      </c>
      <c r="AD2" s="15" t="s">
        <v>291</v>
      </c>
    </row>
    <row r="3">
      <c r="A3" s="4" t="s">
        <v>24</v>
      </c>
      <c r="B3" s="4" t="s">
        <v>26</v>
      </c>
      <c r="C3" s="4" t="s">
        <v>27</v>
      </c>
      <c r="D3" s="5" t="s">
        <v>28</v>
      </c>
      <c r="E3" s="16"/>
      <c r="F3" s="16"/>
      <c r="G3" s="17" t="s">
        <v>292</v>
      </c>
      <c r="H3" s="17" t="s">
        <v>292</v>
      </c>
      <c r="I3" s="16"/>
      <c r="J3" s="17" t="s">
        <v>292</v>
      </c>
      <c r="K3" s="17" t="s">
        <v>292</v>
      </c>
      <c r="L3" s="16"/>
      <c r="M3" s="16"/>
      <c r="N3" s="16"/>
      <c r="O3" s="16"/>
      <c r="P3" s="17">
        <v>2.0</v>
      </c>
      <c r="Q3" s="16"/>
      <c r="R3" s="16"/>
      <c r="S3" s="16"/>
      <c r="T3" s="16"/>
      <c r="U3" s="16"/>
      <c r="V3" s="18">
        <v>2.0</v>
      </c>
      <c r="W3" s="17">
        <v>1.0</v>
      </c>
      <c r="X3" s="16"/>
      <c r="Y3" s="17" t="s">
        <v>293</v>
      </c>
      <c r="Z3" s="18">
        <v>2.0</v>
      </c>
      <c r="AA3" s="11">
        <f t="shared" ref="AA3:AA32" si="5">counta(E3:Z3)</f>
        <v>9</v>
      </c>
      <c r="AB3" s="19">
        <f t="shared" ref="AB3:AB12" si="6">AA3/(COUNTA(E$2:Z$2)-countif(E$2:Z$2,"prepa*"))</f>
        <v>0.4736842105</v>
      </c>
      <c r="AC3" s="11">
        <f t="shared" ref="AC3:AC33" si="7">SUM(E3:Z3)</f>
        <v>7</v>
      </c>
      <c r="AD3" s="19">
        <f t="shared" ref="AD3:AD12" si="8">AC3/(COUNTA(E$2:Z$2)-COUNTIF(E$2:Z$2,"prepa*"))</f>
        <v>0.3684210526</v>
      </c>
    </row>
    <row r="4">
      <c r="A4" s="4" t="s">
        <v>33</v>
      </c>
      <c r="B4" s="4" t="s">
        <v>35</v>
      </c>
      <c r="C4" s="4" t="s">
        <v>36</v>
      </c>
      <c r="D4" s="5" t="s">
        <v>37</v>
      </c>
      <c r="E4" s="17" t="s">
        <v>292</v>
      </c>
      <c r="F4" s="17" t="s">
        <v>292</v>
      </c>
      <c r="G4" s="17" t="s">
        <v>292</v>
      </c>
      <c r="H4" s="17" t="s">
        <v>293</v>
      </c>
      <c r="I4" s="16"/>
      <c r="J4" s="17" t="s">
        <v>292</v>
      </c>
      <c r="K4" s="17">
        <v>2.0</v>
      </c>
      <c r="L4" s="16"/>
      <c r="M4" s="17" t="s">
        <v>292</v>
      </c>
      <c r="N4" s="17">
        <v>2.0</v>
      </c>
      <c r="O4" s="16"/>
      <c r="P4" s="17">
        <v>1.0</v>
      </c>
      <c r="Q4" s="16"/>
      <c r="R4" s="16"/>
      <c r="S4" s="17">
        <v>1.0</v>
      </c>
      <c r="T4" s="17" t="s">
        <v>292</v>
      </c>
      <c r="U4" s="16"/>
      <c r="V4" s="16"/>
      <c r="W4" s="16"/>
      <c r="X4" s="16"/>
      <c r="Y4" s="17" t="s">
        <v>292</v>
      </c>
      <c r="Z4" s="16"/>
      <c r="AA4" s="11">
        <f t="shared" si="5"/>
        <v>12</v>
      </c>
      <c r="AB4" s="19">
        <f t="shared" si="6"/>
        <v>0.6315789474</v>
      </c>
      <c r="AC4" s="11">
        <f t="shared" si="7"/>
        <v>6</v>
      </c>
      <c r="AD4" s="19">
        <f t="shared" si="8"/>
        <v>0.3157894737</v>
      </c>
    </row>
    <row r="5">
      <c r="A5" s="4" t="s">
        <v>42</v>
      </c>
      <c r="B5" s="4" t="s">
        <v>44</v>
      </c>
      <c r="C5" s="4" t="s">
        <v>45</v>
      </c>
      <c r="D5" s="5" t="s">
        <v>46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1">
        <f t="shared" si="5"/>
        <v>0</v>
      </c>
      <c r="AB5" s="19">
        <f t="shared" si="6"/>
        <v>0</v>
      </c>
      <c r="AC5" s="11">
        <f t="shared" si="7"/>
        <v>0</v>
      </c>
      <c r="AD5" s="19">
        <f t="shared" si="8"/>
        <v>0</v>
      </c>
    </row>
    <row r="6">
      <c r="A6" s="4" t="s">
        <v>51</v>
      </c>
      <c r="B6" s="4" t="s">
        <v>53</v>
      </c>
      <c r="C6" s="4" t="s">
        <v>54</v>
      </c>
      <c r="D6" s="5" t="s">
        <v>55</v>
      </c>
      <c r="E6" s="17"/>
      <c r="F6" s="17" t="s">
        <v>292</v>
      </c>
      <c r="G6" s="16"/>
      <c r="H6" s="16"/>
      <c r="I6" s="16"/>
      <c r="J6" s="17">
        <v>1.0</v>
      </c>
      <c r="K6" s="17">
        <v>2.0</v>
      </c>
      <c r="L6" s="16"/>
      <c r="M6" s="17">
        <v>2.0</v>
      </c>
      <c r="N6" s="16"/>
      <c r="O6" s="16"/>
      <c r="P6" s="17">
        <v>2.0</v>
      </c>
      <c r="Q6" s="16"/>
      <c r="R6" s="17">
        <v>1.0</v>
      </c>
      <c r="S6" s="16"/>
      <c r="T6" s="16"/>
      <c r="U6" s="16"/>
      <c r="V6" s="17">
        <v>2.0</v>
      </c>
      <c r="W6" s="16"/>
      <c r="X6" s="16"/>
      <c r="Y6" s="16"/>
      <c r="Z6" s="16"/>
      <c r="AA6" s="11">
        <f t="shared" si="5"/>
        <v>7</v>
      </c>
      <c r="AB6" s="19">
        <f t="shared" si="6"/>
        <v>0.3684210526</v>
      </c>
      <c r="AC6" s="11">
        <f t="shared" si="7"/>
        <v>10</v>
      </c>
      <c r="AD6" s="19">
        <f t="shared" si="8"/>
        <v>0.5263157895</v>
      </c>
    </row>
    <row r="7">
      <c r="A7" s="4" t="s">
        <v>60</v>
      </c>
      <c r="B7" s="4" t="s">
        <v>62</v>
      </c>
      <c r="C7" s="4" t="s">
        <v>63</v>
      </c>
      <c r="D7" s="5" t="s">
        <v>64</v>
      </c>
      <c r="E7" s="17" t="s">
        <v>292</v>
      </c>
      <c r="F7" s="16"/>
      <c r="G7" s="17" t="s">
        <v>292</v>
      </c>
      <c r="H7" s="16"/>
      <c r="I7" s="16"/>
      <c r="J7" s="17" t="s">
        <v>292</v>
      </c>
      <c r="K7" s="17">
        <v>2.0</v>
      </c>
      <c r="L7" s="17" t="s">
        <v>292</v>
      </c>
      <c r="M7" s="17" t="s">
        <v>292</v>
      </c>
      <c r="N7" s="17" t="s">
        <v>292</v>
      </c>
      <c r="O7" s="17" t="s">
        <v>292</v>
      </c>
      <c r="P7" s="17">
        <v>2.0</v>
      </c>
      <c r="Q7" s="17" t="s">
        <v>292</v>
      </c>
      <c r="R7" s="17" t="s">
        <v>292</v>
      </c>
      <c r="S7" s="17">
        <v>2.0</v>
      </c>
      <c r="T7" s="17" t="s">
        <v>292</v>
      </c>
      <c r="U7" s="17">
        <v>2.0</v>
      </c>
      <c r="V7" s="17">
        <v>2.0</v>
      </c>
      <c r="W7" s="17" t="s">
        <v>294</v>
      </c>
      <c r="X7" s="17" t="s">
        <v>292</v>
      </c>
      <c r="Y7" s="18">
        <v>2.0</v>
      </c>
      <c r="Z7" s="16"/>
      <c r="AA7" s="11">
        <f t="shared" si="5"/>
        <v>18</v>
      </c>
      <c r="AB7" s="19">
        <f t="shared" si="6"/>
        <v>0.9473684211</v>
      </c>
      <c r="AC7" s="11">
        <f t="shared" si="7"/>
        <v>12</v>
      </c>
      <c r="AD7" s="19">
        <f t="shared" si="8"/>
        <v>0.6315789474</v>
      </c>
    </row>
    <row r="8">
      <c r="A8" s="4" t="s">
        <v>69</v>
      </c>
      <c r="B8" s="4" t="s">
        <v>71</v>
      </c>
      <c r="C8" s="4" t="s">
        <v>72</v>
      </c>
      <c r="D8" s="5" t="s">
        <v>73</v>
      </c>
      <c r="E8" s="17" t="s">
        <v>292</v>
      </c>
      <c r="F8" s="17">
        <v>1.0</v>
      </c>
      <c r="G8" s="17" t="s">
        <v>292</v>
      </c>
      <c r="H8" s="16"/>
      <c r="I8" s="16"/>
      <c r="J8" s="16"/>
      <c r="K8" s="16"/>
      <c r="L8" s="16"/>
      <c r="M8" s="17" t="s">
        <v>292</v>
      </c>
      <c r="N8" s="16"/>
      <c r="O8" s="17" t="s">
        <v>292</v>
      </c>
      <c r="P8" s="16"/>
      <c r="Q8" s="17">
        <v>1.0</v>
      </c>
      <c r="R8" s="16"/>
      <c r="S8" s="16"/>
      <c r="T8" s="16"/>
      <c r="U8" s="16"/>
      <c r="V8" s="16"/>
      <c r="W8" s="16"/>
      <c r="X8" s="16"/>
      <c r="Y8" s="16"/>
      <c r="Z8" s="16"/>
      <c r="AA8" s="11">
        <f t="shared" si="5"/>
        <v>6</v>
      </c>
      <c r="AB8" s="19">
        <f t="shared" si="6"/>
        <v>0.3157894737</v>
      </c>
      <c r="AC8" s="11">
        <f t="shared" si="7"/>
        <v>2</v>
      </c>
      <c r="AD8" s="19">
        <f t="shared" si="8"/>
        <v>0.1052631579</v>
      </c>
    </row>
    <row r="9">
      <c r="A9" s="4" t="s">
        <v>78</v>
      </c>
      <c r="B9" s="4" t="s">
        <v>80</v>
      </c>
      <c r="C9" s="4" t="s">
        <v>81</v>
      </c>
      <c r="D9" s="5" t="s">
        <v>82</v>
      </c>
      <c r="E9" s="17">
        <v>1.0</v>
      </c>
      <c r="F9" s="16"/>
      <c r="G9" s="17">
        <v>3.0</v>
      </c>
      <c r="H9" s="17">
        <v>1.0</v>
      </c>
      <c r="I9" s="16"/>
      <c r="J9" s="17">
        <v>1.0</v>
      </c>
      <c r="K9" s="17" t="s">
        <v>292</v>
      </c>
      <c r="L9" s="16"/>
      <c r="M9" s="17">
        <v>4.0</v>
      </c>
      <c r="N9" s="17" t="s">
        <v>292</v>
      </c>
      <c r="O9" s="16"/>
      <c r="P9" s="16"/>
      <c r="Q9" s="17">
        <v>2.0</v>
      </c>
      <c r="R9" s="16"/>
      <c r="S9" s="16"/>
      <c r="T9" s="17">
        <v>2.0</v>
      </c>
      <c r="U9" s="16"/>
      <c r="V9" s="16"/>
      <c r="W9" s="17">
        <v>1.0</v>
      </c>
      <c r="X9" s="16"/>
      <c r="Y9" s="16"/>
      <c r="Z9" s="17">
        <v>4.0</v>
      </c>
      <c r="AA9" s="11">
        <f t="shared" si="5"/>
        <v>11</v>
      </c>
      <c r="AB9" s="19">
        <f t="shared" si="6"/>
        <v>0.5789473684</v>
      </c>
      <c r="AC9" s="11">
        <f t="shared" si="7"/>
        <v>19</v>
      </c>
      <c r="AD9" s="19">
        <f t="shared" si="8"/>
        <v>1</v>
      </c>
    </row>
    <row r="10">
      <c r="A10" s="4" t="s">
        <v>87</v>
      </c>
      <c r="B10" s="4" t="s">
        <v>89</v>
      </c>
      <c r="C10" s="4" t="s">
        <v>90</v>
      </c>
      <c r="D10" s="4"/>
      <c r="E10" s="17"/>
      <c r="F10" s="17" t="s">
        <v>292</v>
      </c>
      <c r="G10" s="17" t="s">
        <v>292</v>
      </c>
      <c r="H10" s="17" t="s">
        <v>292</v>
      </c>
      <c r="I10" s="16"/>
      <c r="J10" s="17" t="s">
        <v>292</v>
      </c>
      <c r="K10" s="16"/>
      <c r="L10" s="16"/>
      <c r="M10" s="17" t="s">
        <v>292</v>
      </c>
      <c r="N10" s="16"/>
      <c r="O10" s="16"/>
      <c r="P10" s="16"/>
      <c r="Q10" s="16"/>
      <c r="R10" s="16"/>
      <c r="S10" s="17" t="s">
        <v>295</v>
      </c>
      <c r="T10" s="17" t="s">
        <v>292</v>
      </c>
      <c r="U10" s="17" t="s">
        <v>292</v>
      </c>
      <c r="V10" s="16"/>
      <c r="W10" s="16"/>
      <c r="X10" s="16"/>
      <c r="Y10" s="17" t="s">
        <v>292</v>
      </c>
      <c r="Z10" s="16"/>
      <c r="AA10" s="11">
        <f t="shared" si="5"/>
        <v>9</v>
      </c>
      <c r="AB10" s="19">
        <f t="shared" si="6"/>
        <v>0.4736842105</v>
      </c>
      <c r="AC10" s="11">
        <f t="shared" si="7"/>
        <v>0</v>
      </c>
      <c r="AD10" s="19">
        <f t="shared" si="8"/>
        <v>0</v>
      </c>
    </row>
    <row r="11" hidden="1">
      <c r="A11" s="4" t="s">
        <v>95</v>
      </c>
      <c r="B11" s="4" t="s">
        <v>97</v>
      </c>
      <c r="C11" s="4" t="s">
        <v>98</v>
      </c>
      <c r="D11" s="5" t="s">
        <v>99</v>
      </c>
      <c r="E11" s="16"/>
      <c r="F11" s="16"/>
      <c r="G11" s="17" t="s">
        <v>292</v>
      </c>
      <c r="H11" s="17" t="s">
        <v>292</v>
      </c>
      <c r="I11" s="16"/>
      <c r="J11" s="16"/>
      <c r="K11" s="17" t="s">
        <v>292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1">
        <f t="shared" si="5"/>
        <v>3</v>
      </c>
      <c r="AB11" s="19">
        <f t="shared" si="6"/>
        <v>0.1578947368</v>
      </c>
      <c r="AC11" s="11">
        <f t="shared" si="7"/>
        <v>0</v>
      </c>
      <c r="AD11" s="19">
        <f t="shared" si="8"/>
        <v>0</v>
      </c>
    </row>
    <row r="12">
      <c r="A12" s="4" t="s">
        <v>104</v>
      </c>
      <c r="B12" s="4" t="s">
        <v>106</v>
      </c>
      <c r="C12" s="4" t="s">
        <v>107</v>
      </c>
      <c r="D12" s="5" t="s">
        <v>108</v>
      </c>
      <c r="E12" s="17" t="s">
        <v>292</v>
      </c>
      <c r="F12" s="16"/>
      <c r="G12" s="17" t="s">
        <v>292</v>
      </c>
      <c r="H12" s="17" t="s">
        <v>292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7" t="s">
        <v>292</v>
      </c>
      <c r="W12" s="17">
        <v>1.0</v>
      </c>
      <c r="X12" s="16"/>
      <c r="Y12" s="17">
        <v>2.0</v>
      </c>
      <c r="Z12" s="16"/>
      <c r="AA12" s="11">
        <f t="shared" si="5"/>
        <v>6</v>
      </c>
      <c r="AB12" s="19">
        <f t="shared" si="6"/>
        <v>0.3157894737</v>
      </c>
      <c r="AC12" s="11">
        <f t="shared" si="7"/>
        <v>3</v>
      </c>
      <c r="AD12" s="19">
        <f t="shared" si="8"/>
        <v>0.1578947368</v>
      </c>
    </row>
    <row r="13">
      <c r="A13" s="4" t="s">
        <v>113</v>
      </c>
      <c r="B13" s="4" t="s">
        <v>115</v>
      </c>
      <c r="C13" s="4" t="s">
        <v>116</v>
      </c>
      <c r="D13" s="5" t="s">
        <v>117</v>
      </c>
      <c r="E13" s="17"/>
      <c r="F13" s="17" t="s">
        <v>292</v>
      </c>
      <c r="G13" s="17" t="s">
        <v>292</v>
      </c>
      <c r="H13" s="16"/>
      <c r="I13" s="16"/>
      <c r="J13" s="17" t="s">
        <v>292</v>
      </c>
      <c r="K13" s="17">
        <v>2.0</v>
      </c>
      <c r="L13" s="16"/>
      <c r="M13" s="17" t="s">
        <v>292</v>
      </c>
      <c r="N13" s="17">
        <v>2.0</v>
      </c>
      <c r="O13" s="16"/>
      <c r="P13" s="20" t="s">
        <v>296</v>
      </c>
      <c r="Q13" s="20" t="s">
        <v>296</v>
      </c>
      <c r="R13" s="20" t="s">
        <v>296</v>
      </c>
      <c r="S13" s="20" t="s">
        <v>296</v>
      </c>
      <c r="T13" s="17" t="s">
        <v>292</v>
      </c>
      <c r="U13" s="17" t="s">
        <v>292</v>
      </c>
      <c r="V13" s="17" t="s">
        <v>292</v>
      </c>
      <c r="W13" s="17" t="s">
        <v>292</v>
      </c>
      <c r="X13" s="17" t="s">
        <v>293</v>
      </c>
      <c r="Y13" s="17" t="s">
        <v>292</v>
      </c>
      <c r="Z13" s="17" t="s">
        <v>292</v>
      </c>
      <c r="AA13" s="11">
        <f t="shared" si="5"/>
        <v>17</v>
      </c>
      <c r="AB13" s="19">
        <f>AA13/(COUNTA(E$2:Z$2)-COUNTIF(E$2:Z$2,"prepa*")-4)</f>
        <v>1.133333333</v>
      </c>
      <c r="AC13" s="11">
        <f t="shared" si="7"/>
        <v>4</v>
      </c>
      <c r="AD13" s="19">
        <f>AC13/(COUNTA(E$2:Z$2)-COUNTIF(E$2:Z$2,"prepa*")-4)</f>
        <v>0.2666666667</v>
      </c>
    </row>
    <row r="14">
      <c r="A14" s="4" t="s">
        <v>122</v>
      </c>
      <c r="B14" s="4" t="s">
        <v>124</v>
      </c>
      <c r="C14" s="4" t="s">
        <v>125</v>
      </c>
      <c r="D14" s="5" t="s">
        <v>126</v>
      </c>
      <c r="E14" s="16"/>
      <c r="F14" s="16"/>
      <c r="G14" s="16"/>
      <c r="H14" s="16"/>
      <c r="I14" s="16"/>
      <c r="J14" s="17" t="s">
        <v>292</v>
      </c>
      <c r="K14" s="17">
        <v>2.0</v>
      </c>
      <c r="L14" s="16"/>
      <c r="M14" s="16"/>
      <c r="N14" s="16"/>
      <c r="O14" s="16"/>
      <c r="P14" s="17" t="s">
        <v>292</v>
      </c>
      <c r="Q14" s="16"/>
      <c r="R14" s="16"/>
      <c r="S14" s="17" t="s">
        <v>292</v>
      </c>
      <c r="T14" s="16"/>
      <c r="U14" s="16"/>
      <c r="V14" s="16"/>
      <c r="W14" s="16"/>
      <c r="X14" s="16"/>
      <c r="Y14" s="16"/>
      <c r="Z14" s="16"/>
      <c r="AA14" s="11">
        <f t="shared" si="5"/>
        <v>4</v>
      </c>
      <c r="AB14" s="19">
        <f t="shared" ref="AB14:AB32" si="9">AA14/(COUNTA(E$2:Z$2)-countif(E$2:Z$2,"prepa*"))</f>
        <v>0.2105263158</v>
      </c>
      <c r="AC14" s="11">
        <f t="shared" si="7"/>
        <v>2</v>
      </c>
      <c r="AD14" s="19">
        <f t="shared" ref="AD14:AD32" si="10">AC14/(COUNTA(E$2:Z$2)-COUNTIF(E$2:Z$2,"prepa*"))</f>
        <v>0.1052631579</v>
      </c>
    </row>
    <row r="15">
      <c r="A15" s="4" t="s">
        <v>131</v>
      </c>
      <c r="B15" s="4" t="s">
        <v>133</v>
      </c>
      <c r="C15" s="4" t="s">
        <v>134</v>
      </c>
      <c r="D15" s="5" t="s">
        <v>135</v>
      </c>
      <c r="E15" s="16"/>
      <c r="F15" s="16"/>
      <c r="G15" s="16"/>
      <c r="H15" s="16"/>
      <c r="I15" s="16"/>
      <c r="J15" s="16"/>
      <c r="K15" s="16"/>
      <c r="L15" s="16"/>
      <c r="M15" s="17">
        <v>3.0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1">
        <f t="shared" si="5"/>
        <v>1</v>
      </c>
      <c r="AB15" s="19">
        <f t="shared" si="9"/>
        <v>0.05263157895</v>
      </c>
      <c r="AC15" s="11">
        <f t="shared" si="7"/>
        <v>3</v>
      </c>
      <c r="AD15" s="19">
        <f t="shared" si="10"/>
        <v>0.1578947368</v>
      </c>
    </row>
    <row r="16">
      <c r="A16" s="4" t="s">
        <v>140</v>
      </c>
      <c r="B16" s="4" t="s">
        <v>142</v>
      </c>
      <c r="C16" s="4" t="s">
        <v>108</v>
      </c>
      <c r="D16" s="5" t="s">
        <v>99</v>
      </c>
      <c r="E16" s="17" t="s">
        <v>292</v>
      </c>
      <c r="F16" s="17" t="s">
        <v>292</v>
      </c>
      <c r="G16" s="17" t="s">
        <v>292</v>
      </c>
      <c r="H16" s="17" t="s">
        <v>295</v>
      </c>
      <c r="I16" s="16"/>
      <c r="J16" s="16"/>
      <c r="K16" s="16"/>
      <c r="L16" s="16"/>
      <c r="M16" s="16"/>
      <c r="N16" s="17" t="s">
        <v>292</v>
      </c>
      <c r="O16" s="16"/>
      <c r="P16" s="16"/>
      <c r="Q16" s="16"/>
      <c r="R16" s="16"/>
      <c r="S16" s="16"/>
      <c r="T16" s="17" t="s">
        <v>292</v>
      </c>
      <c r="U16" s="18">
        <v>2.0</v>
      </c>
      <c r="V16" s="16"/>
      <c r="W16" s="16"/>
      <c r="X16" s="16"/>
      <c r="Y16" s="16"/>
      <c r="Z16" s="16"/>
      <c r="AA16" s="11">
        <f t="shared" si="5"/>
        <v>7</v>
      </c>
      <c r="AB16" s="19">
        <f t="shared" si="9"/>
        <v>0.3684210526</v>
      </c>
      <c r="AC16" s="11">
        <f t="shared" si="7"/>
        <v>2</v>
      </c>
      <c r="AD16" s="19">
        <f t="shared" si="10"/>
        <v>0.1052631579</v>
      </c>
    </row>
    <row r="17">
      <c r="A17" s="4" t="s">
        <v>147</v>
      </c>
      <c r="B17" s="4" t="s">
        <v>149</v>
      </c>
      <c r="C17" s="4" t="s">
        <v>55</v>
      </c>
      <c r="D17" s="5" t="s">
        <v>150</v>
      </c>
      <c r="E17" s="17" t="s">
        <v>292</v>
      </c>
      <c r="F17" s="16"/>
      <c r="G17" s="16"/>
      <c r="H17" s="16"/>
      <c r="I17" s="16"/>
      <c r="J17" s="16"/>
      <c r="K17" s="17" t="s">
        <v>292</v>
      </c>
      <c r="L17" s="16"/>
      <c r="M17" s="17" t="s">
        <v>292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1">
        <f t="shared" si="5"/>
        <v>3</v>
      </c>
      <c r="AB17" s="19">
        <f t="shared" si="9"/>
        <v>0.1578947368</v>
      </c>
      <c r="AC17" s="11">
        <f t="shared" si="7"/>
        <v>0</v>
      </c>
      <c r="AD17" s="19">
        <f t="shared" si="10"/>
        <v>0</v>
      </c>
    </row>
    <row r="18">
      <c r="A18" s="4" t="s">
        <v>156</v>
      </c>
      <c r="B18" s="4" t="s">
        <v>149</v>
      </c>
      <c r="C18" s="4" t="s">
        <v>158</v>
      </c>
      <c r="D18" s="5" t="s">
        <v>159</v>
      </c>
      <c r="E18" s="17">
        <v>1.0</v>
      </c>
      <c r="F18" s="16"/>
      <c r="G18" s="17" t="s">
        <v>292</v>
      </c>
      <c r="H18" s="16"/>
      <c r="I18" s="16"/>
      <c r="J18" s="16"/>
      <c r="K18" s="17" t="s">
        <v>292</v>
      </c>
      <c r="L18" s="16"/>
      <c r="M18" s="17" t="s">
        <v>292</v>
      </c>
      <c r="N18" s="17">
        <v>3.0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7" t="s">
        <v>292</v>
      </c>
      <c r="Z18" s="16"/>
      <c r="AA18" s="11">
        <f t="shared" si="5"/>
        <v>6</v>
      </c>
      <c r="AB18" s="19">
        <f t="shared" si="9"/>
        <v>0.3157894737</v>
      </c>
      <c r="AC18" s="11">
        <f t="shared" si="7"/>
        <v>4</v>
      </c>
      <c r="AD18" s="19">
        <f t="shared" si="10"/>
        <v>0.2105263158</v>
      </c>
    </row>
    <row r="19">
      <c r="A19" s="4" t="s">
        <v>163</v>
      </c>
      <c r="B19" s="4" t="s">
        <v>165</v>
      </c>
      <c r="C19" s="4" t="s">
        <v>99</v>
      </c>
      <c r="D19" s="5" t="s">
        <v>166</v>
      </c>
      <c r="E19" s="17" t="s">
        <v>292</v>
      </c>
      <c r="F19" s="17" t="s">
        <v>292</v>
      </c>
      <c r="G19" s="16"/>
      <c r="H19" s="17" t="s">
        <v>292</v>
      </c>
      <c r="I19" s="16"/>
      <c r="J19" s="17" t="s">
        <v>292</v>
      </c>
      <c r="K19" s="17">
        <v>2.0</v>
      </c>
      <c r="L19" s="16"/>
      <c r="M19" s="16"/>
      <c r="N19" s="16"/>
      <c r="O19" s="16"/>
      <c r="P19" s="16"/>
      <c r="Q19" s="16"/>
      <c r="R19" s="16"/>
      <c r="S19" s="17" t="s">
        <v>295</v>
      </c>
      <c r="T19" s="16"/>
      <c r="U19" s="17" t="s">
        <v>292</v>
      </c>
      <c r="V19" s="16"/>
      <c r="W19" s="16"/>
      <c r="X19" s="16"/>
      <c r="Y19" s="16"/>
      <c r="Z19" s="16"/>
      <c r="AA19" s="11">
        <f t="shared" si="5"/>
        <v>7</v>
      </c>
      <c r="AB19" s="19">
        <f t="shared" si="9"/>
        <v>0.3684210526</v>
      </c>
      <c r="AC19" s="11">
        <f t="shared" si="7"/>
        <v>2</v>
      </c>
      <c r="AD19" s="19">
        <f t="shared" si="10"/>
        <v>0.1052631579</v>
      </c>
    </row>
    <row r="20">
      <c r="A20" s="4" t="s">
        <v>171</v>
      </c>
      <c r="B20" s="4" t="s">
        <v>173</v>
      </c>
      <c r="C20" s="4" t="s">
        <v>174</v>
      </c>
      <c r="D20" s="5" t="s">
        <v>45</v>
      </c>
      <c r="E20" s="17">
        <v>1.0</v>
      </c>
      <c r="F20" s="17">
        <v>1.0</v>
      </c>
      <c r="G20" s="17" t="s">
        <v>292</v>
      </c>
      <c r="H20" s="17" t="s">
        <v>292</v>
      </c>
      <c r="I20" s="16"/>
      <c r="J20" s="16"/>
      <c r="K20" s="16"/>
      <c r="L20" s="16"/>
      <c r="M20" s="17" t="s">
        <v>292</v>
      </c>
      <c r="N20" s="17">
        <v>2.0</v>
      </c>
      <c r="O20" s="16"/>
      <c r="P20" s="16"/>
      <c r="Q20" s="17" t="s">
        <v>292</v>
      </c>
      <c r="R20" s="16"/>
      <c r="S20" s="16"/>
      <c r="T20" s="16"/>
      <c r="U20" s="16"/>
      <c r="V20" s="16"/>
      <c r="W20" s="16"/>
      <c r="X20" s="16"/>
      <c r="Y20" s="16"/>
      <c r="Z20" s="16"/>
      <c r="AA20" s="11">
        <f t="shared" si="5"/>
        <v>7</v>
      </c>
      <c r="AB20" s="19">
        <f t="shared" si="9"/>
        <v>0.3684210526</v>
      </c>
      <c r="AC20" s="11">
        <f t="shared" si="7"/>
        <v>4</v>
      </c>
      <c r="AD20" s="19">
        <f t="shared" si="10"/>
        <v>0.2105263158</v>
      </c>
    </row>
    <row r="21">
      <c r="A21" s="4" t="s">
        <v>179</v>
      </c>
      <c r="B21" s="4" t="s">
        <v>173</v>
      </c>
      <c r="C21" s="4" t="s">
        <v>54</v>
      </c>
      <c r="D21" s="5" t="s">
        <v>55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1">
        <f t="shared" si="5"/>
        <v>0</v>
      </c>
      <c r="AB21" s="19">
        <f t="shared" si="9"/>
        <v>0</v>
      </c>
      <c r="AC21" s="11">
        <f t="shared" si="7"/>
        <v>0</v>
      </c>
      <c r="AD21" s="19">
        <f t="shared" si="10"/>
        <v>0</v>
      </c>
    </row>
    <row r="22">
      <c r="A22" s="4" t="s">
        <v>186</v>
      </c>
      <c r="B22" s="4" t="s">
        <v>188</v>
      </c>
      <c r="C22" s="4" t="s">
        <v>189</v>
      </c>
      <c r="D22" s="5" t="s">
        <v>55</v>
      </c>
      <c r="E22" s="17" t="s">
        <v>292</v>
      </c>
      <c r="F22" s="17">
        <v>1.0</v>
      </c>
      <c r="G22" s="17" t="s">
        <v>292</v>
      </c>
      <c r="H22" s="21" t="s">
        <v>295</v>
      </c>
      <c r="I22" s="16"/>
      <c r="J22" s="17" t="s">
        <v>295</v>
      </c>
      <c r="K22" s="17">
        <v>2.0</v>
      </c>
      <c r="L22" s="16"/>
      <c r="M22" s="17" t="s">
        <v>292</v>
      </c>
      <c r="N22" s="17">
        <v>2.0</v>
      </c>
      <c r="O22" s="16"/>
      <c r="P22" s="17" t="s">
        <v>295</v>
      </c>
      <c r="Q22" s="17">
        <v>1.0</v>
      </c>
      <c r="R22" s="16"/>
      <c r="S22" s="16"/>
      <c r="T22" s="17">
        <v>1.0</v>
      </c>
      <c r="U22" s="18">
        <v>2.0</v>
      </c>
      <c r="V22" s="17" t="s">
        <v>295</v>
      </c>
      <c r="W22" s="16"/>
      <c r="X22" s="22">
        <v>1.0</v>
      </c>
      <c r="Y22" s="16"/>
      <c r="Z22" s="17" t="s">
        <v>295</v>
      </c>
      <c r="AA22" s="11">
        <f t="shared" si="5"/>
        <v>15</v>
      </c>
      <c r="AB22" s="19">
        <f t="shared" si="9"/>
        <v>0.7894736842</v>
      </c>
      <c r="AC22" s="11">
        <f t="shared" si="7"/>
        <v>10</v>
      </c>
      <c r="AD22" s="19">
        <f t="shared" si="10"/>
        <v>0.5263157895</v>
      </c>
    </row>
    <row r="23">
      <c r="A23" s="4" t="s">
        <v>194</v>
      </c>
      <c r="B23" s="4" t="s">
        <v>197</v>
      </c>
      <c r="C23" s="4" t="s">
        <v>55</v>
      </c>
      <c r="D23" s="5" t="s">
        <v>198</v>
      </c>
      <c r="E23" s="17"/>
      <c r="F23" s="17" t="s">
        <v>292</v>
      </c>
      <c r="G23" s="16"/>
      <c r="H23" s="16"/>
      <c r="I23" s="16"/>
      <c r="J23" s="17" t="s">
        <v>292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1">
        <f t="shared" si="5"/>
        <v>2</v>
      </c>
      <c r="AB23" s="19">
        <f t="shared" si="9"/>
        <v>0.1052631579</v>
      </c>
      <c r="AC23" s="11">
        <f t="shared" si="7"/>
        <v>0</v>
      </c>
      <c r="AD23" s="19">
        <f t="shared" si="10"/>
        <v>0</v>
      </c>
    </row>
    <row r="24">
      <c r="A24" s="4" t="s">
        <v>203</v>
      </c>
      <c r="B24" s="4" t="s">
        <v>205</v>
      </c>
      <c r="C24" s="4" t="s">
        <v>206</v>
      </c>
      <c r="D24" s="5" t="s">
        <v>54</v>
      </c>
      <c r="E24" s="17" t="s">
        <v>292</v>
      </c>
      <c r="F24" s="16"/>
      <c r="G24" s="17">
        <v>4.0</v>
      </c>
      <c r="H24" s="17">
        <v>1.0</v>
      </c>
      <c r="I24" s="16"/>
      <c r="J24" s="16"/>
      <c r="K24" s="16"/>
      <c r="L24" s="16"/>
      <c r="M24" s="16"/>
      <c r="N24" s="17">
        <v>1.0</v>
      </c>
      <c r="O24" s="16"/>
      <c r="P24" s="17" t="s">
        <v>295</v>
      </c>
      <c r="Q24" s="18">
        <v>2.0</v>
      </c>
      <c r="R24" s="16"/>
      <c r="S24" s="18">
        <v>2.0</v>
      </c>
      <c r="T24" s="16"/>
      <c r="U24" s="16"/>
      <c r="V24" s="16"/>
      <c r="W24" s="16"/>
      <c r="X24" s="18">
        <v>5.0</v>
      </c>
      <c r="Y24" s="16"/>
      <c r="Z24" s="17" t="s">
        <v>295</v>
      </c>
      <c r="AA24" s="11">
        <f t="shared" si="5"/>
        <v>9</v>
      </c>
      <c r="AB24" s="19">
        <f t="shared" si="9"/>
        <v>0.4736842105</v>
      </c>
      <c r="AC24" s="11">
        <f t="shared" si="7"/>
        <v>15</v>
      </c>
      <c r="AD24" s="19">
        <f t="shared" si="10"/>
        <v>0.7894736842</v>
      </c>
    </row>
    <row r="25">
      <c r="A25" s="4" t="s">
        <v>211</v>
      </c>
      <c r="B25" s="4" t="s">
        <v>213</v>
      </c>
      <c r="C25" s="4" t="s">
        <v>214</v>
      </c>
      <c r="D25" s="5" t="s">
        <v>27</v>
      </c>
      <c r="E25" s="17" t="s">
        <v>293</v>
      </c>
      <c r="F25" s="17" t="s">
        <v>292</v>
      </c>
      <c r="G25" s="17" t="s">
        <v>292</v>
      </c>
      <c r="H25" s="16"/>
      <c r="I25" s="16"/>
      <c r="J25" s="16"/>
      <c r="K25" s="17" t="s">
        <v>292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1">
        <f t="shared" si="5"/>
        <v>4</v>
      </c>
      <c r="AB25" s="19">
        <f t="shared" si="9"/>
        <v>0.2105263158</v>
      </c>
      <c r="AC25" s="11">
        <f t="shared" si="7"/>
        <v>0</v>
      </c>
      <c r="AD25" s="19">
        <f t="shared" si="10"/>
        <v>0</v>
      </c>
    </row>
    <row r="26">
      <c r="A26" s="4" t="s">
        <v>219</v>
      </c>
      <c r="B26" s="4" t="s">
        <v>221</v>
      </c>
      <c r="C26" s="4" t="s">
        <v>222</v>
      </c>
      <c r="D26" s="4"/>
      <c r="E26" s="16"/>
      <c r="F26" s="16"/>
      <c r="G26" s="17" t="s">
        <v>293</v>
      </c>
      <c r="H26" s="16"/>
      <c r="I26" s="16"/>
      <c r="J26" s="17" t="s">
        <v>292</v>
      </c>
      <c r="K26" s="17" t="s">
        <v>292</v>
      </c>
      <c r="L26" s="16"/>
      <c r="M26" s="17" t="s">
        <v>292</v>
      </c>
      <c r="N26" s="16"/>
      <c r="O26" s="17" t="s">
        <v>292</v>
      </c>
      <c r="P26" s="16"/>
      <c r="Q26" s="16"/>
      <c r="R26" s="17" t="s">
        <v>292</v>
      </c>
      <c r="S26" s="16"/>
      <c r="T26" s="16"/>
      <c r="U26" s="16"/>
      <c r="V26" s="16"/>
      <c r="W26" s="16"/>
      <c r="X26" s="16"/>
      <c r="Y26" s="16"/>
      <c r="Z26" s="16"/>
      <c r="AA26" s="11">
        <f t="shared" si="5"/>
        <v>6</v>
      </c>
      <c r="AB26" s="19">
        <f t="shared" si="9"/>
        <v>0.3157894737</v>
      </c>
      <c r="AC26" s="11">
        <f t="shared" si="7"/>
        <v>0</v>
      </c>
      <c r="AD26" s="19">
        <f t="shared" si="10"/>
        <v>0</v>
      </c>
    </row>
    <row r="27">
      <c r="A27" s="4" t="s">
        <v>227</v>
      </c>
      <c r="B27" s="4" t="s">
        <v>229</v>
      </c>
      <c r="C27" s="4" t="s">
        <v>230</v>
      </c>
      <c r="D27" s="5" t="s">
        <v>55</v>
      </c>
      <c r="E27" s="16"/>
      <c r="F27" s="16"/>
      <c r="G27" s="16"/>
      <c r="H27" s="16"/>
      <c r="I27" s="16"/>
      <c r="J27" s="16"/>
      <c r="K27" s="17" t="s">
        <v>292</v>
      </c>
      <c r="L27" s="17" t="s">
        <v>292</v>
      </c>
      <c r="M27" s="17" t="s">
        <v>292</v>
      </c>
      <c r="N27" s="17">
        <v>1.0</v>
      </c>
      <c r="O27" s="16"/>
      <c r="P27" s="17">
        <v>2.0</v>
      </c>
      <c r="Q27" s="16"/>
      <c r="R27" s="17">
        <v>1.0</v>
      </c>
      <c r="S27" s="16"/>
      <c r="T27" s="16"/>
      <c r="U27" s="17">
        <v>2.0</v>
      </c>
      <c r="V27" s="16"/>
      <c r="W27" s="17">
        <v>1.0</v>
      </c>
      <c r="X27" s="16"/>
      <c r="Y27" s="17">
        <v>2.0</v>
      </c>
      <c r="Z27" s="18">
        <v>2.0</v>
      </c>
      <c r="AA27" s="11">
        <f t="shared" si="5"/>
        <v>10</v>
      </c>
      <c r="AB27" s="19">
        <f t="shared" si="9"/>
        <v>0.5263157895</v>
      </c>
      <c r="AC27" s="11">
        <f t="shared" si="7"/>
        <v>11</v>
      </c>
      <c r="AD27" s="19">
        <f t="shared" si="10"/>
        <v>0.5789473684</v>
      </c>
    </row>
    <row r="28">
      <c r="A28" s="4" t="s">
        <v>236</v>
      </c>
      <c r="B28" s="4" t="s">
        <v>238</v>
      </c>
      <c r="C28" s="4" t="s">
        <v>240</v>
      </c>
      <c r="D28" s="5" t="s">
        <v>241</v>
      </c>
      <c r="E28" s="17"/>
      <c r="F28" s="17" t="s">
        <v>292</v>
      </c>
      <c r="G28" s="17">
        <v>2.0</v>
      </c>
      <c r="H28" s="16"/>
      <c r="I28" s="16"/>
      <c r="J28" s="17" t="s">
        <v>292</v>
      </c>
      <c r="K28" s="16"/>
      <c r="L28" s="16"/>
      <c r="M28" s="16"/>
      <c r="N28" s="16"/>
      <c r="O28" s="16"/>
      <c r="P28" s="16"/>
      <c r="Q28" s="16"/>
      <c r="R28" s="16"/>
      <c r="S28" s="17" t="s">
        <v>295</v>
      </c>
      <c r="T28" s="16"/>
      <c r="U28" s="16"/>
      <c r="V28" s="16"/>
      <c r="W28" s="16"/>
      <c r="X28" s="16"/>
      <c r="Y28" s="16"/>
      <c r="Z28" s="16"/>
      <c r="AA28" s="11">
        <f t="shared" si="5"/>
        <v>4</v>
      </c>
      <c r="AB28" s="19">
        <f t="shared" si="9"/>
        <v>0.2105263158</v>
      </c>
      <c r="AC28" s="11">
        <f t="shared" si="7"/>
        <v>2</v>
      </c>
      <c r="AD28" s="19">
        <f t="shared" si="10"/>
        <v>0.1052631579</v>
      </c>
    </row>
    <row r="29">
      <c r="A29" s="4" t="s">
        <v>247</v>
      </c>
      <c r="B29" s="4" t="s">
        <v>249</v>
      </c>
      <c r="C29" s="4" t="s">
        <v>251</v>
      </c>
      <c r="D29" s="5" t="s">
        <v>198</v>
      </c>
      <c r="E29" s="17" t="s">
        <v>292</v>
      </c>
      <c r="F29" s="17" t="s">
        <v>293</v>
      </c>
      <c r="G29" s="17">
        <v>3.0</v>
      </c>
      <c r="H29" s="17" t="s">
        <v>292</v>
      </c>
      <c r="I29" s="16"/>
      <c r="J29" s="17" t="s">
        <v>292</v>
      </c>
      <c r="K29" s="17">
        <v>2.0</v>
      </c>
      <c r="L29" s="16"/>
      <c r="M29" s="17">
        <v>2.0</v>
      </c>
      <c r="N29" s="17">
        <v>3.0</v>
      </c>
      <c r="O29" s="16"/>
      <c r="P29" s="16"/>
      <c r="Q29" s="17">
        <v>3.0</v>
      </c>
      <c r="R29" s="16"/>
      <c r="S29" s="16"/>
      <c r="T29" s="16"/>
      <c r="U29" s="17">
        <v>3.0</v>
      </c>
      <c r="V29" s="16"/>
      <c r="W29" s="17">
        <v>1.0</v>
      </c>
      <c r="X29" s="18">
        <v>5.0</v>
      </c>
      <c r="Y29" s="16"/>
      <c r="Z29" s="17">
        <v>2.0</v>
      </c>
      <c r="AA29" s="11">
        <f t="shared" si="5"/>
        <v>13</v>
      </c>
      <c r="AB29" s="19">
        <f t="shared" si="9"/>
        <v>0.6842105263</v>
      </c>
      <c r="AC29" s="11">
        <f t="shared" si="7"/>
        <v>24</v>
      </c>
      <c r="AD29" s="19">
        <f t="shared" si="10"/>
        <v>1.263157895</v>
      </c>
    </row>
    <row r="30">
      <c r="A30" s="4" t="s">
        <v>258</v>
      </c>
      <c r="B30" s="4" t="s">
        <v>260</v>
      </c>
      <c r="C30" s="4" t="s">
        <v>261</v>
      </c>
      <c r="D30" s="5" t="s">
        <v>241</v>
      </c>
      <c r="E30" s="17" t="s">
        <v>292</v>
      </c>
      <c r="F30" s="17">
        <v>1.0</v>
      </c>
      <c r="G30" s="16"/>
      <c r="H30" s="17" t="s">
        <v>292</v>
      </c>
      <c r="I30" s="16"/>
      <c r="J30" s="21" t="s">
        <v>295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1">
        <f t="shared" si="5"/>
        <v>4</v>
      </c>
      <c r="AB30" s="19">
        <f t="shared" si="9"/>
        <v>0.2105263158</v>
      </c>
      <c r="AC30" s="11">
        <f t="shared" si="7"/>
        <v>1</v>
      </c>
      <c r="AD30" s="19">
        <f t="shared" si="10"/>
        <v>0.05263157895</v>
      </c>
    </row>
    <row r="31">
      <c r="A31" s="4" t="s">
        <v>268</v>
      </c>
      <c r="B31" s="4" t="s">
        <v>270</v>
      </c>
      <c r="C31" s="4" t="s">
        <v>272</v>
      </c>
      <c r="D31" s="5" t="s">
        <v>273</v>
      </c>
      <c r="E31" s="16"/>
      <c r="F31" s="16"/>
      <c r="G31" s="16"/>
      <c r="H31" s="16"/>
      <c r="I31" s="16"/>
      <c r="J31" s="16"/>
      <c r="K31" s="17" t="s">
        <v>292</v>
      </c>
      <c r="L31" s="16"/>
      <c r="M31" s="17" t="s">
        <v>292</v>
      </c>
      <c r="N31" s="17">
        <v>2.0</v>
      </c>
      <c r="O31" s="16"/>
      <c r="P31" s="17" t="s">
        <v>292</v>
      </c>
      <c r="Q31" s="16"/>
      <c r="R31" s="16"/>
      <c r="S31" s="16"/>
      <c r="T31" s="17" t="s">
        <v>292</v>
      </c>
      <c r="U31" s="17" t="s">
        <v>292</v>
      </c>
      <c r="V31" s="16"/>
      <c r="W31" s="16"/>
      <c r="X31" s="16"/>
      <c r="Y31" s="17" t="s">
        <v>292</v>
      </c>
      <c r="Z31" s="17" t="s">
        <v>293</v>
      </c>
      <c r="AA31" s="11">
        <f t="shared" si="5"/>
        <v>8</v>
      </c>
      <c r="AB31" s="19">
        <f t="shared" si="9"/>
        <v>0.4210526316</v>
      </c>
      <c r="AC31" s="11">
        <f t="shared" si="7"/>
        <v>2</v>
      </c>
      <c r="AD31" s="19">
        <f t="shared" si="10"/>
        <v>0.1052631579</v>
      </c>
    </row>
    <row r="32">
      <c r="A32" s="23" t="s">
        <v>280</v>
      </c>
      <c r="B32" s="23" t="s">
        <v>282</v>
      </c>
      <c r="C32" s="23" t="s">
        <v>283</v>
      </c>
      <c r="D32" s="24" t="s">
        <v>45</v>
      </c>
      <c r="E32" s="25" t="s">
        <v>292</v>
      </c>
      <c r="F32" s="26"/>
      <c r="G32" s="25" t="s">
        <v>292</v>
      </c>
      <c r="H32" s="26"/>
      <c r="I32" s="26"/>
      <c r="J32" s="26"/>
      <c r="K32" s="25" t="s">
        <v>292</v>
      </c>
      <c r="L32" s="26"/>
      <c r="M32" s="25" t="s">
        <v>292</v>
      </c>
      <c r="N32" s="25" t="s">
        <v>292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11">
        <f t="shared" si="5"/>
        <v>5</v>
      </c>
      <c r="AB32" s="19">
        <f t="shared" si="9"/>
        <v>0.2631578947</v>
      </c>
      <c r="AC32" s="11">
        <f t="shared" si="7"/>
        <v>0</v>
      </c>
      <c r="AD32" s="19">
        <f t="shared" si="10"/>
        <v>0</v>
      </c>
    </row>
    <row r="33">
      <c r="A33" s="4"/>
      <c r="B33" s="4"/>
      <c r="C33" s="4"/>
      <c r="D33" s="27" t="s">
        <v>297</v>
      </c>
      <c r="E33" s="16">
        <f t="shared" ref="E33:H33" si="11">SUM(E3:E32)</f>
        <v>3</v>
      </c>
      <c r="F33" s="16">
        <f t="shared" si="11"/>
        <v>4</v>
      </c>
      <c r="G33" s="16">
        <f t="shared" si="11"/>
        <v>12</v>
      </c>
      <c r="H33" s="16">
        <f t="shared" si="11"/>
        <v>2</v>
      </c>
      <c r="I33" s="16"/>
      <c r="J33" s="16">
        <f t="shared" ref="J33:K33" si="12">SUM(J3:J32)</f>
        <v>2</v>
      </c>
      <c r="K33" s="16">
        <f t="shared" si="12"/>
        <v>16</v>
      </c>
      <c r="L33" s="16"/>
      <c r="M33" s="16">
        <f t="shared" ref="M33:N33" si="13">SUM(M3:M32)</f>
        <v>11</v>
      </c>
      <c r="N33" s="16">
        <f t="shared" si="13"/>
        <v>18</v>
      </c>
      <c r="O33" s="16"/>
      <c r="P33" s="16">
        <f t="shared" ref="P33:Z33" si="14">SUM(P3:P32)</f>
        <v>9</v>
      </c>
      <c r="Q33" s="16">
        <f t="shared" si="14"/>
        <v>9</v>
      </c>
      <c r="R33" s="16">
        <f t="shared" si="14"/>
        <v>2</v>
      </c>
      <c r="S33" s="16">
        <f t="shared" si="14"/>
        <v>5</v>
      </c>
      <c r="T33" s="16">
        <f t="shared" si="14"/>
        <v>3</v>
      </c>
      <c r="U33" s="16">
        <f t="shared" si="14"/>
        <v>11</v>
      </c>
      <c r="V33" s="16">
        <f t="shared" si="14"/>
        <v>6</v>
      </c>
      <c r="W33" s="16">
        <f t="shared" si="14"/>
        <v>5</v>
      </c>
      <c r="X33" s="16">
        <f t="shared" si="14"/>
        <v>11</v>
      </c>
      <c r="Y33" s="16">
        <f t="shared" si="14"/>
        <v>6</v>
      </c>
      <c r="Z33" s="16">
        <f t="shared" si="14"/>
        <v>10</v>
      </c>
      <c r="AA33" s="11"/>
      <c r="AB33" s="11"/>
      <c r="AC33" s="11">
        <f t="shared" si="7"/>
        <v>145</v>
      </c>
      <c r="AD33" s="19">
        <f>AC33/(COUNTA(F$2:Z$2)*COUNTA($A$3:$A$32))</f>
        <v>0.2301587302</v>
      </c>
    </row>
    <row r="34">
      <c r="A34" s="4"/>
      <c r="B34" s="4"/>
      <c r="C34" s="4"/>
      <c r="D34" s="27" t="s">
        <v>298</v>
      </c>
      <c r="E34" s="16">
        <f t="shared" ref="E34:H34" si="15">COUNTA(E3:E32)</f>
        <v>16</v>
      </c>
      <c r="F34" s="16">
        <f t="shared" si="15"/>
        <v>14</v>
      </c>
      <c r="G34" s="16">
        <f t="shared" si="15"/>
        <v>19</v>
      </c>
      <c r="H34" s="16">
        <f t="shared" si="15"/>
        <v>13</v>
      </c>
      <c r="I34" s="16"/>
      <c r="J34" s="16">
        <f t="shared" ref="J34:K34" si="16">COUNTA(J3:J32)</f>
        <v>15</v>
      </c>
      <c r="K34" s="16">
        <f t="shared" si="16"/>
        <v>18</v>
      </c>
      <c r="L34" s="16"/>
      <c r="M34" s="16">
        <f t="shared" ref="M34:N34" si="17">COUNTA(M3:M32)</f>
        <v>17</v>
      </c>
      <c r="N34" s="16">
        <f t="shared" si="17"/>
        <v>13</v>
      </c>
      <c r="O34" s="16"/>
      <c r="P34" s="16">
        <f t="shared" ref="P34:S34" si="18">COUNTA(P3:P32)-1</f>
        <v>9</v>
      </c>
      <c r="Q34" s="16">
        <f t="shared" si="18"/>
        <v>7</v>
      </c>
      <c r="R34" s="16">
        <f t="shared" si="18"/>
        <v>4</v>
      </c>
      <c r="S34" s="16">
        <f t="shared" si="18"/>
        <v>7</v>
      </c>
      <c r="T34" s="16">
        <f t="shared" ref="T34:Z34" si="19">COUNTA(T3:T32)</f>
        <v>8</v>
      </c>
      <c r="U34" s="16">
        <f t="shared" si="19"/>
        <v>9</v>
      </c>
      <c r="V34" s="16">
        <f t="shared" si="19"/>
        <v>6</v>
      </c>
      <c r="W34" s="16">
        <f t="shared" si="19"/>
        <v>7</v>
      </c>
      <c r="X34" s="16">
        <f t="shared" si="19"/>
        <v>5</v>
      </c>
      <c r="Y34" s="16">
        <f t="shared" si="19"/>
        <v>9</v>
      </c>
      <c r="Z34" s="16">
        <f t="shared" si="19"/>
        <v>8</v>
      </c>
      <c r="AA34" s="11">
        <f t="shared" ref="AA34:AA36" si="25">SUM(E34:Z34)</f>
        <v>204</v>
      </c>
      <c r="AB34" s="19">
        <f t="shared" ref="AB34:AB36" si="26">AA34/(COUNTA(F$2:Z$2)*COUNTA($A$3:$A$32))</f>
        <v>0.3238095238</v>
      </c>
    </row>
    <row r="35">
      <c r="A35" s="4"/>
      <c r="B35" s="4"/>
      <c r="C35" s="4"/>
      <c r="D35" s="27" t="s">
        <v>299</v>
      </c>
      <c r="E35" s="16">
        <f t="shared" ref="E35:H35" si="20">countif(E8:E32,"T")</f>
        <v>1</v>
      </c>
      <c r="F35" s="16">
        <f t="shared" si="20"/>
        <v>1</v>
      </c>
      <c r="G35" s="16">
        <f t="shared" si="20"/>
        <v>1</v>
      </c>
      <c r="H35" s="16">
        <f t="shared" si="20"/>
        <v>0</v>
      </c>
      <c r="I35" s="16"/>
      <c r="J35" s="16">
        <f t="shared" ref="J35:K35" si="21">countif(J8:J32,"T")</f>
        <v>0</v>
      </c>
      <c r="K35" s="16">
        <f t="shared" si="21"/>
        <v>0</v>
      </c>
      <c r="L35" s="16"/>
      <c r="M35" s="16">
        <f t="shared" ref="M35:N35" si="22">countif(M8:M32,"T")</f>
        <v>0</v>
      </c>
      <c r="N35" s="16">
        <f t="shared" si="22"/>
        <v>0</v>
      </c>
      <c r="O35" s="16"/>
      <c r="P35" s="16">
        <f>countif(P8:P32,"T")</f>
        <v>0</v>
      </c>
      <c r="Q35" s="17">
        <v>1.0</v>
      </c>
      <c r="R35" s="16">
        <f>countif(R8:R32,"T")</f>
        <v>0</v>
      </c>
      <c r="S35" s="17">
        <f>COUNTIF(R8:R32,"T")+2</f>
        <v>2</v>
      </c>
      <c r="T35" s="16">
        <f t="shared" ref="T35:U35" si="23">countif(T8:T32,"T")</f>
        <v>0</v>
      </c>
      <c r="U35" s="16">
        <f t="shared" si="23"/>
        <v>0</v>
      </c>
      <c r="V35" s="16">
        <f>COUNTIF(V8:V32,"T")+1</f>
        <v>1</v>
      </c>
      <c r="W35" s="16">
        <f>countif(W8:W32,"T")</f>
        <v>0</v>
      </c>
      <c r="X35" s="16">
        <f t="shared" ref="X35:Y35" si="24">COUNTIF(X8:X32,"T")+1</f>
        <v>2</v>
      </c>
      <c r="Y35" s="16">
        <f t="shared" si="24"/>
        <v>1</v>
      </c>
      <c r="Z35" s="16">
        <f>countif(Z8:Z32,"T")</f>
        <v>1</v>
      </c>
      <c r="AA35" s="11">
        <f t="shared" si="25"/>
        <v>11</v>
      </c>
      <c r="AB35" s="19">
        <f t="shared" si="26"/>
        <v>0.01746031746</v>
      </c>
    </row>
    <row r="36">
      <c r="A36" s="4"/>
      <c r="B36" s="4"/>
      <c r="C36" s="4"/>
      <c r="D36" s="27" t="s">
        <v>300</v>
      </c>
      <c r="E36" s="16">
        <f t="shared" ref="E36:G36" si="27">COUNTIF(E8:E32,"J")</f>
        <v>0</v>
      </c>
      <c r="F36" s="16">
        <f t="shared" si="27"/>
        <v>0</v>
      </c>
      <c r="G36" s="16">
        <f t="shared" si="27"/>
        <v>0</v>
      </c>
      <c r="H36" s="16">
        <f>COUNTIF(H8:H32,"J")-0.5</f>
        <v>1.5</v>
      </c>
      <c r="I36" s="16"/>
      <c r="J36" s="16">
        <f>COUNTIF(J8:J32,"J")-0.5</f>
        <v>1.5</v>
      </c>
      <c r="K36" s="16">
        <f>COUNTIF(K8:K32,"J")</f>
        <v>0</v>
      </c>
      <c r="L36" s="16"/>
      <c r="M36" s="16">
        <f t="shared" ref="M36:N36" si="28">COUNTIF(M8:M32,"J")</f>
        <v>0</v>
      </c>
      <c r="N36" s="16">
        <f t="shared" si="28"/>
        <v>0</v>
      </c>
      <c r="O36" s="16"/>
      <c r="P36" s="16">
        <f t="shared" ref="P36:T36" si="29">COUNTIF(P8:P32,"J")</f>
        <v>2</v>
      </c>
      <c r="Q36" s="16">
        <f t="shared" si="29"/>
        <v>0</v>
      </c>
      <c r="R36" s="16">
        <f t="shared" si="29"/>
        <v>0</v>
      </c>
      <c r="S36" s="16">
        <f t="shared" si="29"/>
        <v>3</v>
      </c>
      <c r="T36" s="16">
        <f t="shared" si="29"/>
        <v>0</v>
      </c>
      <c r="U36" s="16">
        <f>COUNTIF(U8:U32,"J")+2</f>
        <v>2</v>
      </c>
      <c r="V36" s="16">
        <f t="shared" ref="V36:W36" si="30">COUNTIF(V8:V32,"J")</f>
        <v>1</v>
      </c>
      <c r="W36" s="16">
        <f t="shared" si="30"/>
        <v>0</v>
      </c>
      <c r="X36" s="17">
        <v>2.0</v>
      </c>
      <c r="Y36" s="16">
        <f t="shared" ref="Y36:Z36" si="31">COUNTIF(Y8:Y32,"J")</f>
        <v>0</v>
      </c>
      <c r="Z36" s="16">
        <f t="shared" si="31"/>
        <v>2</v>
      </c>
      <c r="AA36" s="11">
        <f t="shared" si="25"/>
        <v>15</v>
      </c>
      <c r="AB36" s="19">
        <f t="shared" si="26"/>
        <v>0.02380952381</v>
      </c>
    </row>
    <row r="37">
      <c r="A37" s="4"/>
      <c r="B37" s="4"/>
      <c r="C37" s="4"/>
      <c r="D37" s="27" t="s">
        <v>301</v>
      </c>
      <c r="E37" s="17">
        <f t="shared" ref="E37:H37" si="32">E34-(E35+E36)</f>
        <v>15</v>
      </c>
      <c r="F37" s="17">
        <f t="shared" si="32"/>
        <v>13</v>
      </c>
      <c r="G37" s="17">
        <f t="shared" si="32"/>
        <v>18</v>
      </c>
      <c r="H37" s="17">
        <f t="shared" si="32"/>
        <v>11.5</v>
      </c>
      <c r="I37" s="16"/>
      <c r="J37" s="17">
        <f t="shared" ref="J37:K37" si="33">J34-(J35+J36)</f>
        <v>13.5</v>
      </c>
      <c r="K37" s="17">
        <f t="shared" si="33"/>
        <v>18</v>
      </c>
      <c r="L37" s="16"/>
      <c r="M37" s="17">
        <f t="shared" ref="M37:N37" si="34">M34-(M35+M36)</f>
        <v>17</v>
      </c>
      <c r="N37" s="17">
        <f t="shared" si="34"/>
        <v>13</v>
      </c>
      <c r="O37" s="16"/>
      <c r="P37" s="17">
        <f t="shared" ref="P37:Z37" si="35">P34-(P35+P36)</f>
        <v>7</v>
      </c>
      <c r="Q37" s="17">
        <f t="shared" si="35"/>
        <v>6</v>
      </c>
      <c r="R37" s="17">
        <f t="shared" si="35"/>
        <v>4</v>
      </c>
      <c r="S37" s="17">
        <f t="shared" si="35"/>
        <v>2</v>
      </c>
      <c r="T37" s="17">
        <f t="shared" si="35"/>
        <v>8</v>
      </c>
      <c r="U37" s="17">
        <f t="shared" si="35"/>
        <v>7</v>
      </c>
      <c r="V37" s="17">
        <f t="shared" si="35"/>
        <v>4</v>
      </c>
      <c r="W37" s="17">
        <f t="shared" si="35"/>
        <v>7</v>
      </c>
      <c r="X37" s="17">
        <f t="shared" si="35"/>
        <v>1</v>
      </c>
      <c r="Y37" s="17">
        <f t="shared" si="35"/>
        <v>8</v>
      </c>
      <c r="Z37" s="17">
        <f t="shared" si="35"/>
        <v>5</v>
      </c>
      <c r="AA37" s="11"/>
      <c r="AB37" s="11"/>
      <c r="AC37" s="11">
        <f t="shared" ref="AC37:AC38" si="40">SUM(E37:Z37)</f>
        <v>178</v>
      </c>
      <c r="AD37" s="19">
        <f t="shared" ref="AD37:AD38" si="41">AC37/(COUNTA(F$2:Z$2)*COUNTA($A$3:$A$32))</f>
        <v>0.2825396825</v>
      </c>
    </row>
    <row r="38">
      <c r="A38" s="4"/>
      <c r="B38" s="4"/>
      <c r="C38" s="4"/>
      <c r="D38" s="27" t="s">
        <v>302</v>
      </c>
      <c r="E38" s="16">
        <f t="shared" ref="E38:H38" si="36">E34-(E35+E36)*0.5</f>
        <v>15.5</v>
      </c>
      <c r="F38" s="16">
        <f t="shared" si="36"/>
        <v>13.5</v>
      </c>
      <c r="G38" s="16">
        <f t="shared" si="36"/>
        <v>18.5</v>
      </c>
      <c r="H38" s="16">
        <f t="shared" si="36"/>
        <v>12.25</v>
      </c>
      <c r="I38" s="16"/>
      <c r="J38" s="16">
        <f t="shared" ref="J38:K38" si="37">J34-(J35+J36)*0.5</f>
        <v>14.25</v>
      </c>
      <c r="K38" s="16">
        <f t="shared" si="37"/>
        <v>18</v>
      </c>
      <c r="L38" s="16"/>
      <c r="M38" s="16">
        <f t="shared" ref="M38:N38" si="38">M34-(M35+M36)*0.5</f>
        <v>17</v>
      </c>
      <c r="N38" s="16">
        <f t="shared" si="38"/>
        <v>13</v>
      </c>
      <c r="O38" s="16"/>
      <c r="P38" s="16">
        <f t="shared" ref="P38:Z38" si="39">P34-(P35+P36)*0.5</f>
        <v>8</v>
      </c>
      <c r="Q38" s="16">
        <f t="shared" si="39"/>
        <v>6.5</v>
      </c>
      <c r="R38" s="16">
        <f t="shared" si="39"/>
        <v>4</v>
      </c>
      <c r="S38" s="16">
        <f t="shared" si="39"/>
        <v>4.5</v>
      </c>
      <c r="T38" s="16">
        <f t="shared" si="39"/>
        <v>8</v>
      </c>
      <c r="U38" s="16">
        <f t="shared" si="39"/>
        <v>8</v>
      </c>
      <c r="V38" s="16">
        <f t="shared" si="39"/>
        <v>5</v>
      </c>
      <c r="W38" s="16">
        <f t="shared" si="39"/>
        <v>7</v>
      </c>
      <c r="X38" s="16">
        <f t="shared" si="39"/>
        <v>3</v>
      </c>
      <c r="Y38" s="16">
        <f t="shared" si="39"/>
        <v>8.5</v>
      </c>
      <c r="Z38" s="16">
        <f t="shared" si="39"/>
        <v>6.5</v>
      </c>
      <c r="AA38" s="11"/>
      <c r="AB38" s="11"/>
      <c r="AC38" s="11">
        <f t="shared" si="40"/>
        <v>191</v>
      </c>
      <c r="AD38" s="19">
        <f t="shared" si="41"/>
        <v>0.3031746032</v>
      </c>
    </row>
  </sheetData>
  <mergeCells count="10">
    <mergeCell ref="X1:Y1"/>
    <mergeCell ref="AA1:AB1"/>
    <mergeCell ref="AC1:AD1"/>
    <mergeCell ref="E1:F1"/>
    <mergeCell ref="G1:I1"/>
    <mergeCell ref="J1:L1"/>
    <mergeCell ref="M1:O1"/>
    <mergeCell ref="P1:Q1"/>
    <mergeCell ref="T1:U1"/>
    <mergeCell ref="V1:W1"/>
  </mergeCells>
  <drawing r:id="rId2"/>
  <legacyDrawing r:id="rId3"/>
  <tableParts count="1">
    <tablePart r:id="rId5"/>
  </tableParts>
</worksheet>
</file>