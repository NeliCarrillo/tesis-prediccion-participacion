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GORITMOS" sheetId="1" r:id="rId4"/>
    <sheet state="visible" name="ESTRUCTURAS-DE DATOS" sheetId="2" r:id="rId5"/>
    <sheet state="visible" name="COMPURACION EMERGENTE" sheetId="3" r:id="rId6"/>
    <sheet state="visible" name="RESULTADOS MARATONES PROGRAMACI" sheetId="4" r:id="rId7"/>
  </sheets>
  <definedNames/>
  <calcPr/>
  <extLst>
    <ext uri="GoogleSheetsCustomDataVersion2">
      <go:sheetsCustomData xmlns:go="http://customooxmlschemas.google.com/" r:id="rId8" roundtripDataChecksum="ZJzdXVH7sYWNZ7q2jc1N/o9d3et1bagVRLtwze+wqVA="/>
    </ext>
  </extLst>
</workbook>
</file>

<file path=xl/sharedStrings.xml><?xml version="1.0" encoding="utf-8"?>
<sst xmlns="http://schemas.openxmlformats.org/spreadsheetml/2006/main" count="165" uniqueCount="134">
  <si>
    <r>
      <rPr>
        <rFont val="Arial"/>
        <color theme="1"/>
        <sz val="11.0"/>
      </rPr>
      <t xml:space="preserve">Participaciones </t>
    </r>
    <r>
      <rPr>
        <rFont val="Arial"/>
        <b/>
        <color rgb="FFFF0000"/>
        <sz val="11.0"/>
      </rPr>
      <t>ESTRUCTURAS DE DATOS</t>
    </r>
    <r>
      <rPr>
        <rFont val="Arial"/>
        <color theme="1"/>
        <sz val="11.0"/>
      </rPr>
      <t xml:space="preserve"> - Enero-Marzo 2026</t>
    </r>
  </si>
  <si>
    <r>
      <rPr>
        <rFont val="Arial"/>
        <color theme="1"/>
        <sz val="11.0"/>
      </rPr>
      <t xml:space="preserve">Participaciones </t>
    </r>
    <r>
      <rPr>
        <rFont val="Arial"/>
        <b/>
        <color rgb="FFFF0000"/>
        <sz val="11.0"/>
      </rPr>
      <t xml:space="preserve">ALGORITMOS - </t>
    </r>
    <r>
      <rPr>
        <rFont val="Arial"/>
        <color theme="1"/>
        <sz val="11.0"/>
      </rPr>
      <t>Enero-Marzo 2026</t>
    </r>
  </si>
  <si>
    <t>Resultados Maratones de Programacion</t>
  </si>
  <si>
    <t>Cédula de Identidad</t>
  </si>
  <si>
    <t xml:space="preserve">Cédula </t>
  </si>
  <si>
    <t>Nombres y Apellidos</t>
  </si>
  <si>
    <t>Sem 1</t>
  </si>
  <si>
    <t>Sem 2</t>
  </si>
  <si>
    <t>Sem 3</t>
  </si>
  <si>
    <t>Sem 4</t>
  </si>
  <si>
    <t>Sem 5</t>
  </si>
  <si>
    <t>Sem 6</t>
  </si>
  <si>
    <t>Sem 7</t>
  </si>
  <si>
    <t>Participaciones Computacion Emergente - Enero-Marzo 2026</t>
  </si>
  <si>
    <t>Sem 8</t>
  </si>
  <si>
    <t>Sem 9</t>
  </si>
  <si>
    <t>Sem 10</t>
  </si>
  <si>
    <t>Sem 11</t>
  </si>
  <si>
    <t>Sem 12</t>
  </si>
  <si>
    <t>Cédula</t>
  </si>
  <si>
    <t>TOTAL</t>
  </si>
  <si>
    <t>Apellidos</t>
  </si>
  <si>
    <t>%</t>
  </si>
  <si>
    <t>ENTRENAMIENTOS</t>
  </si>
  <si>
    <t>Sebastian Alfonzo</t>
  </si>
  <si>
    <t>MARATONES</t>
  </si>
  <si>
    <t>Lorenzo Perez</t>
  </si>
  <si>
    <t>Personas</t>
  </si>
  <si>
    <t>Asignatura</t>
  </si>
  <si>
    <t>Asistencias</t>
  </si>
  <si>
    <t>Prom Ej x sem</t>
  </si>
  <si>
    <t>Equipo</t>
  </si>
  <si>
    <t>RPC01</t>
  </si>
  <si>
    <t>RPC02</t>
  </si>
  <si>
    <t>Kattis</t>
  </si>
  <si>
    <t>percent</t>
  </si>
  <si>
    <t>% Participacion</t>
  </si>
  <si>
    <r>
      <rPr>
        <rFont val="&quot;Aptos Narrow&quot;, sans-serif"/>
        <color rgb="FF1155CC"/>
        <u/>
      </rPr>
      <t>Daniel Angulo</t>
    </r>
  </si>
  <si>
    <t>SASantiago David Aristimuño Yaguaramay</t>
  </si>
  <si>
    <t>ESTRUCTURAS</t>
  </si>
  <si>
    <t>1,29</t>
  </si>
  <si>
    <t>Daniel Angulo</t>
  </si>
  <si>
    <t>Armando Díaz</t>
  </si>
  <si>
    <t>60,32%</t>
  </si>
  <si>
    <t xml:space="preserve"> </t>
  </si>
  <si>
    <r>
      <rPr>
        <rFont val="&quot;Aptos Narrow&quot;, sans-serif"/>
        <color rgb="FF1155CC"/>
        <u/>
      </rPr>
      <t>Gianfranco Camporeale</t>
    </r>
  </si>
  <si>
    <t>1,00</t>
  </si>
  <si>
    <t>44,44%</t>
  </si>
  <si>
    <t>Valentina Cabrera</t>
  </si>
  <si>
    <t>Emmanuel Miquilave</t>
  </si>
  <si>
    <t>Juan Pablo Rojas</t>
  </si>
  <si>
    <t>Fabricio García</t>
  </si>
  <si>
    <t>Albany Veronica Avila Blanco</t>
  </si>
  <si>
    <t>Giancarlo Paolino</t>
  </si>
  <si>
    <t>Julian Andrés Pérez De Armas</t>
  </si>
  <si>
    <t>JBJhorman Bloom</t>
  </si>
  <si>
    <t>Sebastian Velasquez</t>
  </si>
  <si>
    <t>Jacobo Hernández</t>
  </si>
  <si>
    <t>Gabriel Cedeño</t>
  </si>
  <si>
    <t>Daniel Denis</t>
  </si>
  <si>
    <t>Andrés Alonso Camacho López</t>
  </si>
  <si>
    <t>Carlos Padrón</t>
  </si>
  <si>
    <t>Ariana Stolk</t>
  </si>
  <si>
    <t>Antonio Barriola</t>
  </si>
  <si>
    <t>Beatriz Elena Cardozo López</t>
  </si>
  <si>
    <t>Manuel Sanabria</t>
  </si>
  <si>
    <t>Adrian Martinez</t>
  </si>
  <si>
    <t>Eduardo López</t>
  </si>
  <si>
    <t>CCCarlo Carpentieri Perez</t>
  </si>
  <si>
    <t>Gianfranco Camporeale</t>
  </si>
  <si>
    <t>Ana S. Martínez S</t>
  </si>
  <si>
    <t>Ugarte Alirio</t>
  </si>
  <si>
    <t>Samuel Herrera</t>
  </si>
  <si>
    <t>Ramón Carrasquel</t>
  </si>
  <si>
    <t>Jose Quintero</t>
  </si>
  <si>
    <t>Alessandro Gimenez</t>
  </si>
  <si>
    <t>David Mayora</t>
  </si>
  <si>
    <t>David López</t>
  </si>
  <si>
    <t>LCLuis Carreño</t>
  </si>
  <si>
    <t>Juan Blanco</t>
  </si>
  <si>
    <t>Francesco Antolino</t>
  </si>
  <si>
    <t>Nicola Colarusso</t>
  </si>
  <si>
    <t>Samuel Vergel</t>
  </si>
  <si>
    <t>Pedro Trigo</t>
  </si>
  <si>
    <t>Andrés Fung</t>
  </si>
  <si>
    <t>Hans Senior</t>
  </si>
  <si>
    <t>Diego De Jesús</t>
  </si>
  <si>
    <t>Oscar Ezeiza</t>
  </si>
  <si>
    <t>Juan Mata</t>
  </si>
  <si>
    <t>JDJuan Diaz</t>
  </si>
  <si>
    <t>Sebastian Yrady</t>
  </si>
  <si>
    <t>Santiago Ramos</t>
  </si>
  <si>
    <t>AEAsier Errasti</t>
  </si>
  <si>
    <t>Santiago Macia</t>
  </si>
  <si>
    <t>Gabriel Jesus Flores Baez</t>
  </si>
  <si>
    <t>Manuel Rodriguez</t>
  </si>
  <si>
    <t>José León</t>
  </si>
  <si>
    <t>Jose Ignacio Francisco alvarez</t>
  </si>
  <si>
    <t>Jesús Díaz</t>
  </si>
  <si>
    <t>JGJoel Eduardo Gascón Pulido</t>
  </si>
  <si>
    <t>Manuel Díaz</t>
  </si>
  <si>
    <t>Carlos Bastidas</t>
  </si>
  <si>
    <t>Tomas Enrique Gonzalez Adrian</t>
  </si>
  <si>
    <t>Lowin Mariño</t>
  </si>
  <si>
    <t>Roger Capozzolo</t>
  </si>
  <si>
    <t>Karelin Guzman</t>
  </si>
  <si>
    <t>Ignacio Gotz</t>
  </si>
  <si>
    <t>Kevin Hernandez</t>
  </si>
  <si>
    <t>Fabian Lucci</t>
  </si>
  <si>
    <t>Alejo Hernandez</t>
  </si>
  <si>
    <t>VKVictoria Knuth</t>
  </si>
  <si>
    <t>Verónica Luna</t>
  </si>
  <si>
    <t>Rodolfo Marin</t>
  </si>
  <si>
    <t>VMVictor Martinez</t>
  </si>
  <si>
    <t>DMDavid Alejandro Mavares Delgado</t>
  </si>
  <si>
    <t>RMRicardo Mazziotta</t>
  </si>
  <si>
    <t>Mauricio Méndez</t>
  </si>
  <si>
    <t>Annabella Mendoza</t>
  </si>
  <si>
    <t>Andrés Alejandro Moreno Lombardo</t>
  </si>
  <si>
    <t>Elvira Esther Navas Piñate</t>
  </si>
  <si>
    <t>Juan Diego Nunes Peraza</t>
  </si>
  <si>
    <t>Gabriel Rafael Oba Aye Orozco Rodriguez</t>
  </si>
  <si>
    <t>Adrián Eduardo Pinzón Vásquez</t>
  </si>
  <si>
    <t>Jonathan Pizzurro Fortun</t>
  </si>
  <si>
    <t>CRChristian Ramos</t>
  </si>
  <si>
    <t>GRGonzalo Andrés Ramos De Sa Pinto</t>
  </si>
  <si>
    <t>ARAndrea Veronica Reyes Mejia</t>
  </si>
  <si>
    <t>IRIsabella Rondón</t>
  </si>
  <si>
    <t>MRMaria Antonella Ruiz Cianci</t>
  </si>
  <si>
    <t>Fernando Torre</t>
  </si>
  <si>
    <t>VTVirginia Torrealba</t>
  </si>
  <si>
    <t>Daniel Alejandro Tortorella Torres</t>
  </si>
  <si>
    <t>Arnaldo Andres Vallerugo Corral</t>
  </si>
  <si>
    <t>Diego Vivolo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</si>
</sst>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0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b/>
      <sz val="12.0"/>
      <color rgb="FFFF0000"/>
      <name val="&quot;Aptos Narrow&quot;"/>
    </font>
    <font>
      <color rgb="FF000000"/>
      <name val="&quot;Aptos Narrow&quot;"/>
    </font>
    <font>
      <sz val="11.0"/>
      <color rgb="FF000000"/>
      <name val="&quot;Aptos Narrow&quot;"/>
    </font>
    <font>
      <color rgb="FFFFFFFF"/>
      <name val="Roboto"/>
    </font>
    <font>
      <sz val="10.0"/>
      <color theme="1"/>
      <name val="Aptos Narrow"/>
    </font>
    <font>
      <sz val="12.0"/>
      <color theme="1"/>
      <name val="Times New Roman"/>
    </font>
    <font>
      <b/>
      <color rgb="FFFFFFFF"/>
      <name val="Roboto"/>
    </font>
    <font>
      <sz val="10.0"/>
      <color theme="1"/>
      <name val="Arial"/>
    </font>
    <font>
      <sz val="11.0"/>
      <color rgb="FF1D2125"/>
      <name val="Century Gothic"/>
    </font>
    <font>
      <b/>
      <sz val="12.0"/>
      <color theme="1"/>
      <name val="Aptos Narrow"/>
    </font>
    <font>
      <u/>
      <color rgb="FF0000FF"/>
      <name val="&quot;Aptos Narrow&quot;"/>
    </font>
    <font>
      <sz val="11.0"/>
      <color rgb="FF000000"/>
      <name val="Calibri"/>
    </font>
    <font>
      <b/>
      <sz val="12.0"/>
      <color theme="1"/>
      <name val="Arial"/>
    </font>
    <font>
      <u/>
      <sz val="11.0"/>
      <color theme="10"/>
      <name val="Aptos Narrow"/>
    </font>
    <font>
      <b/>
      <color rgb="FF000000"/>
      <name val="&quot;Aptos Narrow&quot;"/>
    </font>
    <font>
      <u/>
      <sz val="11.0"/>
      <color theme="10"/>
      <name val="Aptos Narrow"/>
    </font>
    <font>
      <b/>
      <sz val="11.0"/>
      <color theme="1"/>
      <name val="Aptos Narrow"/>
    </font>
  </fonts>
  <fills count="8">
    <fill>
      <patternFill patternType="none"/>
    </fill>
    <fill>
      <patternFill patternType="lightGray"/>
    </fill>
    <fill>
      <patternFill patternType="solid">
        <fgColor rgb="FF8ED873"/>
        <bgColor rgb="FF8ED873"/>
      </patternFill>
    </fill>
    <fill>
      <patternFill patternType="solid">
        <fgColor rgb="FFFD8204"/>
        <bgColor rgb="FFFD8204"/>
      </patternFill>
    </fill>
    <fill>
      <patternFill patternType="solid">
        <fgColor rgb="FFF1CEEE"/>
        <bgColor rgb="FFF1CEEE"/>
      </patternFill>
    </fill>
    <fill>
      <patternFill patternType="solid">
        <fgColor rgb="FF8ED973"/>
        <bgColor rgb="FF8ED97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medium">
        <color rgb="FF919191"/>
      </bottom>
    </border>
    <border>
      <bottom style="medium">
        <color rgb="FFDDE1EB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1" numFmtId="0" xfId="0" applyBorder="1" applyFont="1"/>
    <xf borderId="1" fillId="0" fontId="1" numFmtId="0" xfId="0" applyBorder="1" applyFont="1"/>
    <xf borderId="1" fillId="0" fontId="2" numFmtId="0" xfId="0" applyBorder="1" applyFont="1"/>
    <xf borderId="1" fillId="0" fontId="3" numFmtId="0" xfId="0" applyAlignment="1" applyBorder="1" applyFont="1">
      <alignment horizontal="left" readingOrder="0" shrinkToFit="0" vertical="bottom" wrapText="0"/>
    </xf>
    <xf borderId="2" fillId="0" fontId="2" numFmtId="0" xfId="0" applyBorder="1" applyFont="1"/>
    <xf borderId="3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5" numFmtId="0" xfId="0" applyAlignment="1" applyFont="1">
      <alignment horizontal="center" shrinkToFit="0" vertical="bottom" wrapText="0"/>
    </xf>
    <xf borderId="4" fillId="0" fontId="1" numFmtId="0" xfId="0" applyBorder="1" applyFont="1"/>
    <xf borderId="2" fillId="0" fontId="1" numFmtId="0" xfId="0" applyBorder="1" applyFont="1"/>
    <xf borderId="5" fillId="2" fontId="1" numFmtId="0" xfId="0" applyBorder="1" applyFill="1" applyFont="1"/>
    <xf borderId="0" fillId="0" fontId="4" numFmtId="0" xfId="0" applyAlignment="1" applyFont="1">
      <alignment horizontal="left" vertical="bottom"/>
    </xf>
    <xf borderId="0" fillId="2" fontId="2" numFmtId="0" xfId="0" applyAlignment="1" applyFont="1">
      <alignment readingOrder="0"/>
    </xf>
    <xf borderId="6" fillId="0" fontId="1" numFmtId="0" xfId="0" applyBorder="1" applyFont="1"/>
    <xf borderId="0" fillId="3" fontId="6" numFmtId="0" xfId="0" applyAlignment="1" applyFill="1" applyFont="1">
      <alignment horizontal="left" vertical="bottom"/>
    </xf>
    <xf borderId="2" fillId="2" fontId="1" numFmtId="0" xfId="0" applyAlignment="1" applyBorder="1" applyFont="1">
      <alignment horizontal="center"/>
    </xf>
    <xf borderId="2" fillId="0" fontId="7" numFmtId="0" xfId="0" applyAlignment="1" applyBorder="1" applyFont="1">
      <alignment horizontal="center"/>
    </xf>
    <xf borderId="0" fillId="3" fontId="6" numFmtId="0" xfId="0" applyAlignment="1" applyFont="1">
      <alignment horizontal="center" readingOrder="0" vertical="bottom"/>
    </xf>
    <xf borderId="0" fillId="2" fontId="2" numFmtId="0" xfId="0" applyAlignment="1" applyFont="1">
      <alignment horizontal="center" readingOrder="0"/>
    </xf>
    <xf borderId="2" fillId="0" fontId="7" numFmtId="0" xfId="0" applyBorder="1" applyFont="1"/>
    <xf borderId="0" fillId="3" fontId="6" numFmtId="0" xfId="0" applyAlignment="1" applyFont="1">
      <alignment horizontal="left" readingOrder="0" vertical="bottom"/>
    </xf>
    <xf borderId="7" fillId="0" fontId="8" numFmtId="0" xfId="0" applyAlignment="1" applyBorder="1" applyFont="1">
      <alignment horizontal="right" shrinkToFit="0" wrapText="1"/>
    </xf>
    <xf borderId="0" fillId="3" fontId="9" numFmtId="0" xfId="0" applyAlignment="1" applyFont="1">
      <alignment horizontal="center" vertical="bottom"/>
    </xf>
    <xf borderId="7" fillId="0" fontId="10" numFmtId="0" xfId="0" applyAlignment="1" applyBorder="1" applyFont="1">
      <alignment shrinkToFit="0" wrapText="1"/>
    </xf>
    <xf borderId="0" fillId="0" fontId="4" numFmtId="0" xfId="0" applyAlignment="1" applyFont="1">
      <alignment horizontal="left" readingOrder="0"/>
    </xf>
    <xf borderId="0" fillId="3" fontId="6" numFmtId="0" xfId="0" applyAlignment="1" applyFont="1">
      <alignment horizontal="left" readingOrder="0"/>
    </xf>
    <xf borderId="0" fillId="3" fontId="6" numFmtId="0" xfId="0" applyAlignment="1" applyFont="1">
      <alignment horizontal="center" readingOrder="0"/>
    </xf>
    <xf borderId="2" fillId="2" fontId="1" numFmtId="0" xfId="0" applyBorder="1" applyFont="1"/>
    <xf borderId="0" fillId="3" fontId="9" numFmtId="0" xfId="0" applyAlignment="1" applyFont="1">
      <alignment horizontal="center" readingOrder="0"/>
    </xf>
    <xf borderId="0" fillId="2" fontId="2" numFmtId="9" xfId="0" applyAlignment="1" applyFont="1" applyNumberFormat="1">
      <alignment readingOrder="0"/>
    </xf>
    <xf borderId="2" fillId="0" fontId="11" numFmtId="0" xfId="0" applyAlignment="1" applyBorder="1" applyFont="1">
      <alignment horizontal="left" shrinkToFit="0" vertical="center" wrapText="1"/>
    </xf>
    <xf borderId="8" fillId="4" fontId="12" numFmtId="0" xfId="0" applyAlignment="1" applyBorder="1" applyFill="1" applyFont="1">
      <alignment horizontal="center"/>
    </xf>
    <xf borderId="2" fillId="4" fontId="12" numFmtId="0" xfId="0" applyAlignment="1" applyBorder="1" applyFont="1">
      <alignment horizontal="center"/>
    </xf>
    <xf borderId="0" fillId="0" fontId="13" numFmtId="0" xfId="0" applyAlignment="1" applyFont="1">
      <alignment readingOrder="0" shrinkToFit="0" wrapText="0"/>
    </xf>
    <xf borderId="0" fillId="5" fontId="14" numFmtId="0" xfId="0" applyAlignment="1" applyFill="1" applyFont="1">
      <alignment horizontal="left" readingOrder="0" shrinkToFit="0" vertical="bottom" wrapText="0"/>
    </xf>
    <xf borderId="0" fillId="5" fontId="4" numFmtId="0" xfId="0" applyAlignment="1" applyFont="1">
      <alignment horizontal="left" readingOrder="0" shrinkToFit="0" wrapText="0"/>
    </xf>
    <xf borderId="0" fillId="4" fontId="12" numFmtId="0" xfId="0" applyAlignment="1" applyFont="1">
      <alignment horizontal="center"/>
    </xf>
    <xf borderId="0" fillId="4" fontId="15" numFmtId="9" xfId="0" applyAlignment="1" applyFont="1" applyNumberFormat="1">
      <alignment horizontal="center" readingOrder="0"/>
    </xf>
    <xf borderId="0" fillId="5" fontId="4" numFmtId="0" xfId="0" applyAlignment="1" applyFont="1">
      <alignment horizontal="center" readingOrder="0" shrinkToFit="0" wrapText="0"/>
    </xf>
    <xf borderId="2" fillId="0" fontId="16" numFmtId="0" xfId="0" applyAlignment="1" applyBorder="1" applyFont="1">
      <alignment horizontal="right" shrinkToFit="0" vertical="center" wrapText="1"/>
    </xf>
    <xf borderId="7" fillId="0" fontId="10" numFmtId="0" xfId="0" applyAlignment="1" applyBorder="1" applyFont="1">
      <alignment horizontal="right" shrinkToFit="0" wrapText="1"/>
    </xf>
    <xf borderId="0" fillId="5" fontId="4" numFmtId="0" xfId="0" applyAlignment="1" applyFont="1">
      <alignment shrinkToFit="0" wrapText="0"/>
    </xf>
    <xf borderId="0" fillId="5" fontId="17" numFmtId="0" xfId="0" applyAlignment="1" applyFont="1">
      <alignment horizontal="center" readingOrder="0" shrinkToFit="0" wrapText="0"/>
    </xf>
    <xf borderId="0" fillId="5" fontId="4" numFmtId="0" xfId="0" applyAlignment="1" applyFont="1">
      <alignment horizontal="right" readingOrder="0" shrinkToFit="0" wrapText="0"/>
    </xf>
    <xf borderId="0" fillId="4" fontId="12" numFmtId="10" xfId="0" applyAlignment="1" applyFont="1" applyNumberFormat="1">
      <alignment horizontal="center"/>
    </xf>
    <xf borderId="0" fillId="4" fontId="12" numFmtId="164" xfId="0" applyAlignment="1" applyFont="1" applyNumberFormat="1">
      <alignment horizontal="center"/>
    </xf>
    <xf borderId="2" fillId="6" fontId="11" numFmtId="0" xfId="0" applyAlignment="1" applyBorder="1" applyFill="1" applyFont="1">
      <alignment horizontal="left" shrinkToFit="0" vertical="center" wrapText="1"/>
    </xf>
    <xf borderId="2" fillId="6" fontId="18" numFmtId="0" xfId="0" applyAlignment="1" applyBorder="1" applyFont="1">
      <alignment horizontal="right" shrinkToFit="0" vertical="center" wrapText="1"/>
    </xf>
    <xf borderId="0" fillId="0" fontId="1" numFmtId="0" xfId="0" applyFont="1"/>
    <xf borderId="2" fillId="0" fontId="2" numFmtId="0" xfId="0" applyAlignment="1" applyBorder="1" applyFont="1">
      <alignment readingOrder="0"/>
    </xf>
    <xf borderId="9" fillId="0" fontId="19" numFmtId="0" xfId="0" applyAlignment="1" applyBorder="1" applyFont="1">
      <alignment horizontal="center" shrinkToFit="0" vertical="center" wrapText="1"/>
    </xf>
    <xf borderId="10" fillId="0" fontId="19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shrinkToFit="0" vertical="top" wrapText="1"/>
    </xf>
    <xf borderId="10" fillId="0" fontId="1" numFmtId="0" xfId="0" applyAlignment="1" applyBorder="1" applyFont="1">
      <alignment shrinkToFit="0" vertical="center" wrapText="1"/>
    </xf>
    <xf borderId="0" fillId="0" fontId="19" numFmtId="0" xfId="0" applyFont="1"/>
    <xf borderId="7" fillId="7" fontId="10" numFmtId="0" xfId="0" applyAlignment="1" applyBorder="1" applyFill="1" applyFont="1">
      <alignment horizontal="right" shrinkToFit="0" wrapText="1"/>
    </xf>
    <xf borderId="7" fillId="7" fontId="10" numFmtId="0" xfId="0" applyAlignment="1" applyBorder="1" applyFont="1">
      <alignment shrinkToFit="0" wrapText="1"/>
    </xf>
    <xf borderId="2" fillId="0" fontId="1" numFmtId="0" xfId="0" applyAlignment="1" applyBorder="1" applyFont="1">
      <alignment horizontal="center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</dxfs>
  <tableStyles count="3">
    <tableStyle count="3" pivot="0" name="ESTRUCTURAS-DE DATOS-style">
      <tableStyleElement dxfId="1" type="headerRow"/>
      <tableStyleElement dxfId="2" type="firstRowStripe"/>
      <tableStyleElement dxfId="1" type="secondRowStripe"/>
    </tableStyle>
    <tableStyle count="3" pivot="0" name="ALGORITMOS-style">
      <tableStyleElement dxfId="1" type="headerRow"/>
      <tableStyleElement dxfId="2" type="firstRowStripe"/>
      <tableStyleElement dxfId="1" type="secondRowStripe"/>
    </tableStyle>
    <tableStyle count="3" pivot="0" name="COMPURACION EMERGENTE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20" Type="http://schemas.openxmlformats.org/officeDocument/2006/relationships/image" Target="../media/image21.jpg"/><Relationship Id="rId22" Type="http://schemas.openxmlformats.org/officeDocument/2006/relationships/image" Target="../media/image17.jpg"/><Relationship Id="rId21" Type="http://schemas.openxmlformats.org/officeDocument/2006/relationships/image" Target="../media/image5.png"/><Relationship Id="rId24" Type="http://schemas.openxmlformats.org/officeDocument/2006/relationships/image" Target="../media/image23.jpg"/><Relationship Id="rId23" Type="http://schemas.openxmlformats.org/officeDocument/2006/relationships/image" Target="../media/image7.png"/><Relationship Id="rId1" Type="http://schemas.openxmlformats.org/officeDocument/2006/relationships/image" Target="../media/image1.jpg"/><Relationship Id="rId2" Type="http://schemas.openxmlformats.org/officeDocument/2006/relationships/image" Target="../media/image18.jpg"/><Relationship Id="rId3" Type="http://schemas.openxmlformats.org/officeDocument/2006/relationships/image" Target="../media/image2.jpg"/><Relationship Id="rId4" Type="http://schemas.openxmlformats.org/officeDocument/2006/relationships/image" Target="../media/image19.jpg"/><Relationship Id="rId9" Type="http://schemas.openxmlformats.org/officeDocument/2006/relationships/image" Target="../media/image6.jpg"/><Relationship Id="rId26" Type="http://schemas.openxmlformats.org/officeDocument/2006/relationships/image" Target="../media/image20.jpg"/><Relationship Id="rId25" Type="http://schemas.openxmlformats.org/officeDocument/2006/relationships/image" Target="../media/image15.jpg"/><Relationship Id="rId27" Type="http://schemas.openxmlformats.org/officeDocument/2006/relationships/image" Target="../media/image9.jpg"/><Relationship Id="rId5" Type="http://schemas.openxmlformats.org/officeDocument/2006/relationships/image" Target="../media/image16.jpg"/><Relationship Id="rId6" Type="http://schemas.openxmlformats.org/officeDocument/2006/relationships/image" Target="../media/image27.jpg"/><Relationship Id="rId7" Type="http://schemas.openxmlformats.org/officeDocument/2006/relationships/image" Target="../media/image12.png"/><Relationship Id="rId8" Type="http://schemas.openxmlformats.org/officeDocument/2006/relationships/image" Target="../media/image22.jpg"/><Relationship Id="rId11" Type="http://schemas.openxmlformats.org/officeDocument/2006/relationships/image" Target="../media/image3.jpg"/><Relationship Id="rId10" Type="http://schemas.openxmlformats.org/officeDocument/2006/relationships/image" Target="../media/image24.jpg"/><Relationship Id="rId13" Type="http://schemas.openxmlformats.org/officeDocument/2006/relationships/image" Target="../media/image13.jpg"/><Relationship Id="rId12" Type="http://schemas.openxmlformats.org/officeDocument/2006/relationships/image" Target="../media/image14.jpg"/><Relationship Id="rId15" Type="http://schemas.openxmlformats.org/officeDocument/2006/relationships/image" Target="../media/image11.jpg"/><Relationship Id="rId14" Type="http://schemas.openxmlformats.org/officeDocument/2006/relationships/image" Target="../media/image4.jpg"/><Relationship Id="rId17" Type="http://schemas.openxmlformats.org/officeDocument/2006/relationships/image" Target="../media/image8.jpg"/><Relationship Id="rId16" Type="http://schemas.openxmlformats.org/officeDocument/2006/relationships/image" Target="../media/image25.jpg"/><Relationship Id="rId19" Type="http://schemas.openxmlformats.org/officeDocument/2006/relationships/image" Target="../media/image26.jpg"/><Relationship Id="rId18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333375" cy="866775"/>
    <xdr:pic>
      <xdr:nvPicPr>
        <xdr:cNvPr descr="https://aulasvirtuales.unimet.edu.ve/pluginfile.php/12483/user/icon/academi/f2?rev=121049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333375" cy="866775"/>
    <xdr:pic>
      <xdr:nvPicPr>
        <xdr:cNvPr descr="https://aulasvirtuales.unimet.edu.ve/pluginfile.php/122038/user/icon/academi/f2?rev=8480139" id="0" name="image1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333375" cy="866775"/>
    <xdr:pic>
      <xdr:nvPicPr>
        <xdr:cNvPr descr="https://aulasvirtuales.unimet.edu.ve/pluginfile.php/50505/user/icon/academi/f2?rev=1733892"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333375" cy="504825"/>
    <xdr:pic>
      <xdr:nvPicPr>
        <xdr:cNvPr descr="https://aulasvirtuales.unimet.edu.ve/pluginfile.php/202379/user/icon/academi/f2?rev=3453220" id="0" name="image1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333375" cy="504825"/>
    <xdr:pic>
      <xdr:nvPicPr>
        <xdr:cNvPr descr="https://aulasvirtuales.unimet.edu.ve/pluginfile.php/156876/user/icon/academi/f2?rev=3458952" id="0" name="image1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333375" cy="504825"/>
    <xdr:pic>
      <xdr:nvPicPr>
        <xdr:cNvPr descr="https://aulasvirtuales.unimet.edu.ve/pluginfile.php/50313/user/icon/academi/f2?rev=3551779" id="0" name="image2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333375" cy="866775"/>
    <xdr:pic>
      <xdr:nvPicPr>
        <xdr:cNvPr descr="https://aulasvirtuales.unimet.edu.ve/pluginfile.php/122191/user/icon/academi/f2?rev=2804759"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333375" cy="866775"/>
    <xdr:pic>
      <xdr:nvPicPr>
        <xdr:cNvPr descr="https://aulasvirtuales.unimet.edu.ve/pluginfile.php/157023/user/icon/academi/f2?rev=4659824" id="0" name="image2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333375" cy="866775"/>
    <xdr:pic>
      <xdr:nvPicPr>
        <xdr:cNvPr descr="https://aulasvirtuales.unimet.edu.ve/pluginfile.php/12614/user/icon/academi/f2?rev=123302" id="0" name="image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333375" cy="866775"/>
    <xdr:pic>
      <xdr:nvPicPr>
        <xdr:cNvPr descr="https://aulasvirtuales.unimet.edu.ve/pluginfile.php/179671/user/icon/academi/f2?rev=8386827" id="0" name="image2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333375" cy="504825"/>
    <xdr:pic>
      <xdr:nvPicPr>
        <xdr:cNvPr descr="https://aulasvirtuales.unimet.edu.ve/pluginfile.php/131919/user/icon/academi/f2?rev=1616109" id="0" name="image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333375" cy="504825"/>
    <xdr:pic>
      <xdr:nvPicPr>
        <xdr:cNvPr descr="yo" id="0" name="image1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333375" cy="333375"/>
    <xdr:pic>
      <xdr:nvPicPr>
        <xdr:cNvPr descr="https://aulasvirtuales.unimet.edu.ve/pluginfile.php/36654/user/icon/academi/f2?rev=9575329" id="0" name="image1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333375" cy="333375"/>
    <xdr:pic>
      <xdr:nvPicPr>
        <xdr:cNvPr descr="https://aulasvirtuales.unimet.edu.ve/pluginfile.php/13774/user/icon/academi/f2?rev=743069" id="0" name="image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333375" cy="333375"/>
    <xdr:pic>
      <xdr:nvPicPr>
        <xdr:cNvPr descr="https://aulasvirtuales.unimet.edu.ve/pluginfile.php/18598/user/icon/academi/f2?rev=1942600" id="0" name="image1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333375" cy="333375"/>
    <xdr:pic>
      <xdr:nvPicPr>
        <xdr:cNvPr descr="https://aulasvirtuales.unimet.edu.ve/pluginfile.php/122143/user/icon/academi/f2?rev=1733660" id="0" name="image2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333375" cy="333375"/>
    <xdr:pic>
      <xdr:nvPicPr>
        <xdr:cNvPr descr="https://aulasvirtuales.unimet.edu.ve/pluginfile.php/157141/user/icon/academi/f2?rev=3454050" id="0" name="image8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333375" cy="333375"/>
    <xdr:pic>
      <xdr:nvPicPr>
        <xdr:cNvPr descr="https://aulasvirtuales.unimet.edu.ve/pluginfile.php/157034/user/icon/academi/f2?rev=3534299" id="0" name="image10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333375" cy="333375"/>
    <xdr:pic>
      <xdr:nvPicPr>
        <xdr:cNvPr descr="Perfil Elvira Navas" id="0" name="image26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333375" cy="333375"/>
    <xdr:pic>
      <xdr:nvPicPr>
        <xdr:cNvPr descr="https://aulasvirtuales.unimet.edu.ve/pluginfile.php/68526/user/icon/academi/f2?rev=2332026" id="0" name="image2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333375" cy="333375"/>
    <xdr:pic>
      <xdr:nvPicPr>
        <xdr:cNvPr descr="https://aulasvirtuales.unimet.edu.ve/pluginfile.php/206076/user/icon/academi/f2?rev=3466284" id="0" name="image5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333375" cy="333375"/>
    <xdr:pic>
      <xdr:nvPicPr>
        <xdr:cNvPr descr="https://aulasvirtuales.unimet.edu.ve/pluginfile.php/18576/user/icon/academi/f2?rev=130493" id="0" name="image17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333375" cy="333375"/>
    <xdr:pic>
      <xdr:nvPicPr>
        <xdr:cNvPr descr="https://aulasvirtuales.unimet.edu.ve/pluginfile.php/131834/user/icon/academi/f2?rev=7672945" id="0" name="image7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333375" cy="333375"/>
    <xdr:pic>
      <xdr:nvPicPr>
        <xdr:cNvPr descr="https://aulasvirtuales.unimet.edu.ve/pluginfile.php/297723/user/icon/academi/f2?rev=8343542" id="0" name="image23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333375" cy="333375"/>
    <xdr:pic>
      <xdr:nvPicPr>
        <xdr:cNvPr descr="https://aulasvirtuales.unimet.edu.ve/pluginfile.php/156881/user/icon/academi/f2?rev=7036507" id="0" name="image1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333375" cy="333375"/>
    <xdr:pic>
      <xdr:nvPicPr>
        <xdr:cNvPr descr="https://aulasvirtuales.unimet.edu.ve/pluginfile.php/253739/user/icon/academi/f2?rev=6025912" id="0" name="image20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333375" cy="333375"/>
    <xdr:pic>
      <xdr:nvPicPr>
        <xdr:cNvPr descr="https://aulasvirtuales.unimet.edu.ve/pluginfile.php/226753/user/icon/academi/f2?rev=4069489" id="0" name="image9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P32" displayName="Table_1" name="Table_1" id="1">
  <tableColumns count="16">
    <tableColumn name="Cédula " id="1"/>
    <tableColumn name="Nombres y Apellidos" id="2"/>
    <tableColumn name="Sem 1" id="3"/>
    <tableColumn name="Sem 2" id="4"/>
    <tableColumn name="Sem 3" id="5"/>
    <tableColumn name="Sem 4" id="6"/>
    <tableColumn name="Sem 5" id="7"/>
    <tableColumn name="Sem 6" id="8"/>
    <tableColumn name="Sem 7" id="9"/>
    <tableColumn name="Sem 8" id="10"/>
    <tableColumn name="Sem 9" id="11"/>
    <tableColumn name="Sem 10" id="12"/>
    <tableColumn name="Sem 11" id="13"/>
    <tableColumn name="Sem 12" id="14"/>
    <tableColumn name="TOTAL" id="15"/>
    <tableColumn name="%" id="16"/>
  </tableColumns>
  <tableStyleInfo name="ALGORITMOS-style" showColumnStripes="0" showFirstColumn="1" showLastColumn="1" showRowStripes="1"/>
</table>
</file>

<file path=xl/tables/table2.xml><?xml version="1.0" encoding="utf-8"?>
<table xmlns="http://schemas.openxmlformats.org/spreadsheetml/2006/main" ref="A2:P20" displayName="Table_2" name="Table_2" id="2">
  <tableColumns count="16">
    <tableColumn name="Cédula de Identidad" id="1"/>
    <tableColumn name="Nombres y Apellidos" id="2"/>
    <tableColumn name="Sem 1" id="3"/>
    <tableColumn name="Sem 2" id="4"/>
    <tableColumn name="Sem 3" id="5"/>
    <tableColumn name="Sem 4" id="6"/>
    <tableColumn name="Sem 5" id="7"/>
    <tableColumn name="Sem 6" id="8"/>
    <tableColumn name="Sem 7" id="9"/>
    <tableColumn name="Sem 8" id="10"/>
    <tableColumn name="Sem 9" id="11"/>
    <tableColumn name="Sem 10" id="12"/>
    <tableColumn name="Sem 11" id="13"/>
    <tableColumn name="Sem 12" id="14"/>
    <tableColumn name="TOTAL" id="15"/>
    <tableColumn name="%" id="16"/>
  </tableColumns>
  <tableStyleInfo name="ESTRUCTURAS-DE DATOS-style" showColumnStripes="0" showFirstColumn="1" showLastColumn="1" showRowStripes="1"/>
</table>
</file>

<file path=xl/tables/table3.xml><?xml version="1.0" encoding="utf-8"?>
<table xmlns="http://schemas.openxmlformats.org/spreadsheetml/2006/main" headerRowCount="0" ref="B2:Q45" displayName="Table_3" name="Table_3" id="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OMPURACION EMERGENT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aulasvirtuales.unimet.edu.ve/user/view.php?id=8546&amp;course=3479" TargetMode="External"/><Relationship Id="rId20" Type="http://schemas.openxmlformats.org/officeDocument/2006/relationships/hyperlink" Target="https://aulasvirtuales.unimet.edu.ve/user/view.php?id=1004&amp;course=3479" TargetMode="External"/><Relationship Id="rId42" Type="http://schemas.openxmlformats.org/officeDocument/2006/relationships/hyperlink" Target="https://aulasvirtuales.unimet.edu.ve/user/view.php?id=11173&amp;course=3479" TargetMode="External"/><Relationship Id="rId41" Type="http://schemas.openxmlformats.org/officeDocument/2006/relationships/hyperlink" Target="https://aulasvirtuales.unimet.edu.ve/user/view.php?id=11878&amp;course=3479" TargetMode="External"/><Relationship Id="rId22" Type="http://schemas.openxmlformats.org/officeDocument/2006/relationships/hyperlink" Target="https://aulasvirtuales.unimet.edu.ve/user/view.php?id=2221&amp;course=3479" TargetMode="External"/><Relationship Id="rId21" Type="http://schemas.openxmlformats.org/officeDocument/2006/relationships/hyperlink" Target="https://aulasvirtuales.unimet.edu.ve/user/view.php?id=1628&amp;course=3479" TargetMode="External"/><Relationship Id="rId43" Type="http://schemas.openxmlformats.org/officeDocument/2006/relationships/drawing" Target="../drawings/drawing3.xml"/><Relationship Id="rId24" Type="http://schemas.openxmlformats.org/officeDocument/2006/relationships/hyperlink" Target="https://aulasvirtuales.unimet.edu.ve/user/view.php?id=10298&amp;course=3479" TargetMode="External"/><Relationship Id="rId23" Type="http://schemas.openxmlformats.org/officeDocument/2006/relationships/hyperlink" Target="https://aulasvirtuales.unimet.edu.ve/user/view.php?id=10285&amp;course=3479" TargetMode="External"/><Relationship Id="rId45" Type="http://schemas.openxmlformats.org/officeDocument/2006/relationships/table" Target="../tables/table3.xml"/><Relationship Id="rId1" Type="http://schemas.openxmlformats.org/officeDocument/2006/relationships/hyperlink" Target="https://aulasvirtuales.unimet.edu.ve/user/view.php?id=10171&amp;course=3479" TargetMode="External"/><Relationship Id="rId2" Type="http://schemas.openxmlformats.org/officeDocument/2006/relationships/hyperlink" Target="https://aulasvirtuales.unimet.edu.ve/user/view.php?id=817&amp;course=3479" TargetMode="External"/><Relationship Id="rId3" Type="http://schemas.openxmlformats.org/officeDocument/2006/relationships/hyperlink" Target="https://aulasvirtuales.unimet.edu.ve/user/view.php?id=1527&amp;course=3479" TargetMode="External"/><Relationship Id="rId4" Type="http://schemas.openxmlformats.org/officeDocument/2006/relationships/hyperlink" Target="https://aulasvirtuales.unimet.edu.ve/user/view.php?id=6829&amp;course=3479" TargetMode="External"/><Relationship Id="rId9" Type="http://schemas.openxmlformats.org/officeDocument/2006/relationships/hyperlink" Target="https://aulasvirtuales.unimet.edu.ve/user/view.php?id=8541&amp;course=3479" TargetMode="External"/><Relationship Id="rId26" Type="http://schemas.openxmlformats.org/officeDocument/2006/relationships/hyperlink" Target="https://aulasvirtuales.unimet.edu.ve/user/view.php?id=6934&amp;course=3479" TargetMode="External"/><Relationship Id="rId25" Type="http://schemas.openxmlformats.org/officeDocument/2006/relationships/hyperlink" Target="https://aulasvirtuales.unimet.edu.ve/user/view.php?id=10224&amp;course=3479" TargetMode="External"/><Relationship Id="rId28" Type="http://schemas.openxmlformats.org/officeDocument/2006/relationships/hyperlink" Target="https://aulasvirtuales.unimet.edu.ve/user/view.php?id=8699&amp;course=3479" TargetMode="External"/><Relationship Id="rId27" Type="http://schemas.openxmlformats.org/officeDocument/2006/relationships/hyperlink" Target="https://aulasvirtuales.unimet.edu.ve/user/view.php?id=8806&amp;course=3479" TargetMode="External"/><Relationship Id="rId5" Type="http://schemas.openxmlformats.org/officeDocument/2006/relationships/hyperlink" Target="https://aulasvirtuales.unimet.edu.ve/user/view.php?id=4378&amp;course=3479" TargetMode="External"/><Relationship Id="rId6" Type="http://schemas.openxmlformats.org/officeDocument/2006/relationships/hyperlink" Target="https://aulasvirtuales.unimet.edu.ve/user/view.php?id=5827&amp;course=3479" TargetMode="External"/><Relationship Id="rId29" Type="http://schemas.openxmlformats.org/officeDocument/2006/relationships/hyperlink" Target="https://aulasvirtuales.unimet.edu.ve/user/view.php?id=75&amp;course=3479" TargetMode="External"/><Relationship Id="rId7" Type="http://schemas.openxmlformats.org/officeDocument/2006/relationships/hyperlink" Target="https://aulasvirtuales.unimet.edu.ve/user/view.php?id=10132&amp;course=3479" TargetMode="External"/><Relationship Id="rId8" Type="http://schemas.openxmlformats.org/officeDocument/2006/relationships/hyperlink" Target="https://aulasvirtuales.unimet.edu.ve/user/view.php?id=8614&amp;course=3479" TargetMode="External"/><Relationship Id="rId31" Type="http://schemas.openxmlformats.org/officeDocument/2006/relationships/hyperlink" Target="https://aulasvirtuales.unimet.edu.ve/user/view.php?id=10503&amp;course=3479" TargetMode="External"/><Relationship Id="rId30" Type="http://schemas.openxmlformats.org/officeDocument/2006/relationships/hyperlink" Target="https://aulasvirtuales.unimet.edu.ve/user/view.php?id=5441&amp;course=3479" TargetMode="External"/><Relationship Id="rId11" Type="http://schemas.openxmlformats.org/officeDocument/2006/relationships/hyperlink" Target="https://aulasvirtuales.unimet.edu.ve/user/view.php?id=8370&amp;course=3479" TargetMode="External"/><Relationship Id="rId33" Type="http://schemas.openxmlformats.org/officeDocument/2006/relationships/hyperlink" Target="https://aulasvirtuales.unimet.edu.ve/user/view.php?id=7313&amp;course=3479" TargetMode="External"/><Relationship Id="rId10" Type="http://schemas.openxmlformats.org/officeDocument/2006/relationships/hyperlink" Target="https://aulasvirtuales.unimet.edu.ve/user/view.php?id=4186&amp;course=3479" TargetMode="External"/><Relationship Id="rId32" Type="http://schemas.openxmlformats.org/officeDocument/2006/relationships/hyperlink" Target="https://aulasvirtuales.unimet.edu.ve/user/view.php?id=2199&amp;course=3479" TargetMode="External"/><Relationship Id="rId13" Type="http://schemas.openxmlformats.org/officeDocument/2006/relationships/hyperlink" Target="https://aulasvirtuales.unimet.edu.ve/user/view.php?id=6982&amp;course=3479" TargetMode="External"/><Relationship Id="rId35" Type="http://schemas.openxmlformats.org/officeDocument/2006/relationships/hyperlink" Target="https://aulasvirtuales.unimet.edu.ve/user/view.php?id=8624&amp;course=3479" TargetMode="External"/><Relationship Id="rId12" Type="http://schemas.openxmlformats.org/officeDocument/2006/relationships/hyperlink" Target="https://aulasvirtuales.unimet.edu.ve/user/view.php?id=8647&amp;course=3479" TargetMode="External"/><Relationship Id="rId34" Type="http://schemas.openxmlformats.org/officeDocument/2006/relationships/hyperlink" Target="https://aulasvirtuales.unimet.edu.ve/user/view.php?id=18737&amp;course=3479" TargetMode="External"/><Relationship Id="rId15" Type="http://schemas.openxmlformats.org/officeDocument/2006/relationships/hyperlink" Target="https://aulasvirtuales.unimet.edu.ve/user/view.php?id=9262&amp;course=3479" TargetMode="External"/><Relationship Id="rId37" Type="http://schemas.openxmlformats.org/officeDocument/2006/relationships/hyperlink" Target="https://aulasvirtuales.unimet.edu.ve/user/view.php?id=19673&amp;course=3479" TargetMode="External"/><Relationship Id="rId14" Type="http://schemas.openxmlformats.org/officeDocument/2006/relationships/hyperlink" Target="https://aulasvirtuales.unimet.edu.ve/user/view.php?id=8688&amp;course=3479" TargetMode="External"/><Relationship Id="rId36" Type="http://schemas.openxmlformats.org/officeDocument/2006/relationships/hyperlink" Target="https://aulasvirtuales.unimet.edu.ve/user/view.php?id=4645&amp;course=3479" TargetMode="External"/><Relationship Id="rId17" Type="http://schemas.openxmlformats.org/officeDocument/2006/relationships/hyperlink" Target="https://aulasvirtuales.unimet.edu.ve/user/view.php?id=7362&amp;course=3479" TargetMode="External"/><Relationship Id="rId39" Type="http://schemas.openxmlformats.org/officeDocument/2006/relationships/hyperlink" Target="https://aulasvirtuales.unimet.edu.ve/user/view.php?id=13668&amp;course=3479" TargetMode="External"/><Relationship Id="rId16" Type="http://schemas.openxmlformats.org/officeDocument/2006/relationships/hyperlink" Target="https://aulasvirtuales.unimet.edu.ve/user/view.php?id=866&amp;course=3479" TargetMode="External"/><Relationship Id="rId38" Type="http://schemas.openxmlformats.org/officeDocument/2006/relationships/hyperlink" Target="https://aulasvirtuales.unimet.edu.ve/user/view.php?id=10093&amp;course=3479" TargetMode="External"/><Relationship Id="rId19" Type="http://schemas.openxmlformats.org/officeDocument/2006/relationships/hyperlink" Target="https://aulasvirtuales.unimet.edu.ve/user/view.php?id=3523&amp;course=3479" TargetMode="External"/><Relationship Id="rId18" Type="http://schemas.openxmlformats.org/officeDocument/2006/relationships/hyperlink" Target="https://aulasvirtuales.unimet.edu.ve/user/view.php?id=5830&amp;course=3479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d.angulo@correo.unimet.edu.ve" TargetMode="External"/><Relationship Id="rId2" Type="http://schemas.openxmlformats.org/officeDocument/2006/relationships/hyperlink" Target="mailto:gianfranco.camporeale@correo.unimet.edu.ve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3.88"/>
    <col customWidth="1" min="2" max="2" width="20.63"/>
    <col customWidth="1" min="3" max="3" width="6.5"/>
    <col customWidth="1" min="4" max="11" width="8.25"/>
    <col customWidth="1" min="12" max="14" width="9.25"/>
    <col customWidth="1" min="15" max="27" width="8.63"/>
  </cols>
  <sheetData>
    <row r="1">
      <c r="A1" s="1" t="s">
        <v>1</v>
      </c>
      <c r="O1" s="2"/>
    </row>
    <row r="2">
      <c r="A2" s="4" t="s">
        <v>4</v>
      </c>
      <c r="B2" s="4" t="s">
        <v>5</v>
      </c>
      <c r="C2" s="4" t="s">
        <v>6</v>
      </c>
      <c r="D2" s="8" t="s">
        <v>7</v>
      </c>
      <c r="E2" s="8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14</v>
      </c>
      <c r="K2" s="4" t="s">
        <v>15</v>
      </c>
      <c r="L2" s="4" t="s">
        <v>16</v>
      </c>
      <c r="M2" s="4" t="s">
        <v>17</v>
      </c>
      <c r="N2" s="18" t="s">
        <v>18</v>
      </c>
      <c r="O2" s="20" t="s">
        <v>20</v>
      </c>
      <c r="P2" s="23" t="s">
        <v>22</v>
      </c>
    </row>
    <row r="3">
      <c r="A3" s="26">
        <v>3.2535007E7</v>
      </c>
      <c r="B3" s="28" t="s">
        <v>26</v>
      </c>
      <c r="C3" s="4"/>
      <c r="D3" s="4"/>
      <c r="E3" s="4"/>
      <c r="F3" s="4">
        <v>4.0</v>
      </c>
      <c r="G3" s="4"/>
      <c r="H3" s="4">
        <v>1.0</v>
      </c>
      <c r="I3" s="4"/>
      <c r="J3" s="4"/>
      <c r="K3" s="4"/>
      <c r="L3" s="4"/>
      <c r="M3" s="4"/>
      <c r="N3" s="18"/>
      <c r="O3" s="36">
        <f>SUM(ALGORITMOS!$C3:$N3)</f>
        <v>5</v>
      </c>
      <c r="P3" s="42">
        <f t="shared" ref="P3:P32" si="1">O3/10</f>
        <v>0.5</v>
      </c>
    </row>
    <row r="4">
      <c r="A4" s="45">
        <v>3.2753793E7</v>
      </c>
      <c r="B4" s="28" t="s">
        <v>42</v>
      </c>
      <c r="C4" s="4"/>
      <c r="D4" s="8"/>
      <c r="E4" s="4"/>
      <c r="F4" s="4"/>
      <c r="G4" s="4"/>
      <c r="H4" s="4"/>
      <c r="I4" s="4"/>
      <c r="J4" s="4"/>
      <c r="K4" s="4"/>
      <c r="L4" s="4"/>
      <c r="M4" s="4"/>
      <c r="N4" s="18"/>
      <c r="O4" s="36">
        <f>SUM(ALGORITMOS!$C4:$N4)</f>
        <v>0</v>
      </c>
      <c r="P4" s="42">
        <f t="shared" si="1"/>
        <v>0</v>
      </c>
    </row>
    <row r="5">
      <c r="A5" s="45">
        <v>3.2473285E7</v>
      </c>
      <c r="B5" s="28" t="s">
        <v>49</v>
      </c>
      <c r="C5" s="4"/>
      <c r="D5" s="8"/>
      <c r="E5" s="4"/>
      <c r="F5" s="4"/>
      <c r="G5" s="4"/>
      <c r="H5" s="4"/>
      <c r="I5" s="4"/>
      <c r="J5" s="4"/>
      <c r="K5" s="4">
        <v>1.0</v>
      </c>
      <c r="L5" s="4"/>
      <c r="M5" s="4"/>
      <c r="N5" s="18"/>
      <c r="O5" s="36">
        <f>SUM(ALGORITMOS!$C5:$N5)</f>
        <v>1</v>
      </c>
      <c r="P5" s="42">
        <f t="shared" si="1"/>
        <v>0.1</v>
      </c>
    </row>
    <row r="6">
      <c r="A6" s="45">
        <v>3.2235603E7</v>
      </c>
      <c r="B6" s="28" t="s">
        <v>51</v>
      </c>
      <c r="C6" s="4"/>
      <c r="D6" s="4"/>
      <c r="E6" s="8"/>
      <c r="F6" s="4"/>
      <c r="G6" s="4"/>
      <c r="H6" s="4"/>
      <c r="I6" s="4"/>
      <c r="J6" s="4"/>
      <c r="K6" s="4"/>
      <c r="L6" s="4"/>
      <c r="M6" s="4"/>
      <c r="N6" s="18"/>
      <c r="O6" s="36">
        <f>SUM(ALGORITMOS!$C6:$N6)</f>
        <v>0</v>
      </c>
      <c r="P6" s="42">
        <f t="shared" si="1"/>
        <v>0</v>
      </c>
    </row>
    <row r="7">
      <c r="A7" s="45">
        <v>3.2749893E7</v>
      </c>
      <c r="B7" s="28" t="s">
        <v>54</v>
      </c>
      <c r="C7" s="4">
        <v>1.0</v>
      </c>
      <c r="D7" s="4"/>
      <c r="E7" s="4"/>
      <c r="F7" s="4"/>
      <c r="G7" s="4">
        <v>1.0</v>
      </c>
      <c r="H7" s="4"/>
      <c r="I7" s="4"/>
      <c r="J7" s="4"/>
      <c r="K7" s="4"/>
      <c r="L7" s="4"/>
      <c r="M7" s="4"/>
      <c r="N7" s="18"/>
      <c r="O7" s="36">
        <f>SUM(ALGORITMOS!$C7:$N7)</f>
        <v>2</v>
      </c>
      <c r="P7" s="42">
        <f t="shared" si="1"/>
        <v>0.2</v>
      </c>
    </row>
    <row r="8">
      <c r="A8" s="45">
        <v>3.222728E7</v>
      </c>
      <c r="B8" s="28" t="s">
        <v>57</v>
      </c>
      <c r="C8" s="4">
        <v>1.0</v>
      </c>
      <c r="D8" s="4"/>
      <c r="E8" s="4"/>
      <c r="F8" s="4"/>
      <c r="G8" s="4"/>
      <c r="H8" s="4"/>
      <c r="I8" s="4"/>
      <c r="J8" s="4"/>
      <c r="K8" s="4">
        <v>1.0</v>
      </c>
      <c r="L8" s="4"/>
      <c r="M8" s="4">
        <v>1.0</v>
      </c>
      <c r="N8" s="18"/>
      <c r="O8" s="36">
        <f>SUM(ALGORITMOS!$C8:$N8)</f>
        <v>3</v>
      </c>
      <c r="P8" s="42">
        <f t="shared" si="1"/>
        <v>0.3</v>
      </c>
      <c r="Q8" s="53"/>
    </row>
    <row r="9">
      <c r="A9" s="45">
        <v>3.182132E7</v>
      </c>
      <c r="B9" s="28" t="s">
        <v>59</v>
      </c>
      <c r="C9" s="4">
        <v>1.0</v>
      </c>
      <c r="D9" s="4"/>
      <c r="E9" s="8">
        <v>2.0</v>
      </c>
      <c r="F9" s="4">
        <v>3.0</v>
      </c>
      <c r="G9" s="4">
        <v>1.0</v>
      </c>
      <c r="H9" s="4">
        <v>3.0</v>
      </c>
      <c r="I9" s="4"/>
      <c r="J9" s="4"/>
      <c r="K9" s="4"/>
      <c r="L9" s="4"/>
      <c r="M9" s="4"/>
      <c r="N9" s="18"/>
      <c r="O9" s="36">
        <f>SUM(ALGORITMOS!$C9:$N9)</f>
        <v>10</v>
      </c>
      <c r="P9" s="42">
        <f t="shared" si="1"/>
        <v>1</v>
      </c>
    </row>
    <row r="10">
      <c r="A10" s="45">
        <v>3.6064964E7</v>
      </c>
      <c r="B10" s="28" t="s">
        <v>62</v>
      </c>
      <c r="C10" s="54">
        <v>1.0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18"/>
      <c r="O10" s="36">
        <f>SUM(ALGORITMOS!$C10:$N10)</f>
        <v>1</v>
      </c>
      <c r="P10" s="42">
        <f t="shared" si="1"/>
        <v>0.1</v>
      </c>
    </row>
    <row r="11">
      <c r="A11" s="45">
        <v>3.2357635E7</v>
      </c>
      <c r="B11" s="28" t="s">
        <v>65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18"/>
      <c r="O11" s="36">
        <f>SUM(ALGORITMOS!$C11:$N11)</f>
        <v>0</v>
      </c>
      <c r="P11" s="42">
        <f t="shared" si="1"/>
        <v>0</v>
      </c>
    </row>
    <row r="12">
      <c r="A12" s="45">
        <v>3.0538964E7</v>
      </c>
      <c r="B12" s="28" t="s">
        <v>67</v>
      </c>
      <c r="C12" s="4"/>
      <c r="D12" s="4"/>
      <c r="E12" s="8"/>
      <c r="F12" s="4">
        <v>1.0</v>
      </c>
      <c r="G12" s="4"/>
      <c r="H12" s="4"/>
      <c r="I12" s="4"/>
      <c r="J12" s="4"/>
      <c r="K12" s="4"/>
      <c r="L12" s="4"/>
      <c r="M12" s="4">
        <v>1.0</v>
      </c>
      <c r="N12" s="18"/>
      <c r="O12" s="36">
        <f>SUM(ALGORITMOS!$C12:$N12)</f>
        <v>2</v>
      </c>
      <c r="P12" s="42">
        <f t="shared" si="1"/>
        <v>0.2</v>
      </c>
    </row>
    <row r="13">
      <c r="A13" s="45">
        <v>3.2348335E7</v>
      </c>
      <c r="B13" s="28" t="s">
        <v>70</v>
      </c>
      <c r="C13" s="4">
        <v>1.0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18"/>
      <c r="O13" s="36">
        <f>SUM(ALGORITMOS!$C13:$N13)</f>
        <v>1</v>
      </c>
      <c r="P13" s="42">
        <f t="shared" si="1"/>
        <v>0.1</v>
      </c>
    </row>
    <row r="14">
      <c r="A14" s="45">
        <v>3.2122169E7</v>
      </c>
      <c r="B14" s="28" t="s">
        <v>72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8"/>
      <c r="O14" s="36">
        <f>SUM(ALGORITMOS!$C14:$N14)</f>
        <v>0</v>
      </c>
      <c r="P14" s="42">
        <f t="shared" si="1"/>
        <v>0</v>
      </c>
    </row>
    <row r="15">
      <c r="A15" s="45">
        <v>3.2013622E7</v>
      </c>
      <c r="B15" s="28" t="s">
        <v>75</v>
      </c>
      <c r="C15" s="4">
        <v>1.0</v>
      </c>
      <c r="D15" s="8"/>
      <c r="E15" s="8"/>
      <c r="F15" s="4"/>
      <c r="G15" s="4"/>
      <c r="H15" s="4"/>
      <c r="I15" s="4"/>
      <c r="J15" s="4"/>
      <c r="K15" s="4"/>
      <c r="L15" s="4"/>
      <c r="M15" s="4"/>
      <c r="N15" s="18"/>
      <c r="O15" s="36">
        <f>SUM(ALGORITMOS!$C15:$N15)</f>
        <v>1</v>
      </c>
      <c r="P15" s="42">
        <f t="shared" si="1"/>
        <v>0.1</v>
      </c>
    </row>
    <row r="16">
      <c r="A16" s="45">
        <v>3.0497178E7</v>
      </c>
      <c r="B16" s="28" t="s">
        <v>77</v>
      </c>
      <c r="C16" s="4">
        <v>1.0</v>
      </c>
      <c r="D16" s="8"/>
      <c r="E16" s="4"/>
      <c r="F16" s="4"/>
      <c r="G16" s="4"/>
      <c r="H16" s="4"/>
      <c r="I16" s="4"/>
      <c r="J16" s="4"/>
      <c r="K16" s="4"/>
      <c r="L16" s="4"/>
      <c r="M16" s="4"/>
      <c r="N16" s="18"/>
      <c r="O16" s="36">
        <f>SUM(ALGORITMOS!$C16:$N16)</f>
        <v>1</v>
      </c>
      <c r="P16" s="42">
        <f t="shared" si="1"/>
        <v>0.1</v>
      </c>
    </row>
    <row r="17">
      <c r="A17" s="45">
        <v>3.2337077E7</v>
      </c>
      <c r="B17" s="28" t="s">
        <v>80</v>
      </c>
      <c r="C17" s="4"/>
      <c r="D17" s="8"/>
      <c r="E17" s="8"/>
      <c r="F17" s="4"/>
      <c r="G17" s="8"/>
      <c r="H17" s="8"/>
      <c r="I17" s="4"/>
      <c r="J17" s="4"/>
      <c r="K17" s="4"/>
      <c r="L17" s="4"/>
      <c r="M17" s="4"/>
      <c r="N17" s="18"/>
      <c r="O17" s="36">
        <f>SUM(ALGORITMOS!$C17:$N17)</f>
        <v>0</v>
      </c>
      <c r="P17" s="42">
        <f t="shared" si="1"/>
        <v>0</v>
      </c>
    </row>
    <row r="18">
      <c r="A18" s="45">
        <v>3.2348512E7</v>
      </c>
      <c r="B18" s="28" t="s">
        <v>83</v>
      </c>
      <c r="C18" s="4">
        <v>1.0</v>
      </c>
      <c r="D18" s="4"/>
      <c r="E18" s="8"/>
      <c r="F18" s="4"/>
      <c r="G18" s="8"/>
      <c r="H18" s="4"/>
      <c r="I18" s="4"/>
      <c r="J18" s="4"/>
      <c r="K18" s="4">
        <v>1.0</v>
      </c>
      <c r="L18" s="4"/>
      <c r="M18" s="4"/>
      <c r="N18" s="18"/>
      <c r="O18" s="36">
        <f>SUM(ALGORITMOS!$C18:$N18)</f>
        <v>2</v>
      </c>
      <c r="P18" s="42">
        <f t="shared" si="1"/>
        <v>0.2</v>
      </c>
    </row>
    <row r="19">
      <c r="A19" s="45">
        <v>3.222653E7</v>
      </c>
      <c r="B19" s="28" t="s">
        <v>85</v>
      </c>
      <c r="C19" s="4">
        <v>1.0</v>
      </c>
      <c r="D19" s="8"/>
      <c r="E19" s="8">
        <v>3.0</v>
      </c>
      <c r="F19" s="4"/>
      <c r="G19" s="4"/>
      <c r="H19" s="4"/>
      <c r="I19" s="4"/>
      <c r="J19" s="4"/>
      <c r="K19" s="4"/>
      <c r="L19" s="4"/>
      <c r="M19" s="4"/>
      <c r="N19" s="18"/>
      <c r="O19" s="36">
        <f>SUM(ALGORITMOS!$C19:$N19)</f>
        <v>4</v>
      </c>
      <c r="P19" s="42">
        <f t="shared" si="1"/>
        <v>0.4</v>
      </c>
    </row>
    <row r="20">
      <c r="A20" s="45">
        <v>3.1873764E7</v>
      </c>
      <c r="B20" s="28" t="s">
        <v>88</v>
      </c>
      <c r="C20" s="4"/>
      <c r="D20" s="4"/>
      <c r="E20" s="4">
        <v>1.0</v>
      </c>
      <c r="F20" s="4">
        <v>4.0</v>
      </c>
      <c r="G20" s="4"/>
      <c r="H20" s="4"/>
      <c r="I20" s="4"/>
      <c r="J20" s="4"/>
      <c r="K20" s="4"/>
      <c r="L20" s="4"/>
      <c r="M20" s="4"/>
      <c r="N20" s="18"/>
      <c r="O20" s="36">
        <f>SUM(ALGORITMOS!$C20:$N20)</f>
        <v>5</v>
      </c>
      <c r="P20" s="42">
        <f t="shared" si="1"/>
        <v>0.5</v>
      </c>
    </row>
    <row r="21">
      <c r="A21" s="45">
        <v>3.2396833E7</v>
      </c>
      <c r="B21" s="28" t="s">
        <v>90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>
        <v>1.0</v>
      </c>
      <c r="N21" s="18"/>
      <c r="O21" s="36">
        <f>SUM(ALGORITMOS!$C21:$N21)</f>
        <v>1</v>
      </c>
      <c r="P21" s="42">
        <f t="shared" si="1"/>
        <v>0.1</v>
      </c>
    </row>
    <row r="22" ht="15.75" customHeight="1">
      <c r="A22" s="45">
        <v>3.2292306E7</v>
      </c>
      <c r="B22" s="28" t="s">
        <v>91</v>
      </c>
      <c r="C22" s="4"/>
      <c r="D22" s="4"/>
      <c r="E22" s="4"/>
      <c r="F22" s="4">
        <v>1.0</v>
      </c>
      <c r="G22" s="4"/>
      <c r="H22" s="4"/>
      <c r="I22" s="4"/>
      <c r="J22" s="4"/>
      <c r="K22" s="4"/>
      <c r="L22" s="4"/>
      <c r="M22" s="4">
        <v>1.0</v>
      </c>
      <c r="N22" s="18"/>
      <c r="O22" s="36">
        <f>SUM(ALGORITMOS!$C22:$N22)</f>
        <v>2</v>
      </c>
      <c r="P22" s="42">
        <f t="shared" si="1"/>
        <v>0.2</v>
      </c>
    </row>
    <row r="23" ht="15.75" customHeight="1">
      <c r="A23" s="45">
        <v>3.1873213E7</v>
      </c>
      <c r="B23" s="28" t="s">
        <v>93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18"/>
      <c r="O23" s="36">
        <f>SUM(ALGORITMOS!$C23:$N23)</f>
        <v>0</v>
      </c>
      <c r="P23" s="42">
        <f t="shared" si="1"/>
        <v>0</v>
      </c>
    </row>
    <row r="24" ht="15.75" customHeight="1">
      <c r="A24" s="45">
        <v>3.2520003E7</v>
      </c>
      <c r="B24" s="28" t="s">
        <v>95</v>
      </c>
      <c r="C24" s="4">
        <v>2.0</v>
      </c>
      <c r="D24" s="8"/>
      <c r="E24" s="8"/>
      <c r="F24" s="4"/>
      <c r="G24" s="8"/>
      <c r="H24" s="8"/>
      <c r="I24" s="4"/>
      <c r="J24" s="4"/>
      <c r="K24" s="4"/>
      <c r="L24" s="4"/>
      <c r="M24" s="4"/>
      <c r="N24" s="18"/>
      <c r="O24" s="36">
        <f>SUM(ALGORITMOS!$C24:$N24)</f>
        <v>2</v>
      </c>
      <c r="P24" s="42">
        <f t="shared" si="1"/>
        <v>0.2</v>
      </c>
    </row>
    <row r="25" ht="15.75" customHeight="1">
      <c r="A25" s="45">
        <v>3.400248E7</v>
      </c>
      <c r="B25" s="28" t="s">
        <v>96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18"/>
      <c r="O25" s="36">
        <f>SUM(ALGORITMOS!$C25:$N25)</f>
        <v>0</v>
      </c>
      <c r="P25" s="42">
        <f t="shared" si="1"/>
        <v>0</v>
      </c>
    </row>
    <row r="26" ht="15.75" customHeight="1">
      <c r="A26" s="45">
        <v>3.2122247E7</v>
      </c>
      <c r="B26" s="28" t="s">
        <v>98</v>
      </c>
      <c r="C26" s="4"/>
      <c r="D26" s="4"/>
      <c r="E26" s="4">
        <v>1.0</v>
      </c>
      <c r="F26" s="4"/>
      <c r="G26" s="4"/>
      <c r="H26" s="4"/>
      <c r="I26" s="4"/>
      <c r="J26" s="4"/>
      <c r="K26" s="4"/>
      <c r="L26" s="4"/>
      <c r="M26" s="4"/>
      <c r="N26" s="18"/>
      <c r="O26" s="36">
        <f>SUM(ALGORITMOS!$C26:$N26)</f>
        <v>1</v>
      </c>
      <c r="P26" s="42">
        <f t="shared" si="1"/>
        <v>0.1</v>
      </c>
    </row>
    <row r="27" ht="15.75" customHeight="1">
      <c r="A27" s="45">
        <v>3.2857188E7</v>
      </c>
      <c r="B27" s="28" t="s">
        <v>100</v>
      </c>
      <c r="C27" s="4">
        <v>1.0</v>
      </c>
      <c r="D27" s="4"/>
      <c r="E27" s="4">
        <v>3.0</v>
      </c>
      <c r="F27" s="4"/>
      <c r="G27" s="4"/>
      <c r="H27" s="4"/>
      <c r="I27" s="4"/>
      <c r="J27" s="4"/>
      <c r="K27" s="4">
        <v>1.0</v>
      </c>
      <c r="L27" s="4"/>
      <c r="M27" s="4"/>
      <c r="N27" s="18"/>
      <c r="O27" s="36">
        <f>SUM(ALGORITMOS!$C27:$N27)</f>
        <v>5</v>
      </c>
      <c r="P27" s="42">
        <f t="shared" si="1"/>
        <v>0.5</v>
      </c>
    </row>
    <row r="28" ht="15.75" customHeight="1">
      <c r="A28" s="45">
        <v>3.2624143E7</v>
      </c>
      <c r="B28" s="28" t="s">
        <v>101</v>
      </c>
      <c r="C28" s="4">
        <v>1.0</v>
      </c>
      <c r="D28" s="4"/>
      <c r="E28" s="4">
        <v>2.0</v>
      </c>
      <c r="F28" s="4"/>
      <c r="G28" s="4"/>
      <c r="H28" s="4"/>
      <c r="I28" s="4"/>
      <c r="J28" s="4"/>
      <c r="K28" s="4">
        <v>1.0</v>
      </c>
      <c r="L28" s="4"/>
      <c r="M28" s="4"/>
      <c r="N28" s="18"/>
      <c r="O28" s="36">
        <f>SUM(ALGORITMOS!$C28:$N28)</f>
        <v>4</v>
      </c>
      <c r="P28" s="42">
        <f t="shared" si="1"/>
        <v>0.4</v>
      </c>
    </row>
    <row r="29" ht="15.75" customHeight="1">
      <c r="A29" s="60">
        <v>3.2504495E7</v>
      </c>
      <c r="B29" s="61" t="s">
        <v>103</v>
      </c>
      <c r="C29" s="4">
        <v>1.0</v>
      </c>
      <c r="D29" s="4"/>
      <c r="E29" s="4">
        <v>3.0</v>
      </c>
      <c r="F29" s="4"/>
      <c r="G29" s="4"/>
      <c r="H29" s="4"/>
      <c r="I29" s="4"/>
      <c r="J29" s="4"/>
      <c r="K29" s="4">
        <v>1.0</v>
      </c>
      <c r="L29" s="4"/>
      <c r="M29" s="4"/>
      <c r="N29" s="18"/>
      <c r="O29" s="36">
        <f>SUM(ALGORITMOS!$C29:$N29)</f>
        <v>5</v>
      </c>
      <c r="P29" s="42">
        <f t="shared" si="1"/>
        <v>0.5</v>
      </c>
    </row>
    <row r="30" ht="15.75" customHeight="1">
      <c r="A30" s="60">
        <v>3.2538098E7</v>
      </c>
      <c r="B30" s="61" t="s">
        <v>104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18"/>
      <c r="O30" s="36">
        <f>SUM(ALGORITMOS!$C30:$N30)</f>
        <v>0</v>
      </c>
      <c r="P30" s="42">
        <f t="shared" si="1"/>
        <v>0</v>
      </c>
    </row>
    <row r="31" ht="15.75" customHeight="1">
      <c r="A31" s="60">
        <v>3.2110956E7</v>
      </c>
      <c r="B31" s="61" t="s">
        <v>106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18"/>
      <c r="O31" s="36">
        <f>SUM(ALGORITMOS!$C31:$N31)</f>
        <v>0</v>
      </c>
      <c r="P31" s="42">
        <f t="shared" si="1"/>
        <v>0</v>
      </c>
    </row>
    <row r="32" ht="15.75" customHeight="1">
      <c r="A32" s="60">
        <v>3.0774515E7</v>
      </c>
      <c r="B32" s="61" t="s">
        <v>108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18"/>
      <c r="O32" s="36">
        <f>SUM(ALGORITMOS!$C32:$N32)</f>
        <v>0</v>
      </c>
      <c r="P32" s="42">
        <f t="shared" si="1"/>
        <v>0</v>
      </c>
    </row>
    <row r="33" ht="15.75" customHeight="1">
      <c r="O33" s="2"/>
    </row>
    <row r="34">
      <c r="O34" s="2"/>
    </row>
    <row r="35">
      <c r="O35" s="2"/>
    </row>
    <row r="36">
      <c r="O36" s="2"/>
    </row>
    <row r="37">
      <c r="O37" s="2"/>
    </row>
    <row r="38">
      <c r="O38" s="2"/>
    </row>
    <row r="39">
      <c r="O39" s="2"/>
    </row>
    <row r="40">
      <c r="O40" s="2"/>
    </row>
    <row r="41">
      <c r="O41" s="2"/>
    </row>
    <row r="42">
      <c r="O42" s="2"/>
    </row>
    <row r="43">
      <c r="O43" s="2"/>
    </row>
    <row r="44">
      <c r="O44" s="2"/>
    </row>
    <row r="45">
      <c r="O45" s="2"/>
    </row>
    <row r="46">
      <c r="O46" s="2"/>
    </row>
    <row r="47">
      <c r="O47" s="2"/>
    </row>
    <row r="48">
      <c r="O48" s="2"/>
    </row>
    <row r="49">
      <c r="O49" s="2"/>
    </row>
    <row r="50">
      <c r="O50" s="2"/>
    </row>
    <row r="51">
      <c r="O51" s="2"/>
    </row>
    <row r="52">
      <c r="O52" s="2"/>
    </row>
    <row r="53">
      <c r="O53" s="2"/>
    </row>
    <row r="54">
      <c r="O54" s="2"/>
    </row>
    <row r="55">
      <c r="O55" s="2"/>
    </row>
    <row r="56">
      <c r="O56" s="2"/>
    </row>
    <row r="57">
      <c r="O57" s="2"/>
    </row>
    <row r="58">
      <c r="O58" s="2"/>
    </row>
    <row r="59">
      <c r="O59" s="2"/>
    </row>
    <row r="60">
      <c r="O60" s="2"/>
    </row>
    <row r="61">
      <c r="O61" s="2"/>
    </row>
    <row r="62">
      <c r="O62" s="2"/>
    </row>
    <row r="63">
      <c r="O63" s="2"/>
    </row>
    <row r="64">
      <c r="O64" s="2"/>
    </row>
    <row r="65">
      <c r="O65" s="2"/>
    </row>
    <row r="66">
      <c r="O66" s="2"/>
    </row>
    <row r="67">
      <c r="O67" s="2"/>
    </row>
    <row r="68">
      <c r="O68" s="2"/>
    </row>
    <row r="69" ht="28.5" customHeight="1">
      <c r="O69" s="2"/>
    </row>
    <row r="70" ht="15.75" customHeight="1">
      <c r="O70" s="2"/>
    </row>
    <row r="71" ht="15.75" customHeight="1">
      <c r="O71" s="2"/>
    </row>
    <row r="72" ht="15.75" customHeight="1">
      <c r="O72" s="2"/>
    </row>
    <row r="73" ht="15.75" customHeight="1">
      <c r="O73" s="2"/>
    </row>
    <row r="74" ht="15.75" customHeight="1">
      <c r="O74" s="2"/>
    </row>
    <row r="75" ht="15.75" customHeight="1">
      <c r="O75" s="2"/>
    </row>
    <row r="76" ht="15.75" customHeight="1">
      <c r="O76" s="2"/>
    </row>
    <row r="77" ht="15.75" customHeight="1">
      <c r="O77" s="2"/>
    </row>
    <row r="78" ht="15.75" customHeight="1">
      <c r="O78" s="2"/>
    </row>
    <row r="79" ht="15.75" customHeight="1">
      <c r="O79" s="2"/>
    </row>
    <row r="80" ht="15.75" customHeight="1">
      <c r="O80" s="2"/>
    </row>
    <row r="81" ht="15.75" customHeight="1">
      <c r="O81" s="2"/>
    </row>
    <row r="82" ht="15.75" customHeight="1">
      <c r="O82" s="2"/>
    </row>
    <row r="83" ht="15.75" customHeight="1">
      <c r="O83" s="2"/>
    </row>
    <row r="84" ht="15.75" customHeight="1">
      <c r="O84" s="2"/>
    </row>
    <row r="85" ht="15.75" customHeight="1">
      <c r="O85" s="2"/>
    </row>
    <row r="86" ht="15.75" customHeight="1">
      <c r="O86" s="2"/>
    </row>
    <row r="87" ht="15.75" customHeight="1">
      <c r="O87" s="2"/>
    </row>
    <row r="88" ht="15.75" customHeight="1">
      <c r="O88" s="2"/>
    </row>
    <row r="89" ht="15.75" customHeight="1">
      <c r="O89" s="2"/>
    </row>
    <row r="90" ht="15.75" customHeight="1">
      <c r="O90" s="2"/>
    </row>
    <row r="91" ht="15.75" customHeight="1">
      <c r="O91" s="2"/>
    </row>
    <row r="92" ht="15.75" customHeight="1">
      <c r="O92" s="2"/>
    </row>
    <row r="93" ht="15.75" customHeight="1">
      <c r="O93" s="2"/>
    </row>
    <row r="94" ht="15.75" customHeight="1">
      <c r="O94" s="2"/>
    </row>
    <row r="95" ht="15.75" customHeight="1">
      <c r="O95" s="2"/>
    </row>
    <row r="96" ht="15.75" customHeight="1">
      <c r="O96" s="2"/>
    </row>
    <row r="97" ht="15.75" customHeight="1">
      <c r="O97" s="2"/>
    </row>
    <row r="98" ht="15.75" customHeight="1">
      <c r="O98" s="2"/>
    </row>
    <row r="99" ht="15.75" customHeight="1">
      <c r="O99" s="2"/>
    </row>
    <row r="100" ht="15.75" customHeight="1">
      <c r="O100" s="2"/>
    </row>
    <row r="101" ht="15.75" customHeight="1">
      <c r="O101" s="2"/>
    </row>
    <row r="102" ht="15.75" customHeight="1">
      <c r="O102" s="2"/>
    </row>
    <row r="103" ht="15.75" customHeight="1">
      <c r="O103" s="2"/>
    </row>
    <row r="104" ht="15.75" customHeight="1">
      <c r="O104" s="2"/>
    </row>
    <row r="105" ht="15.75" customHeight="1">
      <c r="O105" s="2"/>
    </row>
    <row r="106" ht="15.75" customHeight="1">
      <c r="O106" s="2"/>
    </row>
    <row r="107" ht="15.75" customHeight="1">
      <c r="O107" s="2"/>
    </row>
    <row r="108" ht="15.75" customHeight="1">
      <c r="O108" s="2"/>
    </row>
    <row r="109" ht="15.75" customHeight="1">
      <c r="O109" s="2"/>
    </row>
    <row r="110" ht="15.75" customHeight="1">
      <c r="O110" s="2"/>
    </row>
    <row r="111" ht="15.75" customHeight="1">
      <c r="O111" s="2"/>
    </row>
    <row r="112" ht="15.75" customHeight="1">
      <c r="O112" s="2"/>
    </row>
    <row r="113" ht="15.75" customHeight="1">
      <c r="O113" s="2"/>
    </row>
    <row r="114" ht="15.75" customHeight="1">
      <c r="O114" s="2"/>
    </row>
    <row r="115" ht="15.75" customHeight="1">
      <c r="O115" s="2"/>
    </row>
    <row r="116" ht="15.75" customHeight="1">
      <c r="O116" s="2"/>
    </row>
    <row r="117" ht="15.75" customHeight="1">
      <c r="O117" s="2"/>
    </row>
    <row r="118" ht="15.75" customHeight="1">
      <c r="O118" s="2"/>
    </row>
    <row r="119" ht="15.75" customHeight="1">
      <c r="O119" s="2"/>
    </row>
    <row r="120" ht="15.75" customHeight="1">
      <c r="O120" s="2"/>
    </row>
    <row r="121" ht="15.75" customHeight="1">
      <c r="O121" s="2"/>
    </row>
    <row r="122" ht="15.75" customHeight="1">
      <c r="O122" s="2"/>
    </row>
    <row r="123" ht="15.75" customHeight="1">
      <c r="O123" s="2"/>
    </row>
    <row r="124" ht="15.75" customHeight="1">
      <c r="O124" s="2"/>
    </row>
    <row r="125" ht="15.75" customHeight="1">
      <c r="O125" s="2"/>
    </row>
    <row r="126" ht="15.75" customHeight="1">
      <c r="O126" s="2"/>
    </row>
    <row r="127" ht="15.75" customHeight="1">
      <c r="O127" s="2"/>
    </row>
    <row r="128" ht="15.75" customHeight="1">
      <c r="O128" s="2"/>
    </row>
    <row r="129" ht="15.75" customHeight="1">
      <c r="O129" s="2"/>
    </row>
    <row r="130" ht="15.75" customHeight="1">
      <c r="O130" s="2"/>
    </row>
    <row r="131" ht="15.75" customHeight="1">
      <c r="O131" s="2"/>
    </row>
    <row r="132" ht="15.75" customHeight="1">
      <c r="O132" s="2"/>
    </row>
    <row r="133" ht="15.75" customHeight="1">
      <c r="O133" s="2"/>
    </row>
    <row r="134" ht="15.75" customHeight="1">
      <c r="O134" s="2"/>
    </row>
    <row r="135" ht="15.75" customHeight="1">
      <c r="O135" s="2"/>
    </row>
    <row r="136" ht="15.75" customHeight="1">
      <c r="O136" s="2"/>
    </row>
    <row r="137" ht="15.75" customHeight="1">
      <c r="O137" s="2"/>
    </row>
    <row r="138" ht="15.75" customHeight="1">
      <c r="O138" s="2"/>
    </row>
    <row r="139" ht="15.75" customHeight="1">
      <c r="O139" s="2"/>
    </row>
    <row r="140" ht="15.75" customHeight="1">
      <c r="O140" s="2"/>
    </row>
    <row r="141" ht="15.75" customHeight="1">
      <c r="O141" s="2"/>
    </row>
    <row r="142" ht="15.75" customHeight="1">
      <c r="O142" s="2"/>
    </row>
    <row r="143" ht="15.75" customHeight="1">
      <c r="O143" s="2"/>
    </row>
    <row r="144" ht="15.75" customHeight="1">
      <c r="O144" s="2"/>
    </row>
    <row r="145" ht="15.75" customHeight="1">
      <c r="O145" s="2"/>
    </row>
    <row r="146" ht="15.75" customHeight="1">
      <c r="O146" s="2"/>
    </row>
    <row r="147" ht="15.75" customHeight="1">
      <c r="O147" s="2"/>
    </row>
    <row r="148" ht="15.75" customHeight="1">
      <c r="O148" s="2"/>
    </row>
    <row r="149" ht="15.75" customHeight="1">
      <c r="O149" s="2"/>
    </row>
    <row r="150" ht="15.75" customHeight="1">
      <c r="O150" s="2"/>
    </row>
    <row r="151" ht="15.75" customHeight="1">
      <c r="O151" s="2"/>
    </row>
    <row r="152" ht="15.75" customHeight="1">
      <c r="O152" s="2"/>
    </row>
    <row r="153" ht="15.75" customHeight="1">
      <c r="O153" s="2"/>
    </row>
    <row r="154" ht="15.75" customHeight="1">
      <c r="O154" s="2"/>
    </row>
    <row r="155" ht="15.75" customHeight="1">
      <c r="O155" s="2"/>
    </row>
    <row r="156" ht="15.75" customHeight="1">
      <c r="O156" s="2"/>
    </row>
    <row r="157" ht="15.75" customHeight="1">
      <c r="O157" s="2"/>
    </row>
    <row r="158" ht="15.75" customHeight="1">
      <c r="O158" s="2"/>
    </row>
    <row r="159" ht="15.75" customHeight="1">
      <c r="O159" s="2"/>
    </row>
    <row r="160" ht="15.75" customHeight="1">
      <c r="O160" s="2"/>
    </row>
    <row r="161" ht="15.75" customHeight="1">
      <c r="O161" s="2"/>
    </row>
    <row r="162" ht="15.75" customHeight="1">
      <c r="O162" s="2"/>
    </row>
    <row r="163" ht="15.75" customHeight="1">
      <c r="O163" s="2"/>
    </row>
    <row r="164" ht="15.75" customHeight="1">
      <c r="O164" s="2"/>
    </row>
    <row r="165" ht="15.75" customHeight="1">
      <c r="O165" s="2"/>
    </row>
    <row r="166" ht="15.75" customHeight="1">
      <c r="O166" s="2"/>
    </row>
    <row r="167" ht="15.75" customHeight="1">
      <c r="O167" s="2"/>
    </row>
    <row r="168" ht="15.75" customHeight="1">
      <c r="O168" s="2"/>
    </row>
    <row r="169" ht="15.75" customHeight="1">
      <c r="O169" s="2"/>
    </row>
    <row r="170" ht="15.75" customHeight="1">
      <c r="O170" s="2"/>
    </row>
    <row r="171" ht="15.75" customHeight="1">
      <c r="O171" s="2"/>
    </row>
    <row r="172" ht="15.75" customHeight="1">
      <c r="O172" s="2"/>
    </row>
    <row r="173" ht="15.75" customHeight="1">
      <c r="O173" s="2"/>
    </row>
    <row r="174" ht="15.75" customHeight="1">
      <c r="O174" s="2"/>
    </row>
    <row r="175" ht="15.75" customHeight="1">
      <c r="O175" s="2"/>
    </row>
    <row r="176" ht="15.75" customHeight="1">
      <c r="O176" s="2"/>
    </row>
    <row r="177" ht="15.75" customHeight="1">
      <c r="O177" s="2"/>
    </row>
    <row r="178" ht="15.75" customHeight="1">
      <c r="O178" s="2"/>
    </row>
    <row r="179" ht="15.75" customHeight="1">
      <c r="O179" s="2"/>
    </row>
    <row r="180" ht="15.75" customHeight="1">
      <c r="O180" s="2"/>
    </row>
    <row r="181" ht="15.75" customHeight="1">
      <c r="O181" s="2"/>
    </row>
    <row r="182" ht="15.75" customHeight="1">
      <c r="O182" s="2"/>
    </row>
    <row r="183" ht="15.75" customHeight="1">
      <c r="O183" s="2"/>
    </row>
    <row r="184" ht="15.75" customHeight="1">
      <c r="O184" s="2"/>
    </row>
    <row r="185" ht="15.75" customHeight="1">
      <c r="O185" s="2"/>
    </row>
    <row r="186" ht="15.75" customHeight="1">
      <c r="O186" s="2"/>
    </row>
    <row r="187" ht="15.75" customHeight="1">
      <c r="O187" s="2"/>
    </row>
    <row r="188" ht="15.75" customHeight="1">
      <c r="O188" s="2"/>
    </row>
    <row r="189" ht="15.75" customHeight="1">
      <c r="O189" s="2"/>
    </row>
    <row r="190" ht="15.75" customHeight="1">
      <c r="O190" s="2"/>
    </row>
    <row r="191" ht="15.75" customHeight="1">
      <c r="O191" s="2"/>
    </row>
    <row r="192" ht="15.75" customHeight="1">
      <c r="O192" s="2"/>
    </row>
    <row r="193" ht="15.75" customHeight="1">
      <c r="O193" s="2"/>
    </row>
    <row r="194" ht="15.75" customHeight="1">
      <c r="O194" s="2"/>
    </row>
    <row r="195" ht="15.75" customHeight="1">
      <c r="O195" s="2"/>
    </row>
    <row r="196" ht="15.75" customHeight="1">
      <c r="O196" s="2"/>
    </row>
    <row r="197" ht="15.75" customHeight="1">
      <c r="O197" s="2"/>
    </row>
    <row r="198" ht="15.75" customHeight="1">
      <c r="O198" s="2"/>
    </row>
    <row r="199" ht="15.75" customHeight="1">
      <c r="O199" s="2"/>
    </row>
    <row r="200" ht="15.75" customHeight="1">
      <c r="O200" s="2"/>
    </row>
    <row r="201" ht="15.75" customHeight="1">
      <c r="O201" s="2"/>
    </row>
    <row r="202" ht="15.75" customHeight="1">
      <c r="O202" s="2"/>
    </row>
    <row r="203" ht="15.75" customHeight="1">
      <c r="O203" s="2"/>
    </row>
    <row r="204" ht="15.75" customHeight="1">
      <c r="O204" s="2"/>
    </row>
    <row r="205" ht="15.75" customHeight="1">
      <c r="O205" s="2"/>
    </row>
    <row r="206" ht="15.75" customHeight="1">
      <c r="O206" s="2"/>
    </row>
    <row r="207" ht="15.75" customHeight="1">
      <c r="O207" s="2"/>
    </row>
    <row r="208" ht="15.75" customHeight="1">
      <c r="O208" s="2"/>
    </row>
    <row r="209" ht="15.75" customHeight="1">
      <c r="O209" s="2"/>
    </row>
    <row r="210" ht="15.75" customHeight="1">
      <c r="O210" s="2"/>
    </row>
    <row r="211" ht="15.75" customHeight="1">
      <c r="O211" s="2"/>
    </row>
    <row r="212" ht="15.75" customHeight="1">
      <c r="O212" s="2"/>
    </row>
    <row r="213" ht="15.75" customHeight="1">
      <c r="O213" s="2"/>
    </row>
    <row r="214" ht="15.75" customHeight="1">
      <c r="O214" s="2"/>
    </row>
    <row r="215" ht="15.75" customHeight="1">
      <c r="O215" s="2"/>
    </row>
    <row r="216" ht="15.75" customHeight="1">
      <c r="O216" s="2"/>
    </row>
    <row r="217" ht="15.75" customHeight="1">
      <c r="O217" s="2"/>
    </row>
    <row r="218" ht="15.75" customHeight="1">
      <c r="O218" s="2"/>
    </row>
    <row r="219" ht="15.75" customHeight="1">
      <c r="O219" s="2"/>
    </row>
    <row r="220" ht="15.75" customHeight="1">
      <c r="O220" s="2"/>
    </row>
    <row r="221" ht="15.75" customHeight="1">
      <c r="O221" s="2"/>
    </row>
    <row r="222" ht="15.75" customHeight="1">
      <c r="O222" s="2"/>
    </row>
    <row r="223" ht="15.75" customHeight="1">
      <c r="O223" s="2"/>
    </row>
    <row r="224" ht="15.75" customHeight="1">
      <c r="O224" s="2"/>
    </row>
    <row r="225" ht="15.75" customHeight="1">
      <c r="O225" s="2"/>
    </row>
    <row r="226" ht="15.75" customHeight="1">
      <c r="O226" s="2"/>
    </row>
    <row r="227" ht="15.75" customHeight="1">
      <c r="O227" s="2"/>
    </row>
    <row r="228" ht="15.75" customHeight="1">
      <c r="O228" s="2"/>
    </row>
    <row r="229" ht="15.75" customHeight="1">
      <c r="O229" s="2"/>
    </row>
    <row r="230" ht="15.75" customHeight="1">
      <c r="O230" s="2"/>
    </row>
    <row r="231" ht="15.75" customHeight="1">
      <c r="O231" s="2"/>
    </row>
    <row r="232" ht="15.75" customHeight="1">
      <c r="O232" s="2"/>
    </row>
    <row r="233" ht="15.75" customHeight="1">
      <c r="O233" s="2"/>
    </row>
    <row r="234" ht="15.75" customHeight="1">
      <c r="O234" s="2"/>
    </row>
    <row r="235" ht="15.75" customHeight="1">
      <c r="O235" s="2"/>
    </row>
    <row r="236" ht="15.75" customHeight="1">
      <c r="O236" s="2"/>
    </row>
    <row r="237" ht="15.75" customHeight="1">
      <c r="O237" s="2"/>
    </row>
    <row r="238" ht="15.75" customHeight="1">
      <c r="O238" s="2"/>
    </row>
    <row r="239" ht="15.75" customHeight="1">
      <c r="O239" s="2"/>
    </row>
    <row r="240" ht="15.75" customHeight="1">
      <c r="O240" s="2"/>
    </row>
    <row r="241" ht="15.75" customHeight="1">
      <c r="O241" s="2"/>
    </row>
    <row r="242" ht="15.75" customHeight="1">
      <c r="O242" s="2"/>
    </row>
    <row r="243" ht="15.75" customHeight="1">
      <c r="O243" s="2"/>
    </row>
    <row r="244" ht="15.75" customHeight="1">
      <c r="O244" s="2"/>
    </row>
    <row r="245" ht="15.75" customHeight="1">
      <c r="O245" s="2"/>
    </row>
    <row r="246" ht="15.75" customHeight="1">
      <c r="O246" s="2"/>
    </row>
    <row r="247" ht="15.75" customHeight="1">
      <c r="O247" s="2"/>
    </row>
    <row r="248" ht="15.75" customHeight="1">
      <c r="O248" s="2"/>
    </row>
    <row r="249" ht="15.75" customHeight="1">
      <c r="O249" s="2"/>
    </row>
    <row r="250" ht="15.75" customHeight="1">
      <c r="O250" s="2"/>
    </row>
    <row r="251" ht="15.75" customHeight="1">
      <c r="O251" s="2"/>
    </row>
    <row r="252" ht="15.75" customHeight="1">
      <c r="O252" s="2"/>
    </row>
    <row r="253" ht="15.75" customHeight="1">
      <c r="O253" s="2"/>
    </row>
    <row r="254" ht="15.75" customHeight="1">
      <c r="O254" s="2"/>
    </row>
    <row r="255" ht="15.75" customHeight="1">
      <c r="O255" s="2"/>
    </row>
    <row r="256" ht="15.75" customHeight="1">
      <c r="O256" s="2"/>
    </row>
    <row r="257" ht="15.75" customHeight="1">
      <c r="O257" s="2"/>
    </row>
    <row r="258" ht="15.75" customHeight="1">
      <c r="O258" s="2"/>
    </row>
    <row r="259" ht="15.75" customHeight="1">
      <c r="O259" s="2"/>
    </row>
    <row r="260" ht="15.75" customHeight="1">
      <c r="O260" s="2"/>
    </row>
    <row r="261" ht="15.75" customHeight="1">
      <c r="O261" s="2"/>
    </row>
    <row r="262" ht="15.75" customHeight="1">
      <c r="O262" s="2"/>
    </row>
    <row r="263" ht="15.75" customHeight="1">
      <c r="O263" s="2"/>
    </row>
    <row r="264" ht="15.75" customHeight="1">
      <c r="O264" s="2"/>
    </row>
    <row r="265" ht="15.75" customHeight="1">
      <c r="O265" s="2"/>
    </row>
    <row r="266" ht="15.75" customHeight="1">
      <c r="O266" s="2"/>
    </row>
    <row r="267" ht="15.75" customHeight="1">
      <c r="O267" s="2"/>
    </row>
    <row r="268" ht="15.75" customHeight="1">
      <c r="O268" s="2"/>
    </row>
    <row r="269" ht="15.75" customHeight="1">
      <c r="O269" s="2"/>
    </row>
    <row r="270" ht="15.75" customHeight="1">
      <c r="O270" s="2"/>
    </row>
    <row r="271" ht="15.75" customHeight="1">
      <c r="O271" s="2"/>
    </row>
    <row r="272" ht="15.75" customHeight="1">
      <c r="O272" s="2"/>
    </row>
    <row r="273" ht="15.75" customHeight="1">
      <c r="O273" s="2"/>
    </row>
    <row r="274" ht="15.75" customHeight="1">
      <c r="O274" s="2"/>
    </row>
    <row r="275" ht="15.75" customHeight="1">
      <c r="O275" s="2"/>
    </row>
    <row r="276" ht="15.75" customHeight="1">
      <c r="O276" s="2"/>
    </row>
    <row r="277" ht="15.75" customHeight="1">
      <c r="O277" s="2"/>
    </row>
    <row r="278" ht="15.75" customHeight="1">
      <c r="O278" s="2"/>
    </row>
    <row r="279" ht="15.75" customHeight="1">
      <c r="O279" s="2"/>
    </row>
    <row r="280" ht="15.75" customHeight="1">
      <c r="O280" s="2"/>
    </row>
    <row r="281" ht="15.75" customHeight="1">
      <c r="O281" s="2"/>
    </row>
    <row r="282" ht="15.75" customHeight="1">
      <c r="O282" s="2"/>
    </row>
    <row r="283" ht="15.75" customHeight="1">
      <c r="O283" s="2"/>
    </row>
    <row r="284" ht="15.75" customHeight="1">
      <c r="O284" s="2"/>
    </row>
    <row r="285" ht="15.75" customHeight="1">
      <c r="O285" s="2"/>
    </row>
    <row r="286" ht="15.75" customHeight="1">
      <c r="O286" s="2"/>
    </row>
    <row r="287" ht="15.75" customHeight="1">
      <c r="O287" s="2"/>
    </row>
    <row r="288" ht="15.75" customHeight="1">
      <c r="O288" s="2"/>
    </row>
    <row r="289" ht="15.75" customHeight="1">
      <c r="O289" s="2"/>
    </row>
    <row r="290" ht="15.75" customHeight="1">
      <c r="O290" s="2"/>
    </row>
    <row r="291" ht="15.75" customHeight="1">
      <c r="O291" s="2"/>
    </row>
    <row r="292" ht="15.75" customHeight="1">
      <c r="O292" s="2"/>
    </row>
    <row r="293" ht="15.75" customHeight="1">
      <c r="O293" s="2"/>
    </row>
    <row r="294" ht="15.75" customHeight="1">
      <c r="O294" s="2"/>
    </row>
    <row r="295" ht="15.75" customHeight="1">
      <c r="O295" s="2"/>
    </row>
    <row r="296" ht="15.75" customHeight="1">
      <c r="O296" s="2"/>
    </row>
    <row r="297" ht="15.75" customHeight="1">
      <c r="O297" s="2"/>
    </row>
    <row r="298" ht="15.75" customHeight="1">
      <c r="O298" s="2"/>
    </row>
    <row r="299" ht="15.75" customHeight="1">
      <c r="O299" s="2"/>
    </row>
    <row r="300" ht="15.75" customHeight="1">
      <c r="O300" s="2"/>
    </row>
    <row r="301" ht="15.75" customHeight="1">
      <c r="O301" s="2"/>
    </row>
    <row r="302" ht="15.75" customHeight="1">
      <c r="O302" s="2"/>
    </row>
    <row r="303" ht="15.75" customHeight="1">
      <c r="O303" s="2"/>
    </row>
    <row r="304" ht="15.75" customHeight="1">
      <c r="O304" s="2"/>
    </row>
    <row r="305" ht="15.75" customHeight="1">
      <c r="O305" s="2"/>
    </row>
    <row r="306" ht="15.75" customHeight="1">
      <c r="O306" s="2"/>
    </row>
    <row r="307" ht="15.75" customHeight="1">
      <c r="O307" s="2"/>
    </row>
    <row r="308" ht="15.75" customHeight="1">
      <c r="O308" s="2"/>
    </row>
    <row r="309" ht="15.75" customHeight="1">
      <c r="O309" s="2"/>
    </row>
    <row r="310" ht="15.75" customHeight="1">
      <c r="O310" s="2"/>
    </row>
    <row r="311" ht="15.75" customHeight="1">
      <c r="O311" s="2"/>
    </row>
    <row r="312" ht="15.75" customHeight="1">
      <c r="O312" s="2"/>
    </row>
    <row r="313" ht="15.75" customHeight="1">
      <c r="O313" s="2"/>
    </row>
    <row r="314" ht="15.75" customHeight="1">
      <c r="O314" s="2"/>
    </row>
    <row r="315" ht="15.75" customHeight="1">
      <c r="O315" s="2"/>
    </row>
    <row r="316" ht="15.75" customHeight="1">
      <c r="O316" s="2"/>
    </row>
    <row r="317" ht="15.75" customHeight="1">
      <c r="O317" s="2"/>
    </row>
    <row r="318" ht="15.75" customHeight="1">
      <c r="O318" s="2"/>
    </row>
    <row r="319" ht="15.75" customHeight="1">
      <c r="O319" s="2"/>
    </row>
    <row r="320" ht="15.75" customHeight="1">
      <c r="O320" s="2"/>
    </row>
    <row r="321" ht="15.75" customHeight="1">
      <c r="O321" s="2"/>
    </row>
    <row r="322" ht="15.75" customHeight="1">
      <c r="O322" s="2"/>
    </row>
    <row r="323" ht="15.75" customHeight="1">
      <c r="O323" s="2"/>
    </row>
    <row r="324" ht="15.75" customHeight="1">
      <c r="O324" s="2"/>
    </row>
    <row r="325" ht="15.75" customHeight="1">
      <c r="O325" s="2"/>
    </row>
    <row r="326" ht="15.75" customHeight="1">
      <c r="O326" s="2"/>
    </row>
    <row r="327" ht="15.75" customHeight="1">
      <c r="O327" s="2"/>
    </row>
    <row r="328" ht="15.75" customHeight="1">
      <c r="O328" s="2"/>
    </row>
    <row r="329" ht="15.75" customHeight="1">
      <c r="O329" s="2"/>
    </row>
    <row r="330" ht="15.75" customHeight="1">
      <c r="O330" s="2"/>
    </row>
    <row r="331" ht="15.75" customHeight="1">
      <c r="O331" s="2"/>
    </row>
    <row r="332" ht="15.75" customHeight="1">
      <c r="O332" s="2"/>
    </row>
    <row r="333" ht="15.75" customHeight="1">
      <c r="O333" s="2"/>
    </row>
    <row r="334" ht="15.75" customHeight="1">
      <c r="O334" s="2"/>
    </row>
    <row r="335" ht="15.75" customHeight="1">
      <c r="O335" s="2"/>
    </row>
    <row r="336" ht="15.75" customHeight="1">
      <c r="O336" s="2"/>
    </row>
    <row r="337" ht="15.75" customHeight="1">
      <c r="O337" s="2"/>
    </row>
    <row r="338" ht="15.75" customHeight="1">
      <c r="O338" s="2"/>
    </row>
    <row r="339" ht="15.75" customHeight="1">
      <c r="O339" s="2"/>
    </row>
    <row r="340" ht="15.75" customHeight="1">
      <c r="O340" s="2"/>
    </row>
    <row r="341" ht="15.75" customHeight="1">
      <c r="O341" s="2"/>
    </row>
    <row r="342" ht="15.75" customHeight="1">
      <c r="O342" s="2"/>
    </row>
    <row r="343" ht="15.75" customHeight="1">
      <c r="O343" s="2"/>
    </row>
    <row r="344" ht="15.75" customHeight="1">
      <c r="O344" s="2"/>
    </row>
    <row r="345" ht="15.75" customHeight="1">
      <c r="O345" s="2"/>
    </row>
    <row r="346" ht="15.75" customHeight="1">
      <c r="O346" s="2"/>
    </row>
    <row r="347" ht="15.75" customHeight="1">
      <c r="O347" s="2"/>
    </row>
    <row r="348" ht="15.75" customHeight="1">
      <c r="O348" s="2"/>
    </row>
    <row r="349" ht="15.75" customHeight="1">
      <c r="O349" s="2"/>
    </row>
    <row r="350" ht="15.75" customHeight="1">
      <c r="O350" s="2"/>
    </row>
    <row r="351" ht="15.75" customHeight="1">
      <c r="O351" s="2"/>
    </row>
    <row r="352" ht="15.75" customHeight="1">
      <c r="O352" s="2"/>
    </row>
    <row r="353" ht="15.75" customHeight="1">
      <c r="O353" s="2"/>
    </row>
    <row r="354" ht="15.75" customHeight="1">
      <c r="O354" s="2"/>
    </row>
    <row r="355" ht="15.75" customHeight="1">
      <c r="O355" s="2"/>
    </row>
    <row r="356" ht="15.75" customHeight="1">
      <c r="O356" s="2"/>
    </row>
    <row r="357" ht="15.75" customHeight="1">
      <c r="O357" s="2"/>
    </row>
    <row r="358" ht="15.75" customHeight="1">
      <c r="O358" s="2"/>
    </row>
    <row r="359" ht="15.75" customHeight="1">
      <c r="O359" s="2"/>
    </row>
    <row r="360" ht="15.75" customHeight="1">
      <c r="O360" s="2"/>
    </row>
    <row r="361" ht="15.75" customHeight="1">
      <c r="O361" s="2"/>
    </row>
    <row r="362" ht="15.75" customHeight="1">
      <c r="O362" s="2"/>
    </row>
    <row r="363" ht="15.75" customHeight="1">
      <c r="O363" s="2"/>
    </row>
    <row r="364" ht="15.75" customHeight="1">
      <c r="O364" s="2"/>
    </row>
    <row r="365" ht="15.75" customHeight="1">
      <c r="O365" s="2"/>
    </row>
    <row r="366" ht="15.75" customHeight="1">
      <c r="O366" s="2"/>
    </row>
    <row r="367" ht="15.75" customHeight="1">
      <c r="O367" s="2"/>
    </row>
    <row r="368" ht="15.75" customHeight="1">
      <c r="O368" s="2"/>
    </row>
    <row r="369" ht="15.75" customHeight="1">
      <c r="O369" s="2"/>
    </row>
    <row r="370" ht="15.75" customHeight="1">
      <c r="O370" s="2"/>
    </row>
    <row r="371" ht="15.75" customHeight="1">
      <c r="O371" s="2"/>
    </row>
    <row r="372" ht="15.75" customHeight="1">
      <c r="O372" s="2"/>
    </row>
    <row r="373" ht="15.75" customHeight="1">
      <c r="O373" s="2"/>
    </row>
    <row r="374" ht="15.75" customHeight="1">
      <c r="O374" s="2"/>
    </row>
    <row r="375" ht="15.75" customHeight="1">
      <c r="O375" s="2"/>
    </row>
    <row r="376" ht="15.75" customHeight="1">
      <c r="O376" s="2"/>
    </row>
    <row r="377" ht="15.75" customHeight="1">
      <c r="O377" s="2"/>
    </row>
    <row r="378" ht="15.75" customHeight="1">
      <c r="O378" s="2"/>
    </row>
    <row r="379" ht="15.75" customHeight="1">
      <c r="O379" s="2"/>
    </row>
    <row r="380" ht="15.75" customHeight="1">
      <c r="O380" s="2"/>
    </row>
    <row r="381" ht="15.75" customHeight="1">
      <c r="O381" s="2"/>
    </row>
    <row r="382" ht="15.75" customHeight="1">
      <c r="O382" s="2"/>
    </row>
    <row r="383" ht="15.75" customHeight="1">
      <c r="O383" s="2"/>
    </row>
    <row r="384" ht="15.75" customHeight="1">
      <c r="O384" s="2"/>
    </row>
    <row r="385" ht="15.75" customHeight="1">
      <c r="O385" s="2"/>
    </row>
    <row r="386" ht="15.75" customHeight="1">
      <c r="O386" s="2"/>
    </row>
    <row r="387" ht="15.75" customHeight="1">
      <c r="O387" s="2"/>
    </row>
    <row r="388" ht="15.75" customHeight="1">
      <c r="O388" s="2"/>
    </row>
    <row r="389" ht="15.75" customHeight="1">
      <c r="O389" s="2"/>
    </row>
    <row r="390" ht="15.75" customHeight="1">
      <c r="O390" s="2"/>
    </row>
    <row r="391" ht="15.75" customHeight="1">
      <c r="O391" s="2"/>
    </row>
    <row r="392" ht="15.75" customHeight="1">
      <c r="O392" s="2"/>
    </row>
    <row r="393" ht="15.75" customHeight="1">
      <c r="O393" s="2"/>
    </row>
    <row r="394" ht="15.75" customHeight="1">
      <c r="O394" s="2"/>
    </row>
    <row r="395" ht="15.75" customHeight="1">
      <c r="O395" s="2"/>
    </row>
    <row r="396" ht="15.75" customHeight="1">
      <c r="O396" s="2"/>
    </row>
    <row r="397" ht="15.75" customHeight="1">
      <c r="O397" s="2"/>
    </row>
    <row r="398" ht="15.75" customHeight="1">
      <c r="O398" s="2"/>
    </row>
    <row r="399" ht="15.75" customHeight="1">
      <c r="O399" s="2"/>
    </row>
    <row r="400" ht="15.75" customHeight="1">
      <c r="O400" s="2"/>
    </row>
    <row r="401" ht="15.75" customHeight="1">
      <c r="O401" s="2"/>
    </row>
    <row r="402" ht="15.75" customHeight="1">
      <c r="O402" s="2"/>
    </row>
    <row r="403" ht="15.75" customHeight="1">
      <c r="O403" s="2"/>
    </row>
    <row r="404" ht="15.75" customHeight="1">
      <c r="O404" s="2"/>
    </row>
    <row r="405" ht="15.75" customHeight="1">
      <c r="O405" s="2"/>
    </row>
    <row r="406" ht="15.75" customHeight="1">
      <c r="O406" s="2"/>
    </row>
    <row r="407" ht="15.75" customHeight="1">
      <c r="O407" s="2"/>
    </row>
    <row r="408" ht="15.75" customHeight="1">
      <c r="O408" s="2"/>
    </row>
    <row r="409" ht="15.75" customHeight="1">
      <c r="O409" s="2"/>
    </row>
    <row r="410" ht="15.75" customHeight="1">
      <c r="O410" s="2"/>
    </row>
    <row r="411" ht="15.75" customHeight="1">
      <c r="O411" s="2"/>
    </row>
    <row r="412" ht="15.75" customHeight="1">
      <c r="O412" s="2"/>
    </row>
    <row r="413" ht="15.75" customHeight="1">
      <c r="O413" s="2"/>
    </row>
    <row r="414" ht="15.75" customHeight="1">
      <c r="O414" s="2"/>
    </row>
    <row r="415" ht="15.75" customHeight="1">
      <c r="O415" s="2"/>
    </row>
    <row r="416" ht="15.75" customHeight="1">
      <c r="O416" s="2"/>
    </row>
    <row r="417" ht="15.75" customHeight="1">
      <c r="O417" s="2"/>
    </row>
    <row r="418" ht="15.75" customHeight="1">
      <c r="O418" s="2"/>
    </row>
    <row r="419" ht="15.75" customHeight="1">
      <c r="O419" s="2"/>
    </row>
    <row r="420" ht="15.75" customHeight="1">
      <c r="O420" s="2"/>
    </row>
    <row r="421" ht="15.75" customHeight="1">
      <c r="O421" s="2"/>
    </row>
    <row r="422" ht="15.75" customHeight="1">
      <c r="O422" s="2"/>
    </row>
    <row r="423" ht="15.75" customHeight="1">
      <c r="O423" s="2"/>
    </row>
    <row r="424" ht="15.75" customHeight="1">
      <c r="O424" s="2"/>
    </row>
    <row r="425" ht="15.75" customHeight="1">
      <c r="O425" s="2"/>
    </row>
    <row r="426" ht="15.75" customHeight="1">
      <c r="O426" s="2"/>
    </row>
    <row r="427" ht="15.75" customHeight="1">
      <c r="O427" s="2"/>
    </row>
    <row r="428" ht="15.75" customHeight="1">
      <c r="O428" s="2"/>
    </row>
    <row r="429" ht="15.75" customHeight="1">
      <c r="O429" s="2"/>
    </row>
    <row r="430" ht="15.75" customHeight="1">
      <c r="O430" s="2"/>
    </row>
    <row r="431" ht="15.75" customHeight="1">
      <c r="O431" s="2"/>
    </row>
    <row r="432" ht="15.75" customHeight="1">
      <c r="O432" s="2"/>
    </row>
    <row r="433" ht="15.75" customHeight="1">
      <c r="O433" s="2"/>
    </row>
    <row r="434" ht="15.75" customHeight="1">
      <c r="O434" s="2"/>
    </row>
    <row r="435" ht="15.75" customHeight="1">
      <c r="O435" s="2"/>
    </row>
    <row r="436" ht="15.75" customHeight="1">
      <c r="O436" s="2"/>
    </row>
    <row r="437" ht="15.75" customHeight="1">
      <c r="O437" s="2"/>
    </row>
    <row r="438" ht="15.75" customHeight="1">
      <c r="O438" s="2"/>
    </row>
    <row r="439" ht="15.75" customHeight="1">
      <c r="O439" s="2"/>
    </row>
    <row r="440" ht="15.75" customHeight="1">
      <c r="O440" s="2"/>
    </row>
    <row r="441" ht="15.75" customHeight="1">
      <c r="O441" s="2"/>
    </row>
    <row r="442" ht="15.75" customHeight="1">
      <c r="O442" s="2"/>
    </row>
    <row r="443" ht="15.75" customHeight="1">
      <c r="O443" s="2"/>
    </row>
    <row r="444" ht="15.75" customHeight="1">
      <c r="O444" s="2"/>
    </row>
    <row r="445" ht="15.75" customHeight="1">
      <c r="O445" s="2"/>
    </row>
    <row r="446" ht="15.75" customHeight="1">
      <c r="O446" s="2"/>
    </row>
    <row r="447" ht="15.75" customHeight="1">
      <c r="O447" s="2"/>
    </row>
    <row r="448" ht="15.75" customHeight="1">
      <c r="O448" s="2"/>
    </row>
    <row r="449" ht="15.75" customHeight="1">
      <c r="O449" s="2"/>
    </row>
    <row r="450" ht="15.75" customHeight="1">
      <c r="O450" s="2"/>
    </row>
    <row r="451" ht="15.75" customHeight="1">
      <c r="O451" s="2"/>
    </row>
    <row r="452" ht="15.75" customHeight="1">
      <c r="O452" s="2"/>
    </row>
    <row r="453" ht="15.75" customHeight="1">
      <c r="O453" s="2"/>
    </row>
    <row r="454" ht="15.75" customHeight="1">
      <c r="O454" s="2"/>
    </row>
    <row r="455" ht="15.75" customHeight="1">
      <c r="O455" s="2"/>
    </row>
    <row r="456" ht="15.75" customHeight="1">
      <c r="O456" s="2"/>
    </row>
    <row r="457" ht="15.75" customHeight="1">
      <c r="O457" s="2"/>
    </row>
    <row r="458" ht="15.75" customHeight="1">
      <c r="O458" s="2"/>
    </row>
    <row r="459" ht="15.75" customHeight="1">
      <c r="O459" s="2"/>
    </row>
    <row r="460" ht="15.75" customHeight="1">
      <c r="O460" s="2"/>
    </row>
    <row r="461" ht="15.75" customHeight="1">
      <c r="O461" s="2"/>
    </row>
    <row r="462" ht="15.75" customHeight="1">
      <c r="O462" s="2"/>
    </row>
    <row r="463" ht="15.75" customHeight="1">
      <c r="O463" s="2"/>
    </row>
    <row r="464" ht="15.75" customHeight="1">
      <c r="O464" s="2"/>
    </row>
    <row r="465" ht="15.75" customHeight="1">
      <c r="O465" s="2"/>
    </row>
    <row r="466" ht="15.75" customHeight="1">
      <c r="O466" s="2"/>
    </row>
    <row r="467" ht="15.75" customHeight="1">
      <c r="O467" s="2"/>
    </row>
    <row r="468" ht="15.75" customHeight="1">
      <c r="O468" s="2"/>
    </row>
    <row r="469" ht="15.75" customHeight="1">
      <c r="O469" s="2"/>
    </row>
    <row r="470" ht="15.75" customHeight="1">
      <c r="O470" s="2"/>
    </row>
    <row r="471" ht="15.75" customHeight="1">
      <c r="O471" s="2"/>
    </row>
    <row r="472" ht="15.75" customHeight="1">
      <c r="O472" s="2"/>
    </row>
    <row r="473" ht="15.75" customHeight="1">
      <c r="O473" s="2"/>
    </row>
    <row r="474" ht="15.75" customHeight="1">
      <c r="O474" s="2"/>
    </row>
    <row r="475" ht="15.75" customHeight="1">
      <c r="O475" s="2"/>
    </row>
    <row r="476" ht="15.75" customHeight="1">
      <c r="O476" s="2"/>
    </row>
    <row r="477" ht="15.75" customHeight="1">
      <c r="O477" s="2"/>
    </row>
    <row r="478" ht="15.75" customHeight="1">
      <c r="O478" s="2"/>
    </row>
    <row r="479" ht="15.75" customHeight="1">
      <c r="O479" s="2"/>
    </row>
    <row r="480" ht="15.75" customHeight="1">
      <c r="O480" s="2"/>
    </row>
    <row r="481" ht="15.75" customHeight="1">
      <c r="O481" s="2"/>
    </row>
    <row r="482" ht="15.75" customHeight="1">
      <c r="O482" s="2"/>
    </row>
    <row r="483" ht="15.75" customHeight="1">
      <c r="O483" s="2"/>
    </row>
    <row r="484" ht="15.75" customHeight="1">
      <c r="O484" s="2"/>
    </row>
    <row r="485" ht="15.75" customHeight="1">
      <c r="O485" s="2"/>
    </row>
    <row r="486" ht="15.75" customHeight="1">
      <c r="O486" s="2"/>
    </row>
    <row r="487" ht="15.75" customHeight="1">
      <c r="O487" s="2"/>
    </row>
    <row r="488" ht="15.75" customHeight="1">
      <c r="O488" s="2"/>
    </row>
    <row r="489" ht="15.75" customHeight="1">
      <c r="O489" s="2"/>
    </row>
    <row r="490" ht="15.75" customHeight="1">
      <c r="O490" s="2"/>
    </row>
    <row r="491" ht="15.75" customHeight="1">
      <c r="O491" s="2"/>
    </row>
    <row r="492" ht="15.75" customHeight="1">
      <c r="O492" s="2"/>
    </row>
    <row r="493" ht="15.75" customHeight="1">
      <c r="O493" s="2"/>
    </row>
    <row r="494" ht="15.75" customHeight="1">
      <c r="O494" s="2"/>
    </row>
    <row r="495" ht="15.75" customHeight="1">
      <c r="O495" s="2"/>
    </row>
    <row r="496" ht="15.75" customHeight="1">
      <c r="O496" s="2"/>
    </row>
    <row r="497" ht="15.75" customHeight="1">
      <c r="O497" s="2"/>
    </row>
    <row r="498" ht="15.75" customHeight="1">
      <c r="O498" s="2"/>
    </row>
    <row r="499" ht="15.75" customHeight="1">
      <c r="O499" s="2"/>
    </row>
    <row r="500" ht="15.75" customHeight="1">
      <c r="O500" s="2"/>
    </row>
    <row r="501" ht="15.75" customHeight="1">
      <c r="O501" s="2"/>
    </row>
    <row r="502" ht="15.75" customHeight="1">
      <c r="O502" s="2"/>
    </row>
    <row r="503" ht="15.75" customHeight="1">
      <c r="O503" s="2"/>
    </row>
    <row r="504" ht="15.75" customHeight="1">
      <c r="O504" s="2"/>
    </row>
    <row r="505" ht="15.75" customHeight="1">
      <c r="O505" s="2"/>
    </row>
    <row r="506" ht="15.75" customHeight="1">
      <c r="O506" s="2"/>
    </row>
    <row r="507" ht="15.75" customHeight="1">
      <c r="O507" s="2"/>
    </row>
    <row r="508" ht="15.75" customHeight="1">
      <c r="O508" s="2"/>
    </row>
    <row r="509" ht="15.75" customHeight="1">
      <c r="O509" s="2"/>
    </row>
    <row r="510" ht="15.75" customHeight="1">
      <c r="O510" s="2"/>
    </row>
    <row r="511" ht="15.75" customHeight="1">
      <c r="O511" s="2"/>
    </row>
    <row r="512" ht="15.75" customHeight="1">
      <c r="O512" s="2"/>
    </row>
    <row r="513" ht="15.75" customHeight="1">
      <c r="O513" s="2"/>
    </row>
    <row r="514" ht="15.75" customHeight="1">
      <c r="O514" s="2"/>
    </row>
    <row r="515" ht="15.75" customHeight="1">
      <c r="O515" s="2"/>
    </row>
    <row r="516" ht="15.75" customHeight="1">
      <c r="O516" s="2"/>
    </row>
    <row r="517" ht="15.75" customHeight="1">
      <c r="O517" s="2"/>
    </row>
    <row r="518" ht="15.75" customHeight="1">
      <c r="O518" s="2"/>
    </row>
    <row r="519" ht="15.75" customHeight="1">
      <c r="O519" s="2"/>
    </row>
    <row r="520" ht="15.75" customHeight="1">
      <c r="O520" s="2"/>
    </row>
    <row r="521" ht="15.75" customHeight="1">
      <c r="O521" s="2"/>
    </row>
    <row r="522" ht="15.75" customHeight="1">
      <c r="O522" s="2"/>
    </row>
    <row r="523" ht="15.75" customHeight="1">
      <c r="O523" s="2"/>
    </row>
    <row r="524" ht="15.75" customHeight="1">
      <c r="O524" s="2"/>
    </row>
    <row r="525" ht="15.75" customHeight="1">
      <c r="O525" s="2"/>
    </row>
    <row r="526" ht="15.75" customHeight="1">
      <c r="O526" s="2"/>
    </row>
    <row r="527" ht="15.75" customHeight="1">
      <c r="O527" s="2"/>
    </row>
    <row r="528" ht="15.75" customHeight="1">
      <c r="O528" s="2"/>
    </row>
    <row r="529" ht="15.75" customHeight="1">
      <c r="O529" s="2"/>
    </row>
    <row r="530" ht="15.75" customHeight="1">
      <c r="O530" s="2"/>
    </row>
    <row r="531" ht="15.75" customHeight="1">
      <c r="O531" s="2"/>
    </row>
    <row r="532" ht="15.75" customHeight="1">
      <c r="O532" s="2"/>
    </row>
    <row r="533" ht="15.75" customHeight="1">
      <c r="O533" s="2"/>
    </row>
    <row r="534" ht="15.75" customHeight="1">
      <c r="O534" s="2"/>
    </row>
    <row r="535" ht="15.75" customHeight="1">
      <c r="O535" s="2"/>
    </row>
    <row r="536" ht="15.75" customHeight="1">
      <c r="O536" s="2"/>
    </row>
    <row r="537" ht="15.75" customHeight="1">
      <c r="O537" s="2"/>
    </row>
    <row r="538" ht="15.75" customHeight="1">
      <c r="O538" s="2"/>
    </row>
    <row r="539" ht="15.75" customHeight="1">
      <c r="O539" s="2"/>
    </row>
    <row r="540" ht="15.75" customHeight="1">
      <c r="O540" s="2"/>
    </row>
    <row r="541" ht="15.75" customHeight="1">
      <c r="O541" s="2"/>
    </row>
    <row r="542" ht="15.75" customHeight="1">
      <c r="O542" s="2"/>
    </row>
    <row r="543" ht="15.75" customHeight="1">
      <c r="O543" s="2"/>
    </row>
    <row r="544" ht="15.75" customHeight="1">
      <c r="O544" s="2"/>
    </row>
    <row r="545" ht="15.75" customHeight="1">
      <c r="O545" s="2"/>
    </row>
    <row r="546" ht="15.75" customHeight="1">
      <c r="O546" s="2"/>
    </row>
    <row r="547" ht="15.75" customHeight="1">
      <c r="O547" s="2"/>
    </row>
    <row r="548" ht="15.75" customHeight="1">
      <c r="O548" s="2"/>
    </row>
    <row r="549" ht="15.75" customHeight="1">
      <c r="O549" s="2"/>
    </row>
    <row r="550" ht="15.75" customHeight="1">
      <c r="O550" s="2"/>
    </row>
    <row r="551" ht="15.75" customHeight="1">
      <c r="O551" s="2"/>
    </row>
    <row r="552" ht="15.75" customHeight="1">
      <c r="O552" s="2"/>
    </row>
    <row r="553" ht="15.75" customHeight="1">
      <c r="O553" s="2"/>
    </row>
    <row r="554" ht="15.75" customHeight="1">
      <c r="O554" s="2"/>
    </row>
    <row r="555" ht="15.75" customHeight="1">
      <c r="O555" s="2"/>
    </row>
    <row r="556" ht="15.75" customHeight="1">
      <c r="O556" s="2"/>
    </row>
    <row r="557" ht="15.75" customHeight="1">
      <c r="O557" s="2"/>
    </row>
    <row r="558" ht="15.75" customHeight="1">
      <c r="O558" s="2"/>
    </row>
    <row r="559" ht="15.75" customHeight="1">
      <c r="O559" s="2"/>
    </row>
    <row r="560" ht="15.75" customHeight="1">
      <c r="O560" s="2"/>
    </row>
    <row r="561" ht="15.75" customHeight="1">
      <c r="O561" s="2"/>
    </row>
    <row r="562" ht="15.75" customHeight="1">
      <c r="O562" s="2"/>
    </row>
    <row r="563" ht="15.75" customHeight="1">
      <c r="O563" s="2"/>
    </row>
    <row r="564" ht="15.75" customHeight="1">
      <c r="O564" s="2"/>
    </row>
    <row r="565" ht="15.75" customHeight="1">
      <c r="O565" s="2"/>
    </row>
    <row r="566" ht="15.75" customHeight="1">
      <c r="O566" s="2"/>
    </row>
    <row r="567" ht="15.75" customHeight="1">
      <c r="O567" s="2"/>
    </row>
    <row r="568" ht="15.75" customHeight="1">
      <c r="O568" s="2"/>
    </row>
    <row r="569" ht="15.75" customHeight="1">
      <c r="O569" s="2"/>
    </row>
    <row r="570" ht="15.75" customHeight="1">
      <c r="O570" s="2"/>
    </row>
    <row r="571" ht="15.75" customHeight="1">
      <c r="O571" s="2"/>
    </row>
    <row r="572" ht="15.75" customHeight="1">
      <c r="O572" s="2"/>
    </row>
    <row r="573" ht="15.75" customHeight="1">
      <c r="O573" s="2"/>
    </row>
    <row r="574" ht="15.75" customHeight="1">
      <c r="O574" s="2"/>
    </row>
    <row r="575" ht="15.75" customHeight="1">
      <c r="O575" s="2"/>
    </row>
    <row r="576" ht="15.75" customHeight="1">
      <c r="O576" s="2"/>
    </row>
    <row r="577" ht="15.75" customHeight="1">
      <c r="O577" s="2"/>
    </row>
    <row r="578" ht="15.75" customHeight="1">
      <c r="O578" s="2"/>
    </row>
    <row r="579" ht="15.75" customHeight="1">
      <c r="O579" s="2"/>
    </row>
    <row r="580" ht="15.75" customHeight="1">
      <c r="O580" s="2"/>
    </row>
    <row r="581" ht="15.75" customHeight="1">
      <c r="O581" s="2"/>
    </row>
    <row r="582" ht="15.75" customHeight="1">
      <c r="O582" s="2"/>
    </row>
    <row r="583" ht="15.75" customHeight="1">
      <c r="O583" s="2"/>
    </row>
    <row r="584" ht="15.75" customHeight="1">
      <c r="O584" s="2"/>
    </row>
    <row r="585" ht="15.75" customHeight="1">
      <c r="O585" s="2"/>
    </row>
    <row r="586" ht="15.75" customHeight="1">
      <c r="O586" s="2"/>
    </row>
    <row r="587" ht="15.75" customHeight="1">
      <c r="O587" s="2"/>
    </row>
    <row r="588" ht="15.75" customHeight="1">
      <c r="O588" s="2"/>
    </row>
    <row r="589" ht="15.75" customHeight="1">
      <c r="O589" s="2"/>
    </row>
    <row r="590" ht="15.75" customHeight="1">
      <c r="O590" s="2"/>
    </row>
    <row r="591" ht="15.75" customHeight="1">
      <c r="O591" s="2"/>
    </row>
    <row r="592" ht="15.75" customHeight="1">
      <c r="O592" s="2"/>
    </row>
    <row r="593" ht="15.75" customHeight="1">
      <c r="O593" s="2"/>
    </row>
    <row r="594" ht="15.75" customHeight="1">
      <c r="O594" s="2"/>
    </row>
    <row r="595" ht="15.75" customHeight="1">
      <c r="O595" s="2"/>
    </row>
    <row r="596" ht="15.75" customHeight="1">
      <c r="O596" s="2"/>
    </row>
    <row r="597" ht="15.75" customHeight="1">
      <c r="O597" s="2"/>
    </row>
    <row r="598" ht="15.75" customHeight="1">
      <c r="O598" s="2"/>
    </row>
    <row r="599" ht="15.75" customHeight="1">
      <c r="O599" s="2"/>
    </row>
    <row r="600" ht="15.75" customHeight="1">
      <c r="O600" s="2"/>
    </row>
    <row r="601" ht="15.75" customHeight="1">
      <c r="O601" s="2"/>
    </row>
    <row r="602" ht="15.75" customHeight="1">
      <c r="O602" s="2"/>
    </row>
    <row r="603" ht="15.75" customHeight="1">
      <c r="O603" s="2"/>
    </row>
    <row r="604" ht="15.75" customHeight="1">
      <c r="O604" s="2"/>
    </row>
    <row r="605" ht="15.75" customHeight="1">
      <c r="O605" s="2"/>
    </row>
    <row r="606" ht="15.75" customHeight="1">
      <c r="O606" s="2"/>
    </row>
    <row r="607" ht="15.75" customHeight="1">
      <c r="O607" s="2"/>
    </row>
    <row r="608" ht="15.75" customHeight="1">
      <c r="O608" s="2"/>
    </row>
    <row r="609" ht="15.75" customHeight="1">
      <c r="O609" s="2"/>
    </row>
    <row r="610" ht="15.75" customHeight="1">
      <c r="O610" s="2"/>
    </row>
    <row r="611" ht="15.75" customHeight="1">
      <c r="O611" s="2"/>
    </row>
    <row r="612" ht="15.75" customHeight="1">
      <c r="O612" s="2"/>
    </row>
    <row r="613" ht="15.75" customHeight="1">
      <c r="O613" s="2"/>
    </row>
    <row r="614" ht="15.75" customHeight="1">
      <c r="O614" s="2"/>
    </row>
    <row r="615" ht="15.75" customHeight="1">
      <c r="O615" s="2"/>
    </row>
    <row r="616" ht="15.75" customHeight="1">
      <c r="O616" s="2"/>
    </row>
    <row r="617" ht="15.75" customHeight="1">
      <c r="O617" s="2"/>
    </row>
    <row r="618" ht="15.75" customHeight="1">
      <c r="O618" s="2"/>
    </row>
    <row r="619" ht="15.75" customHeight="1">
      <c r="O619" s="2"/>
    </row>
    <row r="620" ht="15.75" customHeight="1">
      <c r="O620" s="2"/>
    </row>
    <row r="621" ht="15.75" customHeight="1">
      <c r="O621" s="2"/>
    </row>
    <row r="622" ht="15.75" customHeight="1">
      <c r="O622" s="2"/>
    </row>
    <row r="623" ht="15.75" customHeight="1">
      <c r="O623" s="2"/>
    </row>
    <row r="624" ht="15.75" customHeight="1">
      <c r="O624" s="2"/>
    </row>
    <row r="625" ht="15.75" customHeight="1">
      <c r="O625" s="2"/>
    </row>
    <row r="626" ht="15.75" customHeight="1">
      <c r="O626" s="2"/>
    </row>
    <row r="627" ht="15.75" customHeight="1">
      <c r="O627" s="2"/>
    </row>
    <row r="628" ht="15.75" customHeight="1">
      <c r="O628" s="2"/>
    </row>
    <row r="629" ht="15.75" customHeight="1">
      <c r="O629" s="2"/>
    </row>
    <row r="630" ht="15.75" customHeight="1">
      <c r="O630" s="2"/>
    </row>
    <row r="631" ht="15.75" customHeight="1">
      <c r="O631" s="2"/>
    </row>
    <row r="632" ht="15.75" customHeight="1">
      <c r="O632" s="2"/>
    </row>
    <row r="633" ht="15.75" customHeight="1">
      <c r="O633" s="2"/>
    </row>
    <row r="634" ht="15.75" customHeight="1">
      <c r="O634" s="2"/>
    </row>
    <row r="635" ht="15.75" customHeight="1">
      <c r="O635" s="2"/>
    </row>
    <row r="636" ht="15.75" customHeight="1">
      <c r="O636" s="2"/>
    </row>
    <row r="637" ht="15.75" customHeight="1">
      <c r="O637" s="2"/>
    </row>
    <row r="638" ht="15.75" customHeight="1">
      <c r="O638" s="2"/>
    </row>
    <row r="639" ht="15.75" customHeight="1">
      <c r="O639" s="2"/>
    </row>
    <row r="640" ht="15.75" customHeight="1">
      <c r="O640" s="2"/>
    </row>
    <row r="641" ht="15.75" customHeight="1">
      <c r="O641" s="2"/>
    </row>
    <row r="642" ht="15.75" customHeight="1">
      <c r="O642" s="2"/>
    </row>
    <row r="643" ht="15.75" customHeight="1">
      <c r="O643" s="2"/>
    </row>
    <row r="644" ht="15.75" customHeight="1">
      <c r="O644" s="2"/>
    </row>
    <row r="645" ht="15.75" customHeight="1">
      <c r="O645" s="2"/>
    </row>
    <row r="646" ht="15.75" customHeight="1">
      <c r="O646" s="2"/>
    </row>
    <row r="647" ht="15.75" customHeight="1">
      <c r="O647" s="2"/>
    </row>
    <row r="648" ht="15.75" customHeight="1">
      <c r="O648" s="2"/>
    </row>
    <row r="649" ht="15.75" customHeight="1">
      <c r="O649" s="2"/>
    </row>
    <row r="650" ht="15.75" customHeight="1">
      <c r="O650" s="2"/>
    </row>
    <row r="651" ht="15.75" customHeight="1">
      <c r="O651" s="2"/>
    </row>
    <row r="652" ht="15.75" customHeight="1">
      <c r="O652" s="2"/>
    </row>
    <row r="653" ht="15.75" customHeight="1">
      <c r="O653" s="2"/>
    </row>
    <row r="654" ht="15.75" customHeight="1">
      <c r="O654" s="2"/>
    </row>
    <row r="655" ht="15.75" customHeight="1">
      <c r="O655" s="2"/>
    </row>
    <row r="656" ht="15.75" customHeight="1">
      <c r="O656" s="2"/>
    </row>
    <row r="657" ht="15.75" customHeight="1">
      <c r="O657" s="2"/>
    </row>
    <row r="658" ht="15.75" customHeight="1">
      <c r="O658" s="2"/>
    </row>
    <row r="659" ht="15.75" customHeight="1">
      <c r="O659" s="2"/>
    </row>
    <row r="660" ht="15.75" customHeight="1">
      <c r="O660" s="2"/>
    </row>
    <row r="661" ht="15.75" customHeight="1">
      <c r="O661" s="2"/>
    </row>
    <row r="662" ht="15.75" customHeight="1">
      <c r="O662" s="2"/>
    </row>
    <row r="663" ht="15.75" customHeight="1">
      <c r="O663" s="2"/>
    </row>
    <row r="664" ht="15.75" customHeight="1">
      <c r="O664" s="2"/>
    </row>
    <row r="665" ht="15.75" customHeight="1">
      <c r="O665" s="2"/>
    </row>
    <row r="666" ht="15.75" customHeight="1">
      <c r="O666" s="2"/>
    </row>
    <row r="667" ht="15.75" customHeight="1">
      <c r="O667" s="2"/>
    </row>
    <row r="668" ht="15.75" customHeight="1">
      <c r="O668" s="2"/>
    </row>
    <row r="669" ht="15.75" customHeight="1">
      <c r="O669" s="2"/>
    </row>
    <row r="670" ht="15.75" customHeight="1">
      <c r="O670" s="2"/>
    </row>
    <row r="671" ht="15.75" customHeight="1">
      <c r="O671" s="2"/>
    </row>
    <row r="672" ht="15.75" customHeight="1">
      <c r="O672" s="2"/>
    </row>
    <row r="673" ht="15.75" customHeight="1">
      <c r="O673" s="2"/>
    </row>
    <row r="674" ht="15.75" customHeight="1">
      <c r="O674" s="2"/>
    </row>
    <row r="675" ht="15.75" customHeight="1">
      <c r="O675" s="2"/>
    </row>
    <row r="676" ht="15.75" customHeight="1">
      <c r="O676" s="2"/>
    </row>
    <row r="677" ht="15.75" customHeight="1">
      <c r="O677" s="2"/>
    </row>
    <row r="678" ht="15.75" customHeight="1">
      <c r="O678" s="2"/>
    </row>
    <row r="679" ht="15.75" customHeight="1">
      <c r="O679" s="2"/>
    </row>
    <row r="680" ht="15.75" customHeight="1">
      <c r="O680" s="2"/>
    </row>
    <row r="681" ht="15.75" customHeight="1">
      <c r="O681" s="2"/>
    </row>
    <row r="682" ht="15.75" customHeight="1">
      <c r="O682" s="2"/>
    </row>
    <row r="683" ht="15.75" customHeight="1">
      <c r="O683" s="2"/>
    </row>
    <row r="684" ht="15.75" customHeight="1">
      <c r="O684" s="2"/>
    </row>
    <row r="685" ht="15.75" customHeight="1">
      <c r="O685" s="2"/>
    </row>
    <row r="686" ht="15.75" customHeight="1">
      <c r="O686" s="2"/>
    </row>
    <row r="687" ht="15.75" customHeight="1">
      <c r="O687" s="2"/>
    </row>
    <row r="688" ht="15.75" customHeight="1">
      <c r="O688" s="2"/>
    </row>
    <row r="689" ht="15.75" customHeight="1">
      <c r="O689" s="2"/>
    </row>
    <row r="690" ht="15.75" customHeight="1">
      <c r="O690" s="2"/>
    </row>
    <row r="691" ht="15.75" customHeight="1">
      <c r="O691" s="2"/>
    </row>
    <row r="692" ht="15.75" customHeight="1">
      <c r="O692" s="2"/>
    </row>
    <row r="693" ht="15.75" customHeight="1">
      <c r="O693" s="2"/>
    </row>
    <row r="694" ht="15.75" customHeight="1">
      <c r="O694" s="2"/>
    </row>
    <row r="695" ht="15.75" customHeight="1">
      <c r="O695" s="2"/>
    </row>
    <row r="696" ht="15.75" customHeight="1">
      <c r="O696" s="2"/>
    </row>
    <row r="697" ht="15.75" customHeight="1">
      <c r="O697" s="2"/>
    </row>
    <row r="698" ht="15.75" customHeight="1">
      <c r="O698" s="2"/>
    </row>
    <row r="699" ht="15.75" customHeight="1">
      <c r="O699" s="2"/>
    </row>
    <row r="700" ht="15.75" customHeight="1">
      <c r="O700" s="2"/>
    </row>
    <row r="701" ht="15.75" customHeight="1">
      <c r="O701" s="2"/>
    </row>
    <row r="702" ht="15.75" customHeight="1">
      <c r="O702" s="2"/>
    </row>
    <row r="703" ht="15.75" customHeight="1">
      <c r="O703" s="2"/>
    </row>
    <row r="704" ht="15.75" customHeight="1">
      <c r="O704" s="2"/>
    </row>
    <row r="705" ht="15.75" customHeight="1">
      <c r="O705" s="2"/>
    </row>
    <row r="706" ht="15.75" customHeight="1">
      <c r="O706" s="2"/>
    </row>
    <row r="707" ht="15.75" customHeight="1">
      <c r="O707" s="2"/>
    </row>
    <row r="708" ht="15.75" customHeight="1">
      <c r="O708" s="2"/>
    </row>
    <row r="709" ht="15.75" customHeight="1">
      <c r="O709" s="2"/>
    </row>
    <row r="710" ht="15.75" customHeight="1">
      <c r="O710" s="2"/>
    </row>
    <row r="711" ht="15.75" customHeight="1">
      <c r="O711" s="2"/>
    </row>
    <row r="712" ht="15.75" customHeight="1">
      <c r="O712" s="2"/>
    </row>
    <row r="713" ht="15.75" customHeight="1">
      <c r="O713" s="2"/>
    </row>
    <row r="714" ht="15.75" customHeight="1">
      <c r="O714" s="2"/>
    </row>
    <row r="715" ht="15.75" customHeight="1">
      <c r="O715" s="2"/>
    </row>
    <row r="716" ht="15.75" customHeight="1">
      <c r="O716" s="2"/>
    </row>
    <row r="717" ht="15.75" customHeight="1">
      <c r="O717" s="2"/>
    </row>
    <row r="718" ht="15.75" customHeight="1">
      <c r="O718" s="2"/>
    </row>
    <row r="719" ht="15.75" customHeight="1">
      <c r="O719" s="2"/>
    </row>
    <row r="720" ht="15.75" customHeight="1">
      <c r="O720" s="2"/>
    </row>
    <row r="721" ht="15.75" customHeight="1">
      <c r="O721" s="2"/>
    </row>
    <row r="722" ht="15.75" customHeight="1">
      <c r="O722" s="2"/>
    </row>
    <row r="723" ht="15.75" customHeight="1">
      <c r="O723" s="2"/>
    </row>
    <row r="724" ht="15.75" customHeight="1">
      <c r="O724" s="2"/>
    </row>
    <row r="725" ht="15.75" customHeight="1">
      <c r="O725" s="2"/>
    </row>
    <row r="726" ht="15.75" customHeight="1">
      <c r="O726" s="2"/>
    </row>
    <row r="727" ht="15.75" customHeight="1">
      <c r="O727" s="2"/>
    </row>
    <row r="728" ht="15.75" customHeight="1">
      <c r="O728" s="2"/>
    </row>
    <row r="729" ht="15.75" customHeight="1">
      <c r="O729" s="2"/>
    </row>
    <row r="730" ht="15.75" customHeight="1">
      <c r="O730" s="2"/>
    </row>
    <row r="731" ht="15.75" customHeight="1">
      <c r="O731" s="2"/>
    </row>
    <row r="732" ht="15.75" customHeight="1">
      <c r="O732" s="2"/>
    </row>
    <row r="733" ht="15.75" customHeight="1">
      <c r="O733" s="2"/>
    </row>
    <row r="734" ht="15.75" customHeight="1">
      <c r="O734" s="2"/>
    </row>
    <row r="735" ht="15.75" customHeight="1">
      <c r="O735" s="2"/>
    </row>
    <row r="736" ht="15.75" customHeight="1">
      <c r="O736" s="2"/>
    </row>
    <row r="737" ht="15.75" customHeight="1">
      <c r="O737" s="2"/>
    </row>
    <row r="738" ht="15.75" customHeight="1">
      <c r="O738" s="2"/>
    </row>
    <row r="739" ht="15.75" customHeight="1">
      <c r="O739" s="2"/>
    </row>
    <row r="740" ht="15.75" customHeight="1">
      <c r="O740" s="2"/>
    </row>
    <row r="741" ht="15.75" customHeight="1">
      <c r="O741" s="2"/>
    </row>
    <row r="742" ht="15.75" customHeight="1">
      <c r="O742" s="2"/>
    </row>
    <row r="743" ht="15.75" customHeight="1">
      <c r="O743" s="2"/>
    </row>
    <row r="744" ht="15.75" customHeight="1">
      <c r="O744" s="2"/>
    </row>
    <row r="745" ht="15.75" customHeight="1">
      <c r="O745" s="2"/>
    </row>
    <row r="746" ht="15.75" customHeight="1">
      <c r="O746" s="2"/>
    </row>
    <row r="747" ht="15.75" customHeight="1">
      <c r="O747" s="2"/>
    </row>
    <row r="748" ht="15.75" customHeight="1">
      <c r="O748" s="2"/>
    </row>
    <row r="749" ht="15.75" customHeight="1">
      <c r="O749" s="2"/>
    </row>
    <row r="750" ht="15.75" customHeight="1">
      <c r="O750" s="2"/>
    </row>
    <row r="751" ht="15.75" customHeight="1">
      <c r="O751" s="2"/>
    </row>
    <row r="752" ht="15.75" customHeight="1">
      <c r="O752" s="2"/>
    </row>
    <row r="753" ht="15.75" customHeight="1">
      <c r="O753" s="2"/>
    </row>
    <row r="754" ht="15.75" customHeight="1">
      <c r="O754" s="2"/>
    </row>
    <row r="755" ht="15.75" customHeight="1">
      <c r="O755" s="2"/>
    </row>
    <row r="756" ht="15.75" customHeight="1">
      <c r="O756" s="2"/>
    </row>
    <row r="757" ht="15.75" customHeight="1">
      <c r="O757" s="2"/>
    </row>
    <row r="758" ht="15.75" customHeight="1">
      <c r="O758" s="2"/>
    </row>
    <row r="759" ht="15.75" customHeight="1">
      <c r="O759" s="2"/>
    </row>
    <row r="760" ht="15.75" customHeight="1">
      <c r="O760" s="2"/>
    </row>
    <row r="761" ht="15.75" customHeight="1">
      <c r="O761" s="2"/>
    </row>
    <row r="762" ht="15.75" customHeight="1">
      <c r="O762" s="2"/>
    </row>
    <row r="763" ht="15.75" customHeight="1">
      <c r="O763" s="2"/>
    </row>
    <row r="764" ht="15.75" customHeight="1">
      <c r="O764" s="2"/>
    </row>
    <row r="765" ht="15.75" customHeight="1">
      <c r="O765" s="2"/>
    </row>
    <row r="766" ht="15.75" customHeight="1">
      <c r="O766" s="2"/>
    </row>
    <row r="767" ht="15.75" customHeight="1">
      <c r="O767" s="2"/>
    </row>
    <row r="768" ht="15.75" customHeight="1">
      <c r="O768" s="2"/>
    </row>
    <row r="769" ht="15.75" customHeight="1">
      <c r="O769" s="2"/>
    </row>
    <row r="770" ht="15.75" customHeight="1">
      <c r="O770" s="2"/>
    </row>
    <row r="771" ht="15.75" customHeight="1">
      <c r="O771" s="2"/>
    </row>
    <row r="772" ht="15.75" customHeight="1">
      <c r="O772" s="2"/>
    </row>
    <row r="773" ht="15.75" customHeight="1">
      <c r="O773" s="2"/>
    </row>
    <row r="774" ht="15.75" customHeight="1">
      <c r="O774" s="2"/>
    </row>
    <row r="775" ht="15.75" customHeight="1">
      <c r="O775" s="2"/>
    </row>
    <row r="776" ht="15.75" customHeight="1">
      <c r="O776" s="2"/>
    </row>
    <row r="777" ht="15.75" customHeight="1">
      <c r="O777" s="2"/>
    </row>
    <row r="778" ht="15.75" customHeight="1">
      <c r="O778" s="2"/>
    </row>
    <row r="779" ht="15.75" customHeight="1">
      <c r="O779" s="2"/>
    </row>
    <row r="780" ht="15.75" customHeight="1">
      <c r="O780" s="2"/>
    </row>
    <row r="781" ht="15.75" customHeight="1">
      <c r="O781" s="2"/>
    </row>
    <row r="782" ht="15.75" customHeight="1">
      <c r="O782" s="2"/>
    </row>
    <row r="783" ht="15.75" customHeight="1">
      <c r="O783" s="2"/>
    </row>
    <row r="784" ht="15.75" customHeight="1">
      <c r="O784" s="2"/>
    </row>
    <row r="785" ht="15.75" customHeight="1">
      <c r="O785" s="2"/>
    </row>
    <row r="786" ht="15.75" customHeight="1">
      <c r="O786" s="2"/>
    </row>
    <row r="787" ht="15.75" customHeight="1">
      <c r="O787" s="2"/>
    </row>
    <row r="788" ht="15.75" customHeight="1">
      <c r="O788" s="2"/>
    </row>
    <row r="789" ht="15.75" customHeight="1">
      <c r="O789" s="2"/>
    </row>
    <row r="790" ht="15.75" customHeight="1">
      <c r="O790" s="2"/>
    </row>
    <row r="791" ht="15.75" customHeight="1">
      <c r="O791" s="2"/>
    </row>
    <row r="792" ht="15.75" customHeight="1">
      <c r="O792" s="2"/>
    </row>
    <row r="793" ht="15.75" customHeight="1">
      <c r="O793" s="2"/>
    </row>
    <row r="794" ht="15.75" customHeight="1">
      <c r="O794" s="2"/>
    </row>
    <row r="795" ht="15.75" customHeight="1">
      <c r="O795" s="2"/>
    </row>
    <row r="796" ht="15.75" customHeight="1">
      <c r="O796" s="2"/>
    </row>
    <row r="797" ht="15.75" customHeight="1">
      <c r="O797" s="2"/>
    </row>
    <row r="798" ht="15.75" customHeight="1">
      <c r="O798" s="2"/>
    </row>
    <row r="799" ht="15.75" customHeight="1">
      <c r="O799" s="2"/>
    </row>
    <row r="800" ht="15.75" customHeight="1">
      <c r="O800" s="2"/>
    </row>
    <row r="801" ht="15.75" customHeight="1">
      <c r="O801" s="2"/>
    </row>
    <row r="802" ht="15.75" customHeight="1">
      <c r="O802" s="2"/>
    </row>
    <row r="803" ht="15.75" customHeight="1">
      <c r="O803" s="2"/>
    </row>
    <row r="804" ht="15.75" customHeight="1">
      <c r="O804" s="2"/>
    </row>
    <row r="805" ht="15.75" customHeight="1">
      <c r="O805" s="2"/>
    </row>
    <row r="806" ht="15.75" customHeight="1">
      <c r="O806" s="2"/>
    </row>
    <row r="807" ht="15.75" customHeight="1">
      <c r="O807" s="2"/>
    </row>
    <row r="808" ht="15.75" customHeight="1">
      <c r="O808" s="2"/>
    </row>
    <row r="809" ht="15.75" customHeight="1">
      <c r="O809" s="2"/>
    </row>
    <row r="810" ht="15.75" customHeight="1">
      <c r="O810" s="2"/>
    </row>
    <row r="811" ht="15.75" customHeight="1">
      <c r="O811" s="2"/>
    </row>
    <row r="812" ht="15.75" customHeight="1">
      <c r="O812" s="2"/>
    </row>
    <row r="813" ht="15.75" customHeight="1">
      <c r="O813" s="2"/>
    </row>
    <row r="814" ht="15.75" customHeight="1">
      <c r="O814" s="2"/>
    </row>
    <row r="815" ht="15.75" customHeight="1">
      <c r="O815" s="2"/>
    </row>
    <row r="816" ht="15.75" customHeight="1">
      <c r="O816" s="2"/>
    </row>
    <row r="817" ht="15.75" customHeight="1">
      <c r="O817" s="2"/>
    </row>
    <row r="818" ht="15.75" customHeight="1">
      <c r="O818" s="2"/>
    </row>
    <row r="819" ht="15.75" customHeight="1">
      <c r="O819" s="2"/>
    </row>
    <row r="820" ht="15.75" customHeight="1">
      <c r="O820" s="2"/>
    </row>
    <row r="821" ht="15.75" customHeight="1">
      <c r="O821" s="2"/>
    </row>
    <row r="822" ht="15.75" customHeight="1">
      <c r="O822" s="2"/>
    </row>
    <row r="823" ht="15.75" customHeight="1">
      <c r="O823" s="2"/>
    </row>
    <row r="824" ht="15.75" customHeight="1">
      <c r="O824" s="2"/>
    </row>
    <row r="825" ht="15.75" customHeight="1">
      <c r="O825" s="2"/>
    </row>
    <row r="826" ht="15.75" customHeight="1">
      <c r="O826" s="2"/>
    </row>
    <row r="827" ht="15.75" customHeight="1">
      <c r="O827" s="2"/>
    </row>
    <row r="828" ht="15.75" customHeight="1">
      <c r="O828" s="2"/>
    </row>
    <row r="829" ht="15.75" customHeight="1">
      <c r="O829" s="2"/>
    </row>
    <row r="830" ht="15.75" customHeight="1">
      <c r="O830" s="2"/>
    </row>
    <row r="831" ht="15.75" customHeight="1">
      <c r="O831" s="2"/>
    </row>
    <row r="832" ht="15.75" customHeight="1">
      <c r="O832" s="2"/>
    </row>
    <row r="833" ht="15.75" customHeight="1">
      <c r="O833" s="2"/>
    </row>
    <row r="834" ht="15.75" customHeight="1">
      <c r="O834" s="2"/>
    </row>
    <row r="835" ht="15.75" customHeight="1">
      <c r="O835" s="2"/>
    </row>
    <row r="836" ht="15.75" customHeight="1">
      <c r="O836" s="2"/>
    </row>
    <row r="837" ht="15.75" customHeight="1">
      <c r="O837" s="2"/>
    </row>
    <row r="838" ht="15.75" customHeight="1">
      <c r="O838" s="2"/>
    </row>
    <row r="839" ht="15.75" customHeight="1">
      <c r="O839" s="2"/>
    </row>
    <row r="840" ht="15.75" customHeight="1">
      <c r="O840" s="2"/>
    </row>
    <row r="841" ht="15.75" customHeight="1">
      <c r="O841" s="2"/>
    </row>
    <row r="842" ht="15.75" customHeight="1">
      <c r="O842" s="2"/>
    </row>
    <row r="843" ht="15.75" customHeight="1">
      <c r="O843" s="2"/>
    </row>
    <row r="844" ht="15.75" customHeight="1">
      <c r="O844" s="2"/>
    </row>
    <row r="845" ht="15.75" customHeight="1">
      <c r="O845" s="2"/>
    </row>
    <row r="846" ht="15.75" customHeight="1">
      <c r="O846" s="2"/>
    </row>
    <row r="847" ht="15.75" customHeight="1">
      <c r="O847" s="2"/>
    </row>
    <row r="848" ht="15.75" customHeight="1">
      <c r="O848" s="2"/>
    </row>
    <row r="849" ht="15.75" customHeight="1">
      <c r="O849" s="2"/>
    </row>
    <row r="850" ht="15.75" customHeight="1">
      <c r="O850" s="2"/>
    </row>
    <row r="851" ht="15.75" customHeight="1">
      <c r="O851" s="2"/>
    </row>
    <row r="852" ht="15.75" customHeight="1">
      <c r="O852" s="2"/>
    </row>
    <row r="853" ht="15.75" customHeight="1">
      <c r="O853" s="2"/>
    </row>
    <row r="854" ht="15.75" customHeight="1">
      <c r="O854" s="2"/>
    </row>
    <row r="855" ht="15.75" customHeight="1">
      <c r="O855" s="2"/>
    </row>
    <row r="856" ht="15.75" customHeight="1">
      <c r="O856" s="2"/>
    </row>
    <row r="857" ht="15.75" customHeight="1">
      <c r="O857" s="2"/>
    </row>
    <row r="858" ht="15.75" customHeight="1">
      <c r="O858" s="2"/>
    </row>
    <row r="859" ht="15.75" customHeight="1">
      <c r="O859" s="2"/>
    </row>
    <row r="860" ht="15.75" customHeight="1">
      <c r="O860" s="2"/>
    </row>
    <row r="861" ht="15.75" customHeight="1">
      <c r="O861" s="2"/>
    </row>
    <row r="862" ht="15.75" customHeight="1">
      <c r="O862" s="2"/>
    </row>
    <row r="863" ht="15.75" customHeight="1">
      <c r="O863" s="2"/>
    </row>
    <row r="864" ht="15.75" customHeight="1">
      <c r="O864" s="2"/>
    </row>
    <row r="865" ht="15.75" customHeight="1">
      <c r="O865" s="2"/>
    </row>
    <row r="866" ht="15.75" customHeight="1">
      <c r="O866" s="2"/>
    </row>
    <row r="867" ht="15.75" customHeight="1">
      <c r="O867" s="2"/>
    </row>
    <row r="868" ht="15.75" customHeight="1">
      <c r="O868" s="2"/>
    </row>
    <row r="869" ht="15.75" customHeight="1">
      <c r="O869" s="2"/>
    </row>
    <row r="870" ht="15.75" customHeight="1">
      <c r="O870" s="2"/>
    </row>
    <row r="871" ht="15.75" customHeight="1">
      <c r="O871" s="2"/>
    </row>
    <row r="872" ht="15.75" customHeight="1">
      <c r="O872" s="2"/>
    </row>
    <row r="873" ht="15.75" customHeight="1">
      <c r="O873" s="2"/>
    </row>
    <row r="874" ht="15.75" customHeight="1">
      <c r="O874" s="2"/>
    </row>
    <row r="875" ht="15.75" customHeight="1">
      <c r="O875" s="2"/>
    </row>
    <row r="876" ht="15.75" customHeight="1">
      <c r="O876" s="2"/>
    </row>
    <row r="877" ht="15.75" customHeight="1">
      <c r="O877" s="2"/>
    </row>
    <row r="878" ht="15.75" customHeight="1">
      <c r="O878" s="2"/>
    </row>
    <row r="879" ht="15.75" customHeight="1">
      <c r="O879" s="2"/>
    </row>
    <row r="880" ht="15.75" customHeight="1">
      <c r="O880" s="2"/>
    </row>
    <row r="881" ht="15.75" customHeight="1">
      <c r="O881" s="2"/>
    </row>
    <row r="882" ht="15.75" customHeight="1">
      <c r="O882" s="2"/>
    </row>
    <row r="883" ht="15.75" customHeight="1">
      <c r="O883" s="2"/>
    </row>
    <row r="884" ht="15.75" customHeight="1">
      <c r="O884" s="2"/>
    </row>
    <row r="885" ht="15.75" customHeight="1">
      <c r="O885" s="2"/>
    </row>
    <row r="886" ht="15.75" customHeight="1">
      <c r="O886" s="2"/>
    </row>
    <row r="887" ht="15.75" customHeight="1">
      <c r="O887" s="2"/>
    </row>
    <row r="888" ht="15.75" customHeight="1">
      <c r="O888" s="2"/>
    </row>
    <row r="889" ht="15.75" customHeight="1">
      <c r="O889" s="2"/>
    </row>
    <row r="890" ht="15.75" customHeight="1">
      <c r="O890" s="2"/>
    </row>
    <row r="891" ht="15.75" customHeight="1">
      <c r="O891" s="2"/>
    </row>
    <row r="892" ht="15.75" customHeight="1">
      <c r="O892" s="2"/>
    </row>
    <row r="893" ht="15.75" customHeight="1">
      <c r="O893" s="2"/>
    </row>
    <row r="894" ht="15.75" customHeight="1">
      <c r="O894" s="2"/>
    </row>
    <row r="895" ht="15.75" customHeight="1">
      <c r="O895" s="2"/>
    </row>
    <row r="896" ht="15.75" customHeight="1">
      <c r="O896" s="2"/>
    </row>
    <row r="897" ht="15.75" customHeight="1">
      <c r="O897" s="2"/>
    </row>
    <row r="898" ht="15.75" customHeight="1">
      <c r="O898" s="2"/>
    </row>
    <row r="899" ht="15.75" customHeight="1">
      <c r="O899" s="2"/>
    </row>
    <row r="900" ht="15.75" customHeight="1">
      <c r="O900" s="2"/>
    </row>
    <row r="901" ht="15.75" customHeight="1">
      <c r="O901" s="2"/>
    </row>
    <row r="902" ht="15.75" customHeight="1">
      <c r="O902" s="2"/>
    </row>
    <row r="903" ht="15.75" customHeight="1">
      <c r="O903" s="2"/>
    </row>
    <row r="904" ht="15.75" customHeight="1">
      <c r="O904" s="2"/>
    </row>
    <row r="905" ht="15.75" customHeight="1">
      <c r="O905" s="2"/>
    </row>
    <row r="906" ht="15.75" customHeight="1">
      <c r="O906" s="2"/>
    </row>
    <row r="907" ht="15.75" customHeight="1">
      <c r="O907" s="2"/>
    </row>
    <row r="908" ht="15.75" customHeight="1">
      <c r="O908" s="2"/>
    </row>
    <row r="909" ht="15.75" customHeight="1">
      <c r="O909" s="2"/>
    </row>
    <row r="910" ht="15.75" customHeight="1">
      <c r="O910" s="2"/>
    </row>
    <row r="911" ht="15.75" customHeight="1">
      <c r="O911" s="2"/>
    </row>
    <row r="912" ht="15.75" customHeight="1">
      <c r="O912" s="2"/>
    </row>
    <row r="913" ht="15.75" customHeight="1">
      <c r="O913" s="2"/>
    </row>
    <row r="914" ht="15.75" customHeight="1">
      <c r="O914" s="2"/>
    </row>
    <row r="915" ht="15.75" customHeight="1">
      <c r="O915" s="2"/>
    </row>
    <row r="916" ht="15.75" customHeight="1">
      <c r="O916" s="2"/>
    </row>
    <row r="917" ht="15.75" customHeight="1">
      <c r="O917" s="2"/>
    </row>
    <row r="918" ht="15.75" customHeight="1">
      <c r="O918" s="2"/>
    </row>
    <row r="919" ht="15.75" customHeight="1">
      <c r="O919" s="2"/>
    </row>
    <row r="920" ht="15.75" customHeight="1">
      <c r="O920" s="2"/>
    </row>
    <row r="921" ht="15.75" customHeight="1">
      <c r="O921" s="2"/>
    </row>
    <row r="922" ht="15.75" customHeight="1">
      <c r="O922" s="2"/>
    </row>
    <row r="923" ht="15.75" customHeight="1">
      <c r="O923" s="2"/>
    </row>
    <row r="924" ht="15.75" customHeight="1">
      <c r="O924" s="2"/>
    </row>
    <row r="925" ht="15.75" customHeight="1">
      <c r="O925" s="2"/>
    </row>
    <row r="926" ht="15.75" customHeight="1">
      <c r="O926" s="2"/>
    </row>
    <row r="927" ht="15.75" customHeight="1">
      <c r="O927" s="2"/>
    </row>
    <row r="928" ht="15.75" customHeight="1">
      <c r="O928" s="2"/>
    </row>
    <row r="929" ht="15.75" customHeight="1">
      <c r="O929" s="2"/>
    </row>
    <row r="930" ht="15.75" customHeight="1">
      <c r="O930" s="2"/>
    </row>
    <row r="931" ht="15.75" customHeight="1">
      <c r="O931" s="2"/>
    </row>
    <row r="932" ht="15.75" customHeight="1">
      <c r="O932" s="2"/>
    </row>
    <row r="933" ht="15.75" customHeight="1">
      <c r="O933" s="2"/>
    </row>
    <row r="934" ht="15.75" customHeight="1">
      <c r="O934" s="2"/>
    </row>
    <row r="935" ht="15.75" customHeight="1">
      <c r="O935" s="2"/>
    </row>
    <row r="936" ht="15.75" customHeight="1">
      <c r="O936" s="2"/>
    </row>
    <row r="937" ht="15.75" customHeight="1">
      <c r="O937" s="2"/>
    </row>
    <row r="938" ht="15.75" customHeight="1">
      <c r="O938" s="2"/>
    </row>
    <row r="939" ht="15.75" customHeight="1">
      <c r="O939" s="2"/>
    </row>
    <row r="940" ht="15.75" customHeight="1">
      <c r="O940" s="2"/>
    </row>
    <row r="941" ht="15.75" customHeight="1">
      <c r="O941" s="2"/>
    </row>
    <row r="942" ht="15.75" customHeight="1">
      <c r="O942" s="2"/>
    </row>
    <row r="943" ht="15.75" customHeight="1">
      <c r="O943" s="2"/>
    </row>
    <row r="944" ht="15.75" customHeight="1">
      <c r="O944" s="2"/>
    </row>
    <row r="945" ht="15.75" customHeight="1">
      <c r="O945" s="2"/>
    </row>
    <row r="946" ht="15.75" customHeight="1">
      <c r="O946" s="2"/>
    </row>
    <row r="947" ht="15.75" customHeight="1">
      <c r="O947" s="2"/>
    </row>
    <row r="948" ht="15.75" customHeight="1">
      <c r="O948" s="2"/>
    </row>
    <row r="949" ht="15.75" customHeight="1">
      <c r="O949" s="2"/>
    </row>
    <row r="950" ht="15.75" customHeight="1">
      <c r="O950" s="2"/>
    </row>
    <row r="951" ht="15.75" customHeight="1">
      <c r="O951" s="2"/>
    </row>
    <row r="952" ht="15.75" customHeight="1">
      <c r="O952" s="2"/>
    </row>
    <row r="953" ht="15.75" customHeight="1">
      <c r="O953" s="2"/>
    </row>
    <row r="954" ht="15.75" customHeight="1">
      <c r="O954" s="2"/>
    </row>
    <row r="955" ht="15.75" customHeight="1">
      <c r="O955" s="2"/>
    </row>
    <row r="956" ht="15.75" customHeight="1">
      <c r="O956" s="2"/>
    </row>
    <row r="957" ht="15.75" customHeight="1">
      <c r="O957" s="2"/>
    </row>
    <row r="958" ht="15.75" customHeight="1">
      <c r="O958" s="2"/>
    </row>
    <row r="959" ht="15.75" customHeight="1">
      <c r="O959" s="2"/>
    </row>
    <row r="960" ht="15.75" customHeight="1">
      <c r="O960" s="2"/>
    </row>
    <row r="961" ht="15.75" customHeight="1">
      <c r="O961" s="2"/>
    </row>
    <row r="962" ht="15.75" customHeight="1">
      <c r="O962" s="2"/>
    </row>
    <row r="963" ht="15.75" customHeight="1">
      <c r="O963" s="2"/>
    </row>
    <row r="964" ht="15.75" customHeight="1">
      <c r="O964" s="2"/>
    </row>
    <row r="965" ht="15.75" customHeight="1">
      <c r="O965" s="2"/>
    </row>
    <row r="966" ht="15.75" customHeight="1">
      <c r="O966" s="2"/>
    </row>
    <row r="967" ht="15.75" customHeight="1">
      <c r="O967" s="2"/>
    </row>
    <row r="968" ht="15.75" customHeight="1">
      <c r="O968" s="2"/>
    </row>
    <row r="969" ht="15.75" customHeight="1">
      <c r="O969" s="2"/>
    </row>
    <row r="970" ht="15.75" customHeight="1">
      <c r="O970" s="2"/>
    </row>
    <row r="971" ht="15.75" customHeight="1">
      <c r="O971" s="2"/>
    </row>
    <row r="972" ht="15.75" customHeight="1">
      <c r="O972" s="2"/>
    </row>
    <row r="973" ht="15.75" customHeight="1">
      <c r="O973" s="2"/>
    </row>
    <row r="974" ht="15.75" customHeight="1">
      <c r="O974" s="2"/>
    </row>
    <row r="975">
      <c r="O975" s="2"/>
    </row>
    <row r="976">
      <c r="O976" s="2"/>
    </row>
    <row r="977">
      <c r="O977" s="2"/>
    </row>
    <row r="978">
      <c r="O978" s="2"/>
    </row>
    <row r="979">
      <c r="O979" s="2"/>
    </row>
    <row r="980">
      <c r="O980" s="2"/>
    </row>
    <row r="981">
      <c r="O981" s="2"/>
    </row>
    <row r="982">
      <c r="O982" s="2"/>
    </row>
    <row r="983">
      <c r="O983" s="2"/>
    </row>
    <row r="984">
      <c r="O984" s="2"/>
    </row>
    <row r="985">
      <c r="O985" s="2"/>
    </row>
    <row r="986">
      <c r="O986" s="2"/>
    </row>
    <row r="987">
      <c r="O987" s="2"/>
    </row>
    <row r="988">
      <c r="O988" s="2"/>
    </row>
    <row r="989">
      <c r="O989" s="2"/>
    </row>
    <row r="990">
      <c r="O990" s="2"/>
    </row>
    <row r="991">
      <c r="O991" s="2"/>
    </row>
    <row r="992">
      <c r="O992" s="2"/>
    </row>
    <row r="993">
      <c r="O993" s="2"/>
    </row>
    <row r="994">
      <c r="O994" s="2"/>
    </row>
    <row r="995">
      <c r="O995" s="2"/>
    </row>
    <row r="996">
      <c r="O996" s="2"/>
    </row>
    <row r="997">
      <c r="O997" s="2"/>
    </row>
    <row r="998">
      <c r="O998" s="2"/>
    </row>
    <row r="999">
      <c r="O999" s="2"/>
    </row>
    <row r="1000">
      <c r="O1000" s="2"/>
    </row>
    <row r="1001">
      <c r="O1001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6.63"/>
    <col customWidth="1" min="2" max="2" width="23.13"/>
    <col customWidth="1" min="3" max="11" width="8.25"/>
    <col customWidth="1" min="12" max="14" width="9.25"/>
    <col customWidth="1" min="15" max="15" width="8.63"/>
  </cols>
  <sheetData>
    <row r="1">
      <c r="A1" s="1" t="s">
        <v>0</v>
      </c>
    </row>
    <row r="2">
      <c r="A2" s="3" t="s">
        <v>3</v>
      </c>
      <c r="B2" s="5" t="s">
        <v>5</v>
      </c>
      <c r="C2" s="6" t="s">
        <v>6</v>
      </c>
      <c r="D2" s="6" t="s">
        <v>7</v>
      </c>
      <c r="E2" s="6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14</v>
      </c>
      <c r="K2" s="5" t="s">
        <v>15</v>
      </c>
      <c r="L2" s="5" t="s">
        <v>16</v>
      </c>
      <c r="M2" s="5" t="s">
        <v>17</v>
      </c>
      <c r="N2" s="13" t="s">
        <v>18</v>
      </c>
      <c r="O2" s="15" t="s">
        <v>20</v>
      </c>
      <c r="P2" s="17" t="s">
        <v>22</v>
      </c>
    </row>
    <row r="3">
      <c r="A3" s="21">
        <v>2.8410856E7</v>
      </c>
      <c r="B3" s="24" t="s">
        <v>24</v>
      </c>
      <c r="C3" s="4"/>
      <c r="D3" s="4">
        <v>2.0</v>
      </c>
      <c r="E3" s="4">
        <v>1.0</v>
      </c>
      <c r="F3" s="4"/>
      <c r="G3" s="4"/>
      <c r="H3" s="4"/>
      <c r="I3" s="4"/>
      <c r="J3" s="4"/>
      <c r="K3" s="4"/>
      <c r="L3" s="4"/>
      <c r="M3" s="4"/>
      <c r="N3" s="4"/>
      <c r="O3" s="37">
        <f>SUM('ESTRUCTURAS-DE DATOS'!$C3:$N3)</f>
        <v>3</v>
      </c>
      <c r="P3" s="41">
        <f t="shared" ref="P3:P20" si="1">O3/17</f>
        <v>0.1764705882</v>
      </c>
    </row>
    <row r="4">
      <c r="A4" s="21">
        <v>3.0911705E7</v>
      </c>
      <c r="B4" s="24" t="s">
        <v>41</v>
      </c>
      <c r="C4" s="4">
        <v>2.0</v>
      </c>
      <c r="D4" s="4"/>
      <c r="E4" s="4">
        <v>1.0</v>
      </c>
      <c r="F4" s="4" t="s">
        <v>44</v>
      </c>
      <c r="G4" s="4">
        <v>2.0</v>
      </c>
      <c r="H4" s="4">
        <v>2.0</v>
      </c>
      <c r="I4" s="4"/>
      <c r="J4" s="4"/>
      <c r="K4" s="4"/>
      <c r="L4" s="4"/>
      <c r="M4" s="4"/>
      <c r="N4" s="4">
        <v>2.0</v>
      </c>
      <c r="O4" s="37">
        <f>SUM('ESTRUCTURAS-DE DATOS'!$C4:$N4)</f>
        <v>9</v>
      </c>
      <c r="P4" s="41">
        <f t="shared" si="1"/>
        <v>0.5294117647</v>
      </c>
    </row>
    <row r="5">
      <c r="A5" s="21">
        <v>3.0394726E7</v>
      </c>
      <c r="B5" s="24" t="s">
        <v>48</v>
      </c>
      <c r="C5" s="4">
        <v>8.0</v>
      </c>
      <c r="D5" s="4">
        <v>4.0</v>
      </c>
      <c r="E5" s="8">
        <v>5.0</v>
      </c>
      <c r="F5" s="4">
        <v>1.0</v>
      </c>
      <c r="G5" s="4">
        <v>8.0</v>
      </c>
      <c r="H5" s="4"/>
      <c r="I5" s="4">
        <v>1.0</v>
      </c>
      <c r="J5" s="4">
        <v>4.0</v>
      </c>
      <c r="K5" s="4"/>
      <c r="L5" s="4">
        <v>4.0</v>
      </c>
      <c r="M5" s="4"/>
      <c r="N5" s="4">
        <v>1.0</v>
      </c>
      <c r="O5" s="37">
        <f>SUM('ESTRUCTURAS-DE DATOS'!$C5:$N5)</f>
        <v>36</v>
      </c>
      <c r="P5" s="41">
        <f t="shared" si="1"/>
        <v>2.117647059</v>
      </c>
    </row>
    <row r="6">
      <c r="A6" s="21">
        <v>3.2333927E7</v>
      </c>
      <c r="B6" s="24" t="s">
        <v>50</v>
      </c>
      <c r="C6" s="4">
        <v>1.0</v>
      </c>
      <c r="D6" s="4">
        <v>2.0</v>
      </c>
      <c r="E6" s="4">
        <v>1.0</v>
      </c>
      <c r="F6" s="4"/>
      <c r="G6" s="4">
        <v>2.0</v>
      </c>
      <c r="H6" s="4">
        <v>2.0</v>
      </c>
      <c r="I6" s="4"/>
      <c r="J6" s="4"/>
      <c r="K6" s="4">
        <v>1.0</v>
      </c>
      <c r="L6" s="4">
        <v>3.0</v>
      </c>
      <c r="M6" s="4"/>
      <c r="N6" s="4">
        <v>2.0</v>
      </c>
      <c r="O6" s="37">
        <f>SUM('ESTRUCTURAS-DE DATOS'!$C6:$N6)</f>
        <v>14</v>
      </c>
      <c r="P6" s="41">
        <f t="shared" si="1"/>
        <v>0.8235294118</v>
      </c>
    </row>
    <row r="7">
      <c r="A7" s="21">
        <v>3.1464995E7</v>
      </c>
      <c r="B7" s="24" t="s">
        <v>53</v>
      </c>
      <c r="C7" s="8"/>
      <c r="D7" s="8"/>
      <c r="E7" s="4"/>
      <c r="F7" s="4"/>
      <c r="G7" s="4"/>
      <c r="H7" s="4"/>
      <c r="I7" s="4"/>
      <c r="J7" s="4"/>
      <c r="K7" s="4"/>
      <c r="L7" s="4"/>
      <c r="M7" s="4"/>
      <c r="N7" s="4"/>
      <c r="O7" s="37">
        <f>SUM('ESTRUCTURAS-DE DATOS'!$C7:$N7)</f>
        <v>0</v>
      </c>
      <c r="P7" s="41">
        <f t="shared" si="1"/>
        <v>0</v>
      </c>
    </row>
    <row r="8">
      <c r="A8" s="21">
        <v>3.1042821E7</v>
      </c>
      <c r="B8" s="24" t="s">
        <v>56</v>
      </c>
      <c r="C8" s="8"/>
      <c r="D8" s="8"/>
      <c r="E8" s="8"/>
      <c r="F8" s="4"/>
      <c r="G8" s="8"/>
      <c r="H8" s="8">
        <v>2.0</v>
      </c>
      <c r="I8" s="4"/>
      <c r="J8" s="4"/>
      <c r="K8" s="4">
        <v>1.0</v>
      </c>
      <c r="L8" s="4">
        <v>5.0</v>
      </c>
      <c r="M8" s="4"/>
      <c r="N8" s="4"/>
      <c r="O8" s="37">
        <f>SUM('ESTRUCTURAS-DE DATOS'!$C8:$N8)</f>
        <v>8</v>
      </c>
      <c r="P8" s="41">
        <f t="shared" si="1"/>
        <v>0.4705882353</v>
      </c>
    </row>
    <row r="9">
      <c r="A9" s="21">
        <v>2.9724329E7</v>
      </c>
      <c r="B9" s="24" t="s">
        <v>58</v>
      </c>
      <c r="C9" s="4"/>
      <c r="D9" s="4"/>
      <c r="E9" s="8"/>
      <c r="F9" s="4"/>
      <c r="G9" s="8"/>
      <c r="H9" s="4">
        <v>4.0</v>
      </c>
      <c r="I9" s="4"/>
      <c r="J9" s="4"/>
      <c r="K9" s="4"/>
      <c r="L9" s="4"/>
      <c r="M9" s="4"/>
      <c r="N9" s="4"/>
      <c r="O9" s="37">
        <f>SUM('ESTRUCTURAS-DE DATOS'!$C9:$N9)</f>
        <v>4</v>
      </c>
      <c r="P9" s="41">
        <f t="shared" si="1"/>
        <v>0.2352941176</v>
      </c>
    </row>
    <row r="10">
      <c r="A10" s="21">
        <v>3.1785756E7</v>
      </c>
      <c r="B10" s="24" t="s">
        <v>61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37">
        <f>SUM('ESTRUCTURAS-DE DATOS'!$C10:$N10)</f>
        <v>0</v>
      </c>
      <c r="P10" s="41">
        <f t="shared" si="1"/>
        <v>0</v>
      </c>
    </row>
    <row r="11">
      <c r="A11" s="21">
        <v>3.1985434E7</v>
      </c>
      <c r="B11" s="24" t="s">
        <v>63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37">
        <f>SUM('ESTRUCTURAS-DE DATOS'!$C11:$N11)</f>
        <v>0</v>
      </c>
      <c r="P11" s="41">
        <f t="shared" si="1"/>
        <v>0</v>
      </c>
    </row>
    <row r="12" ht="15.75" customHeight="1">
      <c r="A12" s="21">
        <v>3.1758845E7</v>
      </c>
      <c r="B12" s="24" t="s">
        <v>66</v>
      </c>
      <c r="C12" s="8"/>
      <c r="D12" s="8"/>
      <c r="E12" s="8"/>
      <c r="F12" s="4"/>
      <c r="G12" s="8"/>
      <c r="H12" s="8"/>
      <c r="I12" s="4"/>
      <c r="J12" s="4"/>
      <c r="K12" s="4">
        <v>1.0</v>
      </c>
      <c r="L12" s="4">
        <v>4.0</v>
      </c>
      <c r="M12" s="4"/>
      <c r="N12" s="4">
        <v>2.0</v>
      </c>
      <c r="O12" s="37">
        <f>SUM('ESTRUCTURAS-DE DATOS'!$C12:$N12)</f>
        <v>7</v>
      </c>
      <c r="P12" s="41">
        <f t="shared" si="1"/>
        <v>0.4117647059</v>
      </c>
    </row>
    <row r="13" ht="15.75" customHeight="1">
      <c r="A13" s="21">
        <v>3.1377369E7</v>
      </c>
      <c r="B13" s="24" t="s">
        <v>69</v>
      </c>
      <c r="C13" s="4"/>
      <c r="D13" s="4"/>
      <c r="E13" s="4"/>
      <c r="F13" s="4"/>
      <c r="G13" s="4">
        <v>1.0</v>
      </c>
      <c r="H13" s="4"/>
      <c r="I13" s="4"/>
      <c r="J13" s="4"/>
      <c r="K13" s="4"/>
      <c r="L13" s="4">
        <v>2.0</v>
      </c>
      <c r="M13" s="4"/>
      <c r="N13" s="4"/>
      <c r="O13" s="37">
        <f>SUM('ESTRUCTURAS-DE DATOS'!$C13:$N13)</f>
        <v>3</v>
      </c>
      <c r="P13" s="41">
        <f t="shared" si="1"/>
        <v>0.1764705882</v>
      </c>
    </row>
    <row r="14" ht="15.75" customHeight="1">
      <c r="A14" s="21">
        <v>3.2377039E7</v>
      </c>
      <c r="B14" s="24" t="s">
        <v>71</v>
      </c>
      <c r="C14" s="4"/>
      <c r="D14" s="4">
        <v>2.0</v>
      </c>
      <c r="E14" s="4">
        <v>1.0</v>
      </c>
      <c r="F14" s="4"/>
      <c r="G14" s="4"/>
      <c r="H14" s="4"/>
      <c r="I14" s="4"/>
      <c r="J14" s="4"/>
      <c r="K14" s="4"/>
      <c r="L14" s="4"/>
      <c r="M14" s="4"/>
      <c r="N14" s="4"/>
      <c r="O14" s="37">
        <f>SUM('ESTRUCTURAS-DE DATOS'!$C14:$N14)</f>
        <v>3</v>
      </c>
      <c r="P14" s="41">
        <f t="shared" si="1"/>
        <v>0.1764705882</v>
      </c>
    </row>
    <row r="15" ht="17.25" customHeight="1">
      <c r="A15" s="21">
        <v>3.2124905E7</v>
      </c>
      <c r="B15" s="24" t="s">
        <v>74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37">
        <f>SUM('ESTRUCTURAS-DE DATOS'!$C15:$N15)</f>
        <v>0</v>
      </c>
      <c r="P15" s="41">
        <f t="shared" si="1"/>
        <v>0</v>
      </c>
    </row>
    <row r="16" ht="15.75" customHeight="1">
      <c r="A16" s="21">
        <v>2.4843496E7</v>
      </c>
      <c r="B16" s="24" t="s">
        <v>76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37">
        <f>SUM('ESTRUCTURAS-DE DATOS'!$C16:$N16)</f>
        <v>0</v>
      </c>
      <c r="P16" s="41">
        <f t="shared" si="1"/>
        <v>0</v>
      </c>
    </row>
    <row r="17" ht="15.75" customHeight="1">
      <c r="A17" s="21">
        <v>3.0538925E7</v>
      </c>
      <c r="B17" s="24" t="s">
        <v>79</v>
      </c>
      <c r="C17" s="4"/>
      <c r="D17" s="4">
        <v>1.0</v>
      </c>
      <c r="E17" s="4">
        <v>1.0</v>
      </c>
      <c r="F17" s="4"/>
      <c r="G17" s="4"/>
      <c r="H17" s="4"/>
      <c r="I17" s="4"/>
      <c r="J17" s="4"/>
      <c r="K17" s="4"/>
      <c r="L17" s="4">
        <v>4.0</v>
      </c>
      <c r="M17" s="4"/>
      <c r="N17" s="4"/>
      <c r="O17" s="37">
        <f>SUM('ESTRUCTURAS-DE DATOS'!$C17:$N17)</f>
        <v>6</v>
      </c>
      <c r="P17" s="41">
        <f t="shared" si="1"/>
        <v>0.3529411765</v>
      </c>
    </row>
    <row r="18" ht="15.75" customHeight="1">
      <c r="A18" s="21">
        <v>3.1707262E7</v>
      </c>
      <c r="B18" s="24" t="s">
        <v>82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37">
        <f>SUM('ESTRUCTURAS-DE DATOS'!$C18:$N18)</f>
        <v>0</v>
      </c>
      <c r="P18" s="41">
        <f t="shared" si="1"/>
        <v>0</v>
      </c>
    </row>
    <row r="19" ht="15.75" customHeight="1">
      <c r="A19" s="21">
        <v>3.1307971E7</v>
      </c>
      <c r="B19" s="24" t="s">
        <v>84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37">
        <f>SUM('ESTRUCTURAS-DE DATOS'!$C19:$N19)</f>
        <v>0</v>
      </c>
      <c r="P19" s="41">
        <f t="shared" si="1"/>
        <v>0</v>
      </c>
    </row>
    <row r="20" ht="15.75" customHeight="1">
      <c r="A20" s="21">
        <v>3.170726E7</v>
      </c>
      <c r="B20" s="24" t="s">
        <v>87</v>
      </c>
      <c r="C20" s="4"/>
      <c r="D20" s="4"/>
      <c r="E20" s="4"/>
      <c r="F20" s="4"/>
      <c r="G20" s="4"/>
      <c r="H20" s="4"/>
      <c r="I20" s="4"/>
      <c r="J20" s="4"/>
      <c r="K20" s="4">
        <v>1.0</v>
      </c>
      <c r="L20" s="4"/>
      <c r="M20" s="4"/>
      <c r="N20" s="4"/>
      <c r="O20" s="37">
        <f>SUM('ESTRUCTURAS-DE DATOS'!$C20:$N20)</f>
        <v>1</v>
      </c>
      <c r="P20" s="41">
        <f t="shared" si="1"/>
        <v>0.05882352941</v>
      </c>
    </row>
    <row r="21" ht="28.5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</row>
    <row r="22" ht="28.5" customHeight="1">
      <c r="A22" s="56"/>
      <c r="B22" s="57"/>
      <c r="C22" s="57"/>
      <c r="D22" s="58"/>
      <c r="E22" s="58"/>
      <c r="F22" s="58"/>
      <c r="G22" s="57"/>
      <c r="H22" s="58"/>
      <c r="I22" s="58"/>
      <c r="J22" s="58"/>
      <c r="K22" s="56"/>
    </row>
    <row r="23" ht="28.5" customHeight="1">
      <c r="A23" s="56"/>
      <c r="B23" s="57"/>
      <c r="C23" s="58"/>
      <c r="D23" s="57"/>
      <c r="E23" s="57"/>
      <c r="F23" s="58"/>
      <c r="G23" s="58"/>
      <c r="H23" s="57"/>
      <c r="I23" s="57"/>
      <c r="J23" s="58"/>
      <c r="K23" s="56"/>
    </row>
    <row r="24" ht="28.5" customHeight="1">
      <c r="A24" s="56"/>
      <c r="B24" s="58"/>
      <c r="C24" s="57"/>
      <c r="D24" s="57"/>
      <c r="E24" s="57"/>
      <c r="F24" s="58"/>
      <c r="G24" s="58"/>
      <c r="H24" s="57"/>
      <c r="I24" s="57"/>
      <c r="J24" s="58"/>
      <c r="K24" s="56"/>
    </row>
    <row r="25" ht="28.5" customHeight="1">
      <c r="A25" s="56"/>
      <c r="B25" s="57"/>
      <c r="C25" s="58"/>
      <c r="D25" s="58"/>
      <c r="E25" s="57"/>
      <c r="F25" s="57"/>
      <c r="G25" s="57"/>
      <c r="H25" s="57"/>
      <c r="I25" s="57"/>
      <c r="J25" s="57"/>
      <c r="K25" s="56"/>
    </row>
    <row r="26" ht="28.5" customHeight="1">
      <c r="A26" s="56"/>
      <c r="B26" s="57"/>
      <c r="C26" s="58"/>
      <c r="D26" s="58"/>
      <c r="E26" s="57"/>
      <c r="F26" s="57"/>
      <c r="G26" s="57"/>
      <c r="H26" s="57"/>
      <c r="I26" s="57"/>
      <c r="J26" s="57"/>
      <c r="K26" s="56"/>
    </row>
    <row r="27" ht="28.5" customHeight="1">
      <c r="A27" s="56"/>
      <c r="B27" s="57"/>
      <c r="C27" s="57"/>
      <c r="D27" s="57"/>
      <c r="E27" s="57"/>
      <c r="F27" s="57"/>
      <c r="G27" s="58"/>
      <c r="H27" s="57"/>
      <c r="I27" s="57"/>
      <c r="J27" s="57"/>
      <c r="K27" s="56"/>
    </row>
    <row r="28" ht="28.5" customHeight="1">
      <c r="A28" s="56"/>
      <c r="B28" s="57"/>
      <c r="C28" s="58"/>
      <c r="D28" s="57"/>
      <c r="E28" s="57"/>
      <c r="F28" s="57"/>
      <c r="G28" s="57"/>
      <c r="H28" s="57"/>
      <c r="I28" s="57"/>
      <c r="J28" s="57"/>
      <c r="K28" s="56"/>
    </row>
    <row r="29" ht="28.5" customHeight="1">
      <c r="A29" s="56"/>
      <c r="B29" s="57"/>
      <c r="C29" s="57"/>
      <c r="D29" s="57"/>
      <c r="E29" s="57"/>
      <c r="F29" s="57"/>
      <c r="G29" s="58"/>
      <c r="H29" s="57"/>
      <c r="I29" s="57"/>
      <c r="J29" s="57"/>
      <c r="K29" s="56"/>
    </row>
    <row r="30" ht="28.5" customHeight="1">
      <c r="A30" s="56"/>
      <c r="B30" s="57"/>
      <c r="C30" s="57"/>
      <c r="D30" s="57"/>
      <c r="E30" s="57"/>
      <c r="F30" s="57"/>
      <c r="G30" s="57"/>
      <c r="H30" s="58"/>
      <c r="I30" s="57"/>
      <c r="J30" s="57"/>
      <c r="K30" s="56"/>
    </row>
    <row r="31" ht="28.5" customHeight="1">
      <c r="A31" s="56"/>
      <c r="B31" s="57"/>
      <c r="C31" s="57"/>
      <c r="D31" s="57"/>
      <c r="E31" s="57"/>
      <c r="F31" s="57"/>
      <c r="G31" s="57"/>
      <c r="H31" s="57"/>
      <c r="I31" s="57"/>
      <c r="J31" s="58"/>
      <c r="K31" s="56"/>
    </row>
    <row r="32" ht="28.5" customHeight="1"/>
    <row r="33" ht="28.5" customHeight="1">
      <c r="A33" s="59"/>
    </row>
    <row r="34" ht="28.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</row>
    <row r="35" ht="28.5" customHeight="1">
      <c r="A35" s="56"/>
      <c r="B35" s="58"/>
      <c r="C35" s="57"/>
      <c r="D35" s="58"/>
      <c r="E35" s="58"/>
      <c r="F35" s="58"/>
      <c r="G35" s="57"/>
      <c r="H35" s="58"/>
      <c r="I35" s="58"/>
      <c r="J35" s="58"/>
      <c r="K35" s="58"/>
      <c r="L35" s="56"/>
    </row>
    <row r="36" ht="28.5" customHeight="1">
      <c r="A36" s="56"/>
      <c r="B36" s="58"/>
      <c r="C36" s="58"/>
      <c r="D36" s="57"/>
      <c r="E36" s="58"/>
      <c r="F36" s="58"/>
      <c r="G36" s="57"/>
      <c r="H36" s="58"/>
      <c r="I36" s="58"/>
      <c r="J36" s="58"/>
      <c r="K36" s="57"/>
      <c r="L36" s="56"/>
    </row>
    <row r="37" ht="28.5" customHeight="1">
      <c r="A37" s="56"/>
      <c r="B37" s="58"/>
      <c r="C37" s="57"/>
      <c r="D37" s="57"/>
      <c r="E37" s="58"/>
      <c r="F37" s="58"/>
      <c r="G37" s="57"/>
      <c r="H37" s="58"/>
      <c r="I37" s="57"/>
      <c r="J37" s="58"/>
      <c r="K37" s="58"/>
      <c r="L37" s="56"/>
    </row>
    <row r="38" ht="28.5" customHeight="1">
      <c r="A38" s="56"/>
      <c r="B38" s="57"/>
      <c r="C38" s="57"/>
      <c r="D38" s="57"/>
      <c r="E38" s="58"/>
      <c r="F38" s="58"/>
      <c r="G38" s="57"/>
      <c r="H38" s="58"/>
      <c r="I38" s="57"/>
      <c r="J38" s="58"/>
      <c r="K38" s="57"/>
      <c r="L38" s="56"/>
    </row>
    <row r="39" ht="28.5" customHeight="1">
      <c r="A39" s="56"/>
      <c r="B39" s="57"/>
      <c r="C39" s="57"/>
      <c r="D39" s="57"/>
      <c r="E39" s="58"/>
      <c r="F39" s="57"/>
      <c r="G39" s="57"/>
      <c r="H39" s="58"/>
      <c r="I39" s="58"/>
      <c r="J39" s="58"/>
      <c r="K39" s="57"/>
      <c r="L39" s="56"/>
    </row>
    <row r="40" ht="28.5" customHeight="1">
      <c r="A40" s="56"/>
      <c r="B40" s="58"/>
      <c r="C40" s="58"/>
      <c r="D40" s="57"/>
      <c r="E40" s="57"/>
      <c r="F40" s="58"/>
      <c r="G40" s="57"/>
      <c r="H40" s="57"/>
      <c r="I40" s="57"/>
      <c r="J40" s="57"/>
      <c r="K40" s="57"/>
      <c r="L40" s="56"/>
    </row>
    <row r="41" ht="28.5" customHeight="1">
      <c r="A41" s="56"/>
      <c r="B41" s="57"/>
      <c r="C41" s="58"/>
      <c r="D41" s="57"/>
      <c r="E41" s="57"/>
      <c r="F41" s="57"/>
      <c r="G41" s="58"/>
      <c r="H41" s="57"/>
      <c r="I41" s="57"/>
      <c r="J41" s="57"/>
      <c r="K41" s="58"/>
      <c r="L41" s="56"/>
    </row>
    <row r="42" ht="28.5" customHeight="1">
      <c r="A42" s="56"/>
      <c r="B42" s="57"/>
      <c r="C42" s="58"/>
      <c r="D42" s="57"/>
      <c r="E42" s="58"/>
      <c r="F42" s="57"/>
      <c r="G42" s="57"/>
      <c r="H42" s="57"/>
      <c r="I42" s="57"/>
      <c r="J42" s="57"/>
      <c r="K42" s="57"/>
      <c r="L42" s="56"/>
    </row>
    <row r="43" ht="28.5" customHeight="1">
      <c r="A43" s="56"/>
      <c r="B43" s="57"/>
      <c r="C43" s="57"/>
      <c r="D43" s="57"/>
      <c r="E43" s="57"/>
      <c r="F43" s="58"/>
      <c r="G43" s="57"/>
      <c r="H43" s="57"/>
      <c r="I43" s="57"/>
      <c r="J43" s="58"/>
      <c r="K43" s="57"/>
      <c r="L43" s="56"/>
    </row>
    <row r="44" ht="28.5" customHeight="1">
      <c r="A44" s="56"/>
      <c r="B44" s="57"/>
      <c r="C44" s="58"/>
      <c r="D44" s="57"/>
      <c r="E44" s="57"/>
      <c r="F44" s="57"/>
      <c r="G44" s="57"/>
      <c r="H44" s="57"/>
      <c r="I44" s="57"/>
      <c r="J44" s="57"/>
      <c r="K44" s="57"/>
      <c r="L44" s="56"/>
    </row>
    <row r="45" ht="28.5" customHeight="1">
      <c r="A45" s="56"/>
      <c r="B45" s="57"/>
      <c r="C45" s="58"/>
      <c r="D45" s="57"/>
      <c r="E45" s="57"/>
      <c r="F45" s="57"/>
      <c r="G45" s="57"/>
      <c r="H45" s="57"/>
      <c r="I45" s="57"/>
      <c r="J45" s="57"/>
      <c r="K45" s="57"/>
      <c r="L45" s="56"/>
    </row>
    <row r="46" ht="28.5" customHeight="1">
      <c r="A46" s="56"/>
      <c r="B46" s="57"/>
      <c r="C46" s="57"/>
      <c r="D46" s="58"/>
      <c r="E46" s="57"/>
      <c r="F46" s="57"/>
      <c r="G46" s="57"/>
      <c r="H46" s="57"/>
      <c r="I46" s="57"/>
      <c r="J46" s="57"/>
      <c r="K46" s="57"/>
      <c r="L46" s="56"/>
    </row>
    <row r="47" ht="28.5" customHeight="1">
      <c r="A47" s="56"/>
      <c r="B47" s="57"/>
      <c r="C47" s="57"/>
      <c r="D47" s="57"/>
      <c r="E47" s="58"/>
      <c r="F47" s="57"/>
      <c r="G47" s="57"/>
      <c r="H47" s="57"/>
      <c r="I47" s="57"/>
      <c r="J47" s="57"/>
      <c r="K47" s="57"/>
      <c r="L47" s="56"/>
    </row>
    <row r="48" ht="15.75" customHeight="1">
      <c r="A48" s="56"/>
      <c r="B48" s="57"/>
      <c r="C48" s="57"/>
      <c r="D48" s="57"/>
      <c r="E48" s="58"/>
      <c r="F48" s="57"/>
      <c r="G48" s="57"/>
      <c r="H48" s="57"/>
      <c r="I48" s="57"/>
      <c r="J48" s="57"/>
      <c r="K48" s="57"/>
      <c r="L48" s="56"/>
    </row>
    <row r="49" ht="15.75" customHeight="1">
      <c r="A49" s="56"/>
      <c r="B49" s="57"/>
      <c r="C49" s="57"/>
      <c r="D49" s="57"/>
      <c r="E49" s="58"/>
      <c r="F49" s="57"/>
      <c r="G49" s="57"/>
      <c r="H49" s="57"/>
      <c r="I49" s="57"/>
      <c r="J49" s="57"/>
      <c r="K49" s="57"/>
      <c r="L49" s="56"/>
    </row>
    <row r="50" ht="45.75" customHeight="1">
      <c r="A50" s="56"/>
      <c r="B50" s="57"/>
      <c r="C50" s="57"/>
      <c r="D50" s="57"/>
      <c r="E50" s="58"/>
      <c r="F50" s="57"/>
      <c r="G50" s="57"/>
      <c r="H50" s="57"/>
      <c r="I50" s="57"/>
      <c r="J50" s="57"/>
      <c r="K50" s="57"/>
      <c r="L50" s="56"/>
    </row>
    <row r="51" ht="15.75" customHeight="1">
      <c r="A51" s="56"/>
      <c r="B51" s="57"/>
      <c r="C51" s="57"/>
      <c r="D51" s="57"/>
      <c r="E51" s="57"/>
      <c r="F51" s="57"/>
      <c r="G51" s="58"/>
      <c r="H51" s="57"/>
      <c r="I51" s="57"/>
      <c r="J51" s="57"/>
      <c r="K51" s="57"/>
      <c r="L51" s="56"/>
    </row>
    <row r="52" ht="15.75" customHeight="1">
      <c r="A52" s="56"/>
      <c r="B52" s="57"/>
      <c r="C52" s="57"/>
      <c r="D52" s="57"/>
      <c r="E52" s="57"/>
      <c r="F52" s="57"/>
      <c r="G52" s="57"/>
      <c r="H52" s="57"/>
      <c r="I52" s="57"/>
      <c r="J52" s="58"/>
      <c r="K52" s="57"/>
      <c r="L52" s="56"/>
    </row>
    <row r="53" ht="15.75" customHeight="1">
      <c r="A53" s="56"/>
      <c r="B53" s="57"/>
      <c r="C53" s="57"/>
      <c r="D53" s="57"/>
      <c r="E53" s="57"/>
      <c r="F53" s="57"/>
      <c r="G53" s="57"/>
      <c r="H53" s="57"/>
      <c r="I53" s="57"/>
      <c r="J53" s="58"/>
      <c r="K53" s="57"/>
      <c r="L53" s="56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3399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8.88"/>
    <col customWidth="1" min="2" max="2" width="36.88"/>
    <col customWidth="1" min="3" max="11" width="8.25"/>
    <col customWidth="1" min="12" max="14" width="9.25"/>
    <col customWidth="1" min="15" max="17" width="8.63"/>
  </cols>
  <sheetData>
    <row r="1">
      <c r="B1" s="11" t="s">
        <v>13</v>
      </c>
    </row>
    <row r="2">
      <c r="A2" s="14" t="s">
        <v>19</v>
      </c>
      <c r="B2" s="4" t="s">
        <v>21</v>
      </c>
      <c r="C2" s="8" t="s">
        <v>6</v>
      </c>
      <c r="D2" s="8" t="s">
        <v>7</v>
      </c>
      <c r="E2" s="8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32" t="s">
        <v>20</v>
      </c>
      <c r="P2" s="17" t="s">
        <v>35</v>
      </c>
      <c r="Q2" s="34">
        <v>0.05</v>
      </c>
    </row>
    <row r="3" ht="26.25" customHeight="1">
      <c r="A3" s="35">
        <v>3.1068474E7</v>
      </c>
      <c r="B3" s="44" t="s">
        <v>38</v>
      </c>
      <c r="C3" s="4"/>
      <c r="D3" s="4">
        <v>1.0</v>
      </c>
      <c r="E3" s="4"/>
      <c r="F3" s="4"/>
      <c r="G3" s="4"/>
      <c r="H3" s="4"/>
      <c r="I3" s="4"/>
      <c r="J3" s="4"/>
      <c r="K3" s="4"/>
      <c r="L3" s="4"/>
      <c r="M3" s="4"/>
      <c r="N3" s="4"/>
      <c r="O3" s="37">
        <f>SUM('COMPURACION EMERGENTE'!$C3:$N3)</f>
        <v>1</v>
      </c>
      <c r="P3" s="49">
        <f t="shared" ref="P3:P45" si="1">O3/15</f>
        <v>0.06666666667</v>
      </c>
      <c r="Q3" s="50">
        <f t="shared" ref="Q3:Q45" si="2">P3*5</f>
        <v>0.3333333333</v>
      </c>
    </row>
    <row r="4" ht="26.25" customHeight="1">
      <c r="A4" s="51">
        <v>2.9510447E7</v>
      </c>
      <c r="B4" s="52" t="s">
        <v>52</v>
      </c>
      <c r="C4" s="8"/>
      <c r="D4" s="8"/>
      <c r="E4" s="4"/>
      <c r="F4" s="4"/>
      <c r="G4" s="4"/>
      <c r="H4" s="4"/>
      <c r="I4" s="4"/>
      <c r="J4" s="4"/>
      <c r="K4" s="4"/>
      <c r="L4" s="4"/>
      <c r="M4" s="4"/>
      <c r="N4" s="4"/>
      <c r="O4" s="37">
        <f>SUM('COMPURACION EMERGENTE'!$C4:$N4)</f>
        <v>0</v>
      </c>
      <c r="P4" s="49">
        <f t="shared" si="1"/>
        <v>0</v>
      </c>
      <c r="Q4" s="50">
        <f t="shared" si="2"/>
        <v>0</v>
      </c>
    </row>
    <row r="5" ht="26.25" customHeight="1">
      <c r="A5" s="35">
        <v>2.5947729E7</v>
      </c>
      <c r="B5" s="44" t="s">
        <v>55</v>
      </c>
      <c r="C5" s="8"/>
      <c r="D5" s="8"/>
      <c r="E5" s="4"/>
      <c r="F5" s="4"/>
      <c r="G5" s="4"/>
      <c r="H5" s="4"/>
      <c r="I5" s="4"/>
      <c r="J5" s="4"/>
      <c r="K5" s="4"/>
      <c r="L5" s="4"/>
      <c r="M5" s="4"/>
      <c r="N5" s="4"/>
      <c r="O5" s="37">
        <f>SUM('COMPURACION EMERGENTE'!$C5:$N5)</f>
        <v>0</v>
      </c>
      <c r="P5" s="49">
        <f t="shared" si="1"/>
        <v>0</v>
      </c>
      <c r="Q5" s="50">
        <f t="shared" si="2"/>
        <v>0</v>
      </c>
    </row>
    <row r="6" ht="26.25" customHeight="1">
      <c r="A6" s="51">
        <v>2.7849723E7</v>
      </c>
      <c r="B6" s="52" t="s">
        <v>60</v>
      </c>
      <c r="C6" s="4"/>
      <c r="D6" s="4"/>
      <c r="E6" s="8">
        <v>1.0</v>
      </c>
      <c r="F6" s="4">
        <v>2.0</v>
      </c>
      <c r="G6" s="4"/>
      <c r="H6" s="4">
        <v>1.0</v>
      </c>
      <c r="I6" s="4"/>
      <c r="J6" s="4">
        <v>1.0</v>
      </c>
      <c r="K6" s="4">
        <v>1.0</v>
      </c>
      <c r="L6" s="4"/>
      <c r="M6" s="4"/>
      <c r="N6" s="4"/>
      <c r="O6" s="37">
        <f>SUM('COMPURACION EMERGENTE'!$C6:$N6)</f>
        <v>6</v>
      </c>
      <c r="P6" s="49">
        <f t="shared" si="1"/>
        <v>0.4</v>
      </c>
      <c r="Q6" s="50">
        <f t="shared" si="2"/>
        <v>2</v>
      </c>
    </row>
    <row r="7" ht="26.25" customHeight="1">
      <c r="A7" s="35">
        <v>3.0057442E7</v>
      </c>
      <c r="B7" s="44" t="s">
        <v>64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37">
        <f>SUM('COMPURACION EMERGENTE'!$C7:$N7)</f>
        <v>0</v>
      </c>
      <c r="P7" s="49">
        <f t="shared" si="1"/>
        <v>0</v>
      </c>
      <c r="Q7" s="50">
        <f t="shared" si="2"/>
        <v>0</v>
      </c>
    </row>
    <row r="8" ht="26.25" customHeight="1">
      <c r="A8" s="51">
        <v>2.8021957E7</v>
      </c>
      <c r="B8" s="52" t="s">
        <v>68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37">
        <f>SUM('COMPURACION EMERGENTE'!$C8:$N8)</f>
        <v>0</v>
      </c>
      <c r="P8" s="49">
        <f t="shared" si="1"/>
        <v>0</v>
      </c>
      <c r="Q8" s="50">
        <f t="shared" si="2"/>
        <v>0</v>
      </c>
    </row>
    <row r="9" ht="26.25" customHeight="1">
      <c r="A9" s="35">
        <v>2.9508689E7</v>
      </c>
      <c r="B9" s="44" t="s">
        <v>73</v>
      </c>
      <c r="C9" s="4"/>
      <c r="D9" s="4">
        <v>1.0</v>
      </c>
      <c r="E9" s="8">
        <v>2.0</v>
      </c>
      <c r="F9" s="4">
        <v>2.0</v>
      </c>
      <c r="G9" s="4"/>
      <c r="H9" s="4">
        <v>1.0</v>
      </c>
      <c r="I9" s="4"/>
      <c r="J9" s="4">
        <v>1.0</v>
      </c>
      <c r="K9" s="4">
        <v>1.0</v>
      </c>
      <c r="L9" s="4">
        <v>1.0</v>
      </c>
      <c r="M9" s="4">
        <v>1.0</v>
      </c>
      <c r="N9" s="4"/>
      <c r="O9" s="37">
        <f>SUM('COMPURACION EMERGENTE'!$C9:$N9)</f>
        <v>10</v>
      </c>
      <c r="P9" s="49">
        <f t="shared" si="1"/>
        <v>0.6666666667</v>
      </c>
      <c r="Q9" s="50">
        <f t="shared" si="2"/>
        <v>3.333333333</v>
      </c>
    </row>
    <row r="10" ht="26.25" customHeight="1">
      <c r="A10" s="51">
        <v>3.0496325E7</v>
      </c>
      <c r="B10" s="52" t="s">
        <v>78</v>
      </c>
      <c r="C10" s="4"/>
      <c r="D10" s="4">
        <v>1.0</v>
      </c>
      <c r="E10" s="4">
        <v>1.0</v>
      </c>
      <c r="F10" s="4"/>
      <c r="G10" s="4"/>
      <c r="H10" s="4"/>
      <c r="I10" s="4"/>
      <c r="J10" s="4"/>
      <c r="K10" s="4"/>
      <c r="L10" s="4"/>
      <c r="M10" s="4"/>
      <c r="N10" s="4"/>
      <c r="O10" s="37">
        <f>SUM('COMPURACION EMERGENTE'!$C10:$N10)</f>
        <v>2</v>
      </c>
      <c r="P10" s="49">
        <f t="shared" si="1"/>
        <v>0.1333333333</v>
      </c>
      <c r="Q10" s="50">
        <f t="shared" si="2"/>
        <v>0.6666666667</v>
      </c>
    </row>
    <row r="11" ht="26.25" customHeight="1">
      <c r="A11" s="35">
        <v>3.0358773E7</v>
      </c>
      <c r="B11" s="44" t="s">
        <v>81</v>
      </c>
      <c r="C11" s="4"/>
      <c r="D11" s="4">
        <v>2.0</v>
      </c>
      <c r="E11" s="4">
        <v>2.0</v>
      </c>
      <c r="F11" s="4">
        <v>2.0</v>
      </c>
      <c r="G11" s="4"/>
      <c r="H11" s="4">
        <v>1.0</v>
      </c>
      <c r="I11" s="4"/>
      <c r="J11" s="4">
        <v>1.0</v>
      </c>
      <c r="K11" s="4">
        <v>1.0</v>
      </c>
      <c r="L11" s="4"/>
      <c r="M11" s="4"/>
      <c r="N11" s="4"/>
      <c r="O11" s="37">
        <f>SUM('COMPURACION EMERGENTE'!$C11:$N11)</f>
        <v>9</v>
      </c>
      <c r="P11" s="49">
        <f t="shared" si="1"/>
        <v>0.6</v>
      </c>
      <c r="Q11" s="50">
        <f t="shared" si="2"/>
        <v>3</v>
      </c>
    </row>
    <row r="12" ht="26.25" customHeight="1">
      <c r="A12" s="51">
        <v>2.974176E7</v>
      </c>
      <c r="B12" s="52" t="s">
        <v>86</v>
      </c>
      <c r="C12" s="4"/>
      <c r="D12" s="4"/>
      <c r="E12" s="8"/>
      <c r="F12" s="4"/>
      <c r="G12" s="4"/>
      <c r="H12" s="4"/>
      <c r="I12" s="4"/>
      <c r="J12" s="4"/>
      <c r="K12" s="4"/>
      <c r="L12" s="4"/>
      <c r="M12" s="4"/>
      <c r="N12" s="4"/>
      <c r="O12" s="37">
        <f>SUM('COMPURACION EMERGENTE'!$C12:$N12)</f>
        <v>0</v>
      </c>
      <c r="P12" s="49">
        <f t="shared" si="1"/>
        <v>0</v>
      </c>
      <c r="Q12" s="50">
        <f t="shared" si="2"/>
        <v>0</v>
      </c>
    </row>
    <row r="13" ht="26.25" customHeight="1">
      <c r="A13" s="35">
        <v>2.9983279E7</v>
      </c>
      <c r="B13" s="44" t="s">
        <v>89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37">
        <f>SUM('COMPURACION EMERGENTE'!$C13:$N13)</f>
        <v>0</v>
      </c>
      <c r="P13" s="49">
        <f t="shared" si="1"/>
        <v>0</v>
      </c>
      <c r="Q13" s="50">
        <f t="shared" si="2"/>
        <v>0</v>
      </c>
    </row>
    <row r="14" ht="26.25" customHeight="1">
      <c r="A14" s="51">
        <v>3.0497244E7</v>
      </c>
      <c r="B14" s="52" t="s">
        <v>92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37">
        <f>SUM('COMPURACION EMERGENTE'!$C14:$N14)</f>
        <v>0</v>
      </c>
      <c r="P14" s="49">
        <f t="shared" si="1"/>
        <v>0</v>
      </c>
      <c r="Q14" s="50">
        <f t="shared" si="2"/>
        <v>0</v>
      </c>
    </row>
    <row r="15" ht="26.25" customHeight="1">
      <c r="A15" s="35">
        <v>3.0030632E7</v>
      </c>
      <c r="B15" s="44" t="s">
        <v>94</v>
      </c>
      <c r="C15" s="8"/>
      <c r="D15" s="8"/>
      <c r="E15" s="8"/>
      <c r="F15" s="4"/>
      <c r="G15" s="4"/>
      <c r="H15" s="4"/>
      <c r="I15" s="4"/>
      <c r="J15" s="4"/>
      <c r="K15" s="4"/>
      <c r="L15" s="4"/>
      <c r="M15" s="4"/>
      <c r="N15" s="4"/>
      <c r="O15" s="37">
        <f>SUM('COMPURACION EMERGENTE'!$C15:$N15)</f>
        <v>0</v>
      </c>
      <c r="P15" s="49">
        <f t="shared" si="1"/>
        <v>0</v>
      </c>
      <c r="Q15" s="50">
        <f t="shared" si="2"/>
        <v>0</v>
      </c>
    </row>
    <row r="16" ht="26.25" customHeight="1">
      <c r="A16" s="51">
        <v>3.0579903E7</v>
      </c>
      <c r="B16" s="52" t="s">
        <v>97</v>
      </c>
      <c r="C16" s="8"/>
      <c r="D16" s="8">
        <v>1.0</v>
      </c>
      <c r="E16" s="4">
        <v>1.0</v>
      </c>
      <c r="F16" s="4"/>
      <c r="G16" s="4">
        <v>1.0</v>
      </c>
      <c r="H16" s="4"/>
      <c r="I16" s="4"/>
      <c r="J16" s="4"/>
      <c r="K16" s="4">
        <v>1.0</v>
      </c>
      <c r="L16" s="4"/>
      <c r="M16" s="4"/>
      <c r="N16" s="4"/>
      <c r="O16" s="37">
        <f>SUM('COMPURACION EMERGENTE'!$C16:$N16)</f>
        <v>4</v>
      </c>
      <c r="P16" s="49">
        <f t="shared" si="1"/>
        <v>0.2666666667</v>
      </c>
      <c r="Q16" s="50">
        <f t="shared" si="2"/>
        <v>1.333333333</v>
      </c>
    </row>
    <row r="17" ht="26.25" customHeight="1">
      <c r="A17" s="35">
        <v>3.1065516E7</v>
      </c>
      <c r="B17" s="44" t="s">
        <v>99</v>
      </c>
      <c r="C17" s="8"/>
      <c r="D17" s="8"/>
      <c r="E17" s="8"/>
      <c r="F17" s="4"/>
      <c r="G17" s="8"/>
      <c r="H17" s="8">
        <v>1.0</v>
      </c>
      <c r="I17" s="4"/>
      <c r="J17" s="4"/>
      <c r="K17" s="4"/>
      <c r="L17" s="4"/>
      <c r="M17" s="4"/>
      <c r="N17" s="4"/>
      <c r="O17" s="37">
        <f>SUM('COMPURACION EMERGENTE'!$C17:$N17)</f>
        <v>1</v>
      </c>
      <c r="P17" s="49">
        <f t="shared" si="1"/>
        <v>0.06666666667</v>
      </c>
      <c r="Q17" s="50">
        <f t="shared" si="2"/>
        <v>0.3333333333</v>
      </c>
    </row>
    <row r="18" ht="26.25" customHeight="1">
      <c r="A18" s="51">
        <v>2.8127331E7</v>
      </c>
      <c r="B18" s="52" t="s">
        <v>102</v>
      </c>
      <c r="C18" s="4"/>
      <c r="D18" s="4"/>
      <c r="E18" s="8"/>
      <c r="F18" s="4"/>
      <c r="G18" s="8"/>
      <c r="H18" s="4"/>
      <c r="I18" s="4"/>
      <c r="J18" s="4"/>
      <c r="K18" s="4"/>
      <c r="L18" s="4"/>
      <c r="M18" s="4"/>
      <c r="N18" s="4"/>
      <c r="O18" s="37">
        <f>SUM('COMPURACION EMERGENTE'!$C18:$N18)</f>
        <v>0</v>
      </c>
      <c r="P18" s="49">
        <f t="shared" si="1"/>
        <v>0</v>
      </c>
      <c r="Q18" s="50">
        <f t="shared" si="2"/>
        <v>0</v>
      </c>
    </row>
    <row r="19" ht="26.25" customHeight="1">
      <c r="A19" s="51">
        <v>3.0157257E7</v>
      </c>
      <c r="B19" s="52" t="s">
        <v>105</v>
      </c>
      <c r="C19" s="4">
        <v>1.0</v>
      </c>
      <c r="D19" s="4"/>
      <c r="E19" s="4">
        <v>1.0</v>
      </c>
      <c r="F19" s="4">
        <v>2.0</v>
      </c>
      <c r="G19" s="4"/>
      <c r="H19" s="4"/>
      <c r="I19" s="4"/>
      <c r="J19" s="4"/>
      <c r="K19" s="4">
        <v>1.0</v>
      </c>
      <c r="L19" s="4"/>
      <c r="M19" s="4"/>
      <c r="N19" s="4"/>
      <c r="O19" s="37">
        <f>SUM('COMPURACION EMERGENTE'!$C19:$N19)</f>
        <v>5</v>
      </c>
      <c r="P19" s="49">
        <f t="shared" si="1"/>
        <v>0.3333333333</v>
      </c>
      <c r="Q19" s="50">
        <f t="shared" si="2"/>
        <v>1.666666667</v>
      </c>
    </row>
    <row r="20" ht="26.25" customHeight="1">
      <c r="A20" s="35">
        <v>2.573671E7</v>
      </c>
      <c r="B20" s="44" t="s">
        <v>107</v>
      </c>
      <c r="C20" s="4"/>
      <c r="D20" s="4">
        <v>1.0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37">
        <f>SUM('COMPURACION EMERGENTE'!$C20:$N20)</f>
        <v>1</v>
      </c>
      <c r="P20" s="49">
        <f t="shared" si="1"/>
        <v>0.06666666667</v>
      </c>
      <c r="Q20" s="50">
        <f t="shared" si="2"/>
        <v>0.3333333333</v>
      </c>
    </row>
    <row r="21" ht="26.25" customHeight="1">
      <c r="A21" s="51">
        <v>2.9506315E7</v>
      </c>
      <c r="B21" s="52" t="s">
        <v>109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37">
        <f>SUM('COMPURACION EMERGENTE'!$C21:$N21)</f>
        <v>0</v>
      </c>
      <c r="P21" s="49">
        <f t="shared" si="1"/>
        <v>0</v>
      </c>
      <c r="Q21" s="50">
        <f t="shared" si="2"/>
        <v>0</v>
      </c>
    </row>
    <row r="22" ht="26.25" customHeight="1">
      <c r="A22" s="35">
        <v>2.9662587E7</v>
      </c>
      <c r="B22" s="44" t="s">
        <v>110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37">
        <f>SUM('COMPURACION EMERGENTE'!$C22:$N22)</f>
        <v>0</v>
      </c>
      <c r="P22" s="49">
        <f t="shared" si="1"/>
        <v>0</v>
      </c>
      <c r="Q22" s="50">
        <f t="shared" si="2"/>
        <v>0</v>
      </c>
    </row>
    <row r="23" ht="26.25" customHeight="1">
      <c r="A23" s="51">
        <v>2.8462135E7</v>
      </c>
      <c r="B23" s="52" t="s">
        <v>111</v>
      </c>
      <c r="C23" s="8"/>
      <c r="D23" s="8"/>
      <c r="E23" s="8"/>
      <c r="F23" s="4"/>
      <c r="G23" s="8"/>
      <c r="H23" s="8"/>
      <c r="I23" s="4"/>
      <c r="J23" s="4"/>
      <c r="K23" s="4"/>
      <c r="L23" s="4"/>
      <c r="M23" s="4"/>
      <c r="N23" s="4"/>
      <c r="O23" s="37">
        <f>SUM('COMPURACION EMERGENTE'!$C23:$N23)</f>
        <v>0</v>
      </c>
      <c r="P23" s="49">
        <f t="shared" si="1"/>
        <v>0</v>
      </c>
      <c r="Q23" s="50">
        <f t="shared" si="2"/>
        <v>0</v>
      </c>
    </row>
    <row r="24" ht="26.25" customHeight="1">
      <c r="A24" s="35">
        <v>2.6895167E7</v>
      </c>
      <c r="B24" s="44" t="s">
        <v>112</v>
      </c>
      <c r="C24" s="4"/>
      <c r="D24" s="4"/>
      <c r="E24" s="4">
        <v>1.0</v>
      </c>
      <c r="F24" s="4"/>
      <c r="G24" s="4"/>
      <c r="H24" s="4"/>
      <c r="I24" s="4"/>
      <c r="J24" s="4"/>
      <c r="K24" s="4"/>
      <c r="L24" s="4"/>
      <c r="M24" s="4"/>
      <c r="N24" s="4"/>
      <c r="O24" s="37">
        <f>SUM('COMPURACION EMERGENTE'!$C24:$N24)</f>
        <v>1</v>
      </c>
      <c r="P24" s="49">
        <f t="shared" si="1"/>
        <v>0.06666666667</v>
      </c>
      <c r="Q24" s="50">
        <f t="shared" si="2"/>
        <v>0.3333333333</v>
      </c>
    </row>
    <row r="25" ht="26.25" customHeight="1">
      <c r="A25" s="51">
        <v>3.0727488E7</v>
      </c>
      <c r="B25" s="52" t="s">
        <v>113</v>
      </c>
      <c r="C25" s="4">
        <v>1.0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62">
        <f>SUM('COMPURACION EMERGENTE'!$C25:$N25)</f>
        <v>1</v>
      </c>
      <c r="P25" s="49">
        <f t="shared" si="1"/>
        <v>0.06666666667</v>
      </c>
      <c r="Q25" s="50">
        <f t="shared" si="2"/>
        <v>0.3333333333</v>
      </c>
    </row>
    <row r="26" ht="26.25" customHeight="1">
      <c r="A26" s="35">
        <v>3.0821945E7</v>
      </c>
      <c r="B26" s="44" t="s">
        <v>114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62">
        <f>SUM('COMPURACION EMERGENTE'!$C26:$N26)</f>
        <v>0</v>
      </c>
      <c r="P26" s="49">
        <f t="shared" si="1"/>
        <v>0</v>
      </c>
      <c r="Q26" s="50">
        <f t="shared" si="2"/>
        <v>0</v>
      </c>
    </row>
    <row r="27" ht="26.25" customHeight="1">
      <c r="A27" s="51">
        <v>3.0330786E7</v>
      </c>
      <c r="B27" s="52" t="s">
        <v>115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62">
        <f>SUM('COMPURACION EMERGENTE'!$C27:$N27)</f>
        <v>0</v>
      </c>
      <c r="P27" s="49">
        <f t="shared" si="1"/>
        <v>0</v>
      </c>
      <c r="Q27" s="50">
        <f t="shared" si="2"/>
        <v>0</v>
      </c>
    </row>
    <row r="28" ht="26.25" customHeight="1">
      <c r="A28" s="35">
        <v>2.9850491E7</v>
      </c>
      <c r="B28" s="44" t="s">
        <v>116</v>
      </c>
      <c r="C28" s="4"/>
      <c r="D28" s="4">
        <v>1.0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62">
        <f>SUM('COMPURACION EMERGENTE'!$C28:$N28)</f>
        <v>1</v>
      </c>
      <c r="P28" s="49">
        <f t="shared" si="1"/>
        <v>0.06666666667</v>
      </c>
      <c r="Q28" s="50">
        <f t="shared" si="2"/>
        <v>0.3333333333</v>
      </c>
    </row>
    <row r="29" ht="26.25" customHeight="1">
      <c r="A29" s="51">
        <v>3.0751145E7</v>
      </c>
      <c r="B29" s="52" t="s">
        <v>117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62">
        <f>SUM('COMPURACION EMERGENTE'!$C29:$N29)</f>
        <v>0</v>
      </c>
      <c r="P29" s="49">
        <f t="shared" si="1"/>
        <v>0</v>
      </c>
      <c r="Q29" s="50">
        <f t="shared" si="2"/>
        <v>0</v>
      </c>
    </row>
    <row r="30" ht="26.25" customHeight="1">
      <c r="A30" s="35">
        <v>3.0612944E7</v>
      </c>
      <c r="B30" s="44" t="s">
        <v>118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62">
        <f>SUM('COMPURACION EMERGENTE'!$C30:$N30)</f>
        <v>0</v>
      </c>
      <c r="P30" s="49">
        <f t="shared" si="1"/>
        <v>0</v>
      </c>
      <c r="Q30" s="50">
        <f t="shared" si="2"/>
        <v>0</v>
      </c>
    </row>
    <row r="31" ht="26.25" customHeight="1">
      <c r="A31" s="51"/>
      <c r="B31" s="52" t="s">
        <v>119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62">
        <f>SUM('COMPURACION EMERGENTE'!$C31:$N31)</f>
        <v>0</v>
      </c>
      <c r="P31" s="49">
        <f t="shared" si="1"/>
        <v>0</v>
      </c>
      <c r="Q31" s="50">
        <f t="shared" si="2"/>
        <v>0</v>
      </c>
    </row>
    <row r="32" ht="26.25" customHeight="1">
      <c r="A32" s="35">
        <v>2.9677861E7</v>
      </c>
      <c r="B32" s="44" t="s">
        <v>120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62">
        <f>SUM('COMPURACION EMERGENTE'!$C32:$N32)</f>
        <v>0</v>
      </c>
      <c r="P32" s="49">
        <f t="shared" si="1"/>
        <v>0</v>
      </c>
      <c r="Q32" s="50">
        <f t="shared" si="2"/>
        <v>0</v>
      </c>
    </row>
    <row r="33" ht="26.25" customHeight="1">
      <c r="A33" s="51">
        <v>2.966199E7</v>
      </c>
      <c r="B33" s="52" t="s">
        <v>121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62">
        <f>SUM('COMPURACION EMERGENTE'!$C33:$N33)</f>
        <v>0</v>
      </c>
      <c r="P33" s="49">
        <f t="shared" si="1"/>
        <v>0</v>
      </c>
      <c r="Q33" s="50">
        <f t="shared" si="2"/>
        <v>0</v>
      </c>
    </row>
    <row r="34" ht="26.25" customHeight="1">
      <c r="A34" s="35">
        <v>2.7472721E7</v>
      </c>
      <c r="B34" s="44" t="s">
        <v>122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62">
        <f>SUM('COMPURACION EMERGENTE'!$C34:$N34)</f>
        <v>0</v>
      </c>
      <c r="P34" s="49">
        <f t="shared" si="1"/>
        <v>0</v>
      </c>
      <c r="Q34" s="50">
        <f t="shared" si="2"/>
        <v>0</v>
      </c>
    </row>
    <row r="35" ht="26.25" customHeight="1">
      <c r="A35" s="51">
        <v>2.9887224E7</v>
      </c>
      <c r="B35" s="52" t="s">
        <v>123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62">
        <f>SUM('COMPURACION EMERGENTE'!$C35:$N35)</f>
        <v>0</v>
      </c>
      <c r="P35" s="49">
        <f t="shared" si="1"/>
        <v>0</v>
      </c>
      <c r="Q35" s="50">
        <f t="shared" si="2"/>
        <v>0</v>
      </c>
    </row>
    <row r="36" ht="26.25" customHeight="1">
      <c r="A36" s="35">
        <v>2.8317519E7</v>
      </c>
      <c r="B36" s="44" t="s">
        <v>124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62">
        <f>SUM('COMPURACION EMERGENTE'!$C36:$N36)</f>
        <v>0</v>
      </c>
      <c r="P36" s="49">
        <f t="shared" si="1"/>
        <v>0</v>
      </c>
      <c r="Q36" s="50">
        <f t="shared" si="2"/>
        <v>0</v>
      </c>
    </row>
    <row r="37" ht="26.25" customHeight="1">
      <c r="A37" s="51">
        <v>3.0496487E7</v>
      </c>
      <c r="B37" s="52" t="s">
        <v>125</v>
      </c>
      <c r="C37" s="4">
        <v>1.0</v>
      </c>
      <c r="D37" s="4"/>
      <c r="E37" s="4">
        <v>1.0</v>
      </c>
      <c r="F37" s="4"/>
      <c r="G37" s="4"/>
      <c r="H37" s="4"/>
      <c r="I37" s="4"/>
      <c r="J37" s="4"/>
      <c r="K37" s="4"/>
      <c r="L37" s="4"/>
      <c r="M37" s="4"/>
      <c r="N37" s="4"/>
      <c r="O37" s="62">
        <f>SUM('COMPURACION EMERGENTE'!$C37:$N37)</f>
        <v>2</v>
      </c>
      <c r="P37" s="49">
        <f t="shared" si="1"/>
        <v>0.1333333333</v>
      </c>
      <c r="Q37" s="50">
        <f t="shared" si="2"/>
        <v>0.6666666667</v>
      </c>
    </row>
    <row r="38" ht="26.25" customHeight="1">
      <c r="A38" s="35">
        <v>3.0411279E7</v>
      </c>
      <c r="B38" s="44" t="s">
        <v>126</v>
      </c>
      <c r="C38" s="4">
        <v>1.0</v>
      </c>
      <c r="D38" s="4">
        <v>1.0</v>
      </c>
      <c r="E38" s="4">
        <v>1.0</v>
      </c>
      <c r="F38" s="4"/>
      <c r="G38" s="4"/>
      <c r="H38" s="4"/>
      <c r="I38" s="4"/>
      <c r="J38" s="4"/>
      <c r="K38" s="4"/>
      <c r="L38" s="4"/>
      <c r="M38" s="4"/>
      <c r="N38" s="4"/>
      <c r="O38" s="62">
        <f>SUM('COMPURACION EMERGENTE'!$C38:$N38)</f>
        <v>3</v>
      </c>
      <c r="P38" s="49">
        <f t="shared" si="1"/>
        <v>0.2</v>
      </c>
      <c r="Q38" s="50">
        <f t="shared" si="2"/>
        <v>1</v>
      </c>
    </row>
    <row r="39" ht="26.25" customHeight="1">
      <c r="A39" s="51">
        <v>2.6783022E7</v>
      </c>
      <c r="B39" s="52" t="s">
        <v>127</v>
      </c>
      <c r="C39" s="4"/>
      <c r="D39" s="4">
        <v>1.0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62">
        <f>SUM('COMPURACION EMERGENTE'!$C39:$N39)</f>
        <v>1</v>
      </c>
      <c r="P39" s="49">
        <f t="shared" si="1"/>
        <v>0.06666666667</v>
      </c>
      <c r="Q39" s="50">
        <f t="shared" si="2"/>
        <v>0.3333333333</v>
      </c>
    </row>
    <row r="40" ht="26.25" customHeight="1">
      <c r="A40" s="35">
        <v>3.1460153E7</v>
      </c>
      <c r="B40" s="44" t="s">
        <v>128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62">
        <f>SUM('COMPURACION EMERGENTE'!$C40:$N40)</f>
        <v>0</v>
      </c>
      <c r="P40" s="49">
        <f t="shared" si="1"/>
        <v>0</v>
      </c>
      <c r="Q40" s="50">
        <f t="shared" si="2"/>
        <v>0</v>
      </c>
    </row>
    <row r="41" ht="26.25" customHeight="1">
      <c r="A41" s="51">
        <v>2.1132576E7</v>
      </c>
      <c r="B41" s="52" t="s">
        <v>129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62">
        <f>SUM('COMPURACION EMERGENTE'!$C41:$N41)</f>
        <v>0</v>
      </c>
      <c r="P41" s="49">
        <f t="shared" si="1"/>
        <v>0</v>
      </c>
      <c r="Q41" s="50">
        <f t="shared" si="2"/>
        <v>0</v>
      </c>
    </row>
    <row r="42" ht="26.25" customHeight="1">
      <c r="A42" s="35">
        <v>2.6994959E7</v>
      </c>
      <c r="B42" s="44" t="s">
        <v>130</v>
      </c>
      <c r="C42" s="4">
        <v>1.0</v>
      </c>
      <c r="D42" s="4">
        <v>2.0</v>
      </c>
      <c r="E42" s="4">
        <v>2.0</v>
      </c>
      <c r="F42" s="4"/>
      <c r="G42" s="4">
        <v>1.0</v>
      </c>
      <c r="H42" s="4"/>
      <c r="I42" s="4">
        <v>2.0</v>
      </c>
      <c r="J42" s="4">
        <v>1.0</v>
      </c>
      <c r="K42" s="4">
        <v>1.0</v>
      </c>
      <c r="L42" s="4">
        <v>1.0</v>
      </c>
      <c r="M42" s="4">
        <v>1.0</v>
      </c>
      <c r="N42" s="4"/>
      <c r="O42" s="62">
        <f>SUM('COMPURACION EMERGENTE'!$C42:$N42)</f>
        <v>12</v>
      </c>
      <c r="P42" s="49">
        <f t="shared" si="1"/>
        <v>0.8</v>
      </c>
      <c r="Q42" s="50">
        <f t="shared" si="2"/>
        <v>4</v>
      </c>
    </row>
    <row r="43" ht="26.25" customHeight="1">
      <c r="A43" s="51">
        <v>3.0370768E7</v>
      </c>
      <c r="B43" s="52" t="s">
        <v>131</v>
      </c>
      <c r="C43" s="4"/>
      <c r="D43" s="4"/>
      <c r="E43" s="4">
        <v>1.0</v>
      </c>
      <c r="F43" s="4"/>
      <c r="G43" s="4"/>
      <c r="H43" s="4"/>
      <c r="I43" s="4"/>
      <c r="J43" s="4"/>
      <c r="K43" s="4"/>
      <c r="L43" s="4"/>
      <c r="M43" s="4"/>
      <c r="N43" s="4"/>
      <c r="O43" s="62">
        <f>SUM('COMPURACION EMERGENTE'!$C43:$N43)</f>
        <v>1</v>
      </c>
      <c r="P43" s="49">
        <f t="shared" si="1"/>
        <v>0.06666666667</v>
      </c>
      <c r="Q43" s="50">
        <f t="shared" si="2"/>
        <v>0.3333333333</v>
      </c>
    </row>
    <row r="44" ht="26.25" customHeight="1">
      <c r="A44" s="35">
        <v>3.0906842E7</v>
      </c>
      <c r="B44" s="44" t="s">
        <v>132</v>
      </c>
      <c r="C44" s="4"/>
      <c r="D44" s="4"/>
      <c r="E44" s="4"/>
      <c r="F44" s="4"/>
      <c r="G44" s="4"/>
      <c r="I44" s="4"/>
      <c r="J44" s="4">
        <v>3.0</v>
      </c>
      <c r="K44" s="4"/>
      <c r="L44" s="4"/>
      <c r="M44" s="4"/>
      <c r="N44" s="4"/>
      <c r="O44" s="62">
        <f>SUM('COMPURACION EMERGENTE'!$C44:$N44)</f>
        <v>3</v>
      </c>
      <c r="P44" s="49">
        <f t="shared" si="1"/>
        <v>0.2</v>
      </c>
      <c r="Q44" s="50">
        <f t="shared" si="2"/>
        <v>1</v>
      </c>
    </row>
    <row r="45" ht="26.25" customHeight="1">
      <c r="A45" s="51">
        <v>2.7545301E7</v>
      </c>
      <c r="B45" s="52" t="s">
        <v>133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62">
        <f>SUM('COMPURACION EMERGENTE'!$C45:$N45)</f>
        <v>0</v>
      </c>
      <c r="P45" s="49">
        <f t="shared" si="1"/>
        <v>0</v>
      </c>
      <c r="Q45" s="50">
        <f t="shared" si="2"/>
        <v>0</v>
      </c>
    </row>
    <row r="46" ht="15.75" customHeight="1">
      <c r="B46" s="63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3"/>
    <hyperlink r:id="rId41" ref="B44"/>
    <hyperlink r:id="rId42" ref="B45"/>
  </hyperlinks>
  <printOptions/>
  <pageMargins bottom="0.75" footer="0.0" header="0.0" left="0.7" right="0.7" top="0.75"/>
  <pageSetup orientation="landscape"/>
  <drawing r:id="rId43"/>
  <tableParts count="1">
    <tablePart r:id="rId4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25"/>
    <col customWidth="1" min="3" max="3" width="19.75"/>
    <col customWidth="1" min="5" max="5" width="13.25"/>
    <col customWidth="1" min="10" max="10" width="15.0"/>
  </cols>
  <sheetData>
    <row r="1">
      <c r="A1" s="7" t="s">
        <v>2</v>
      </c>
      <c r="B1" s="9"/>
      <c r="C1" s="10"/>
      <c r="D1" s="12"/>
      <c r="E1" s="12"/>
      <c r="F1" s="10"/>
      <c r="G1" s="10"/>
      <c r="H1" s="10"/>
      <c r="I1" s="10"/>
      <c r="J1" s="12"/>
    </row>
    <row r="2">
      <c r="A2" s="16"/>
      <c r="B2" s="16"/>
      <c r="C2" s="19"/>
      <c r="D2" s="22" t="s">
        <v>23</v>
      </c>
      <c r="F2" s="25" t="s">
        <v>25</v>
      </c>
      <c r="J2" s="27"/>
    </row>
    <row r="3">
      <c r="A3" s="29" t="s">
        <v>27</v>
      </c>
      <c r="B3" s="29" t="s">
        <v>19</v>
      </c>
      <c r="C3" s="30" t="s">
        <v>28</v>
      </c>
      <c r="D3" s="31" t="s">
        <v>29</v>
      </c>
      <c r="E3" s="31" t="s">
        <v>30</v>
      </c>
      <c r="F3" s="30" t="s">
        <v>31</v>
      </c>
      <c r="G3" s="30" t="s">
        <v>32</v>
      </c>
      <c r="H3" s="30" t="s">
        <v>33</v>
      </c>
      <c r="I3" s="30" t="s">
        <v>34</v>
      </c>
      <c r="J3" s="33" t="s">
        <v>36</v>
      </c>
    </row>
    <row r="4">
      <c r="A4" s="38" t="s">
        <v>37</v>
      </c>
      <c r="B4" s="39">
        <v>3.0911705E7</v>
      </c>
      <c r="C4" s="40" t="s">
        <v>39</v>
      </c>
      <c r="D4" s="43">
        <v>7.0</v>
      </c>
      <c r="E4" s="43" t="s">
        <v>40</v>
      </c>
      <c r="F4" s="46"/>
      <c r="G4" s="46"/>
      <c r="H4" s="46"/>
      <c r="I4" s="46"/>
      <c r="J4" s="47" t="s">
        <v>43</v>
      </c>
    </row>
    <row r="5">
      <c r="A5" s="38" t="s">
        <v>45</v>
      </c>
      <c r="B5" s="39">
        <v>3.1377369E7</v>
      </c>
      <c r="C5" s="40" t="s">
        <v>39</v>
      </c>
      <c r="D5" s="43">
        <v>5.0</v>
      </c>
      <c r="E5" s="43" t="s">
        <v>46</v>
      </c>
      <c r="F5" s="46"/>
      <c r="G5" s="46"/>
      <c r="H5" s="48" t="s">
        <v>46</v>
      </c>
      <c r="I5" s="46"/>
      <c r="J5" s="47" t="s">
        <v>47</v>
      </c>
    </row>
  </sheetData>
  <mergeCells count="2">
    <mergeCell ref="D2:E2"/>
    <mergeCell ref="F2:I2"/>
  </mergeCells>
  <hyperlinks>
    <hyperlink r:id="rId1" ref="A4"/>
    <hyperlink r:id="rId2" ref="A5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2025-12-12T04:04:37Z</dcterms:created>
  <dc:creator>Janet Stephanie Torre Mora</dc:creator>
</cp:coreProperties>
</file>