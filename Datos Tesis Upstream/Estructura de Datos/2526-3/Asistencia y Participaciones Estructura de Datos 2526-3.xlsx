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Estructura de Datos/2526-3/"/>
    </mc:Choice>
  </mc:AlternateContent>
  <xr:revisionPtr revIDLastSave="0" documentId="13_ncr:1_{3130B3FE-D123-1248-9B55-F116CB3686EB}" xr6:coauthVersionLast="47" xr6:coauthVersionMax="47" xr10:uidLastSave="{00000000-0000-0000-0000-000000000000}"/>
  <bookViews>
    <workbookView xWindow="0" yWindow="600" windowWidth="28800" windowHeight="15980" activeTab="2" xr2:uid="{00000000-000D-0000-FFFF-FFFF00000000}"/>
  </bookViews>
  <sheets>
    <sheet name="Lista" sheetId="1" r:id="rId1"/>
    <sheet name="Asistencia" sheetId="2" r:id="rId2"/>
    <sheet name="Estand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6" i="2" l="1"/>
  <c r="Y36" i="2"/>
  <c r="W36" i="2"/>
  <c r="V36" i="2"/>
  <c r="U36" i="2"/>
  <c r="T36" i="2"/>
  <c r="S36" i="2"/>
  <c r="R36" i="2"/>
  <c r="Q36" i="2"/>
  <c r="P36" i="2"/>
  <c r="N36" i="2"/>
  <c r="M36" i="2"/>
  <c r="K36" i="2"/>
  <c r="J36" i="2"/>
  <c r="H36" i="2"/>
  <c r="G36" i="2"/>
  <c r="F36" i="2"/>
  <c r="E36" i="2"/>
  <c r="AA36" i="2" s="1"/>
  <c r="Z35" i="2"/>
  <c r="Y35" i="2"/>
  <c r="X35" i="2"/>
  <c r="W35" i="2"/>
  <c r="V35" i="2"/>
  <c r="U35" i="2"/>
  <c r="T35" i="2"/>
  <c r="S35" i="2"/>
  <c r="R35" i="2"/>
  <c r="P35" i="2"/>
  <c r="N35" i="2"/>
  <c r="M35" i="2"/>
  <c r="K35" i="2"/>
  <c r="J35" i="2"/>
  <c r="H35" i="2"/>
  <c r="G35" i="2"/>
  <c r="F35" i="2"/>
  <c r="E35" i="2"/>
  <c r="AA35" i="2" s="1"/>
  <c r="Z34" i="2"/>
  <c r="Z38" i="2" s="1"/>
  <c r="Y34" i="2"/>
  <c r="Y37" i="2" s="1"/>
  <c r="X34" i="2"/>
  <c r="X37" i="2" s="1"/>
  <c r="W34" i="2"/>
  <c r="W37" i="2" s="1"/>
  <c r="V34" i="2"/>
  <c r="V37" i="2" s="1"/>
  <c r="U34" i="2"/>
  <c r="U37" i="2" s="1"/>
  <c r="T34" i="2"/>
  <c r="T38" i="2" s="1"/>
  <c r="S34" i="2"/>
  <c r="S38" i="2" s="1"/>
  <c r="R34" i="2"/>
  <c r="R38" i="2" s="1"/>
  <c r="Q34" i="2"/>
  <c r="Q37" i="2" s="1"/>
  <c r="P34" i="2"/>
  <c r="P37" i="2" s="1"/>
  <c r="N34" i="2"/>
  <c r="N37" i="2" s="1"/>
  <c r="M34" i="2"/>
  <c r="M37" i="2" s="1"/>
  <c r="K34" i="2"/>
  <c r="K37" i="2" s="1"/>
  <c r="J34" i="2"/>
  <c r="J38" i="2" s="1"/>
  <c r="H34" i="2"/>
  <c r="H38" i="2" s="1"/>
  <c r="G34" i="2"/>
  <c r="G38" i="2" s="1"/>
  <c r="F34" i="2"/>
  <c r="F37" i="2" s="1"/>
  <c r="E34" i="2"/>
  <c r="E37" i="2" s="1"/>
  <c r="Z33" i="2"/>
  <c r="Y33" i="2"/>
  <c r="X33" i="2"/>
  <c r="W33" i="2"/>
  <c r="V33" i="2"/>
  <c r="U33" i="2"/>
  <c r="T33" i="2"/>
  <c r="S33" i="2"/>
  <c r="R33" i="2"/>
  <c r="Q33" i="2"/>
  <c r="P33" i="2"/>
  <c r="N33" i="2"/>
  <c r="M33" i="2"/>
  <c r="K33" i="2"/>
  <c r="J33" i="2"/>
  <c r="H33" i="2"/>
  <c r="G33" i="2"/>
  <c r="F33" i="2"/>
  <c r="E33" i="2"/>
  <c r="AC33" i="2" s="1"/>
  <c r="AC32" i="2"/>
  <c r="AA32" i="2"/>
  <c r="AC31" i="2"/>
  <c r="AA31" i="2"/>
  <c r="AC30" i="2"/>
  <c r="AA30" i="2"/>
  <c r="AC29" i="2"/>
  <c r="AA29" i="2"/>
  <c r="AC28" i="2"/>
  <c r="AA28" i="2"/>
  <c r="AC27" i="2"/>
  <c r="AA27" i="2"/>
  <c r="AC26" i="2"/>
  <c r="AA26" i="2"/>
  <c r="AC25" i="2"/>
  <c r="AA25" i="2"/>
  <c r="AC24" i="2"/>
  <c r="AA24" i="2"/>
  <c r="AC23" i="2"/>
  <c r="AA23" i="2"/>
  <c r="AC22" i="2"/>
  <c r="AA22" i="2"/>
  <c r="AC21" i="2"/>
  <c r="AA21" i="2"/>
  <c r="AC20" i="2"/>
  <c r="AA20" i="2"/>
  <c r="AC19" i="2"/>
  <c r="AA19" i="2"/>
  <c r="AC18" i="2"/>
  <c r="AA18" i="2"/>
  <c r="AC17" i="2"/>
  <c r="AA17" i="2"/>
  <c r="AC16" i="2"/>
  <c r="AA16" i="2"/>
  <c r="AC15" i="2"/>
  <c r="AA15" i="2"/>
  <c r="AC14" i="2"/>
  <c r="AA14" i="2"/>
  <c r="AC13" i="2"/>
  <c r="AA13" i="2"/>
  <c r="AC12" i="2"/>
  <c r="AA12" i="2"/>
  <c r="AC11" i="2"/>
  <c r="AA11" i="2"/>
  <c r="AC10" i="2"/>
  <c r="AA10" i="2"/>
  <c r="AC9" i="2"/>
  <c r="AA9" i="2"/>
  <c r="AC8" i="2"/>
  <c r="AA8" i="2"/>
  <c r="AC7" i="2"/>
  <c r="AA7" i="2"/>
  <c r="AC6" i="2"/>
  <c r="AA6" i="2"/>
  <c r="AC5" i="2"/>
  <c r="AA5" i="2"/>
  <c r="AC4" i="2"/>
  <c r="AA4" i="2"/>
  <c r="AC3" i="2"/>
  <c r="AA3" i="2"/>
  <c r="T2" i="2"/>
  <c r="U2" i="2" s="1"/>
  <c r="W2" i="2" s="1"/>
  <c r="Y2" i="2" s="1"/>
  <c r="G2" i="2"/>
  <c r="V2" i="2" l="1"/>
  <c r="X2" i="2" s="1"/>
  <c r="Z2" i="2" s="1"/>
  <c r="G37" i="2"/>
  <c r="AC37" i="2" s="1"/>
  <c r="R37" i="2"/>
  <c r="Z37" i="2"/>
  <c r="K38" i="2"/>
  <c r="U38" i="2"/>
  <c r="H37" i="2"/>
  <c r="S37" i="2"/>
  <c r="M38" i="2"/>
  <c r="V38" i="2"/>
  <c r="J37" i="2"/>
  <c r="T37" i="2"/>
  <c r="N38" i="2"/>
  <c r="W38" i="2"/>
  <c r="E38" i="2"/>
  <c r="P38" i="2"/>
  <c r="X38" i="2"/>
  <c r="AA34" i="2"/>
  <c r="F38" i="2"/>
  <c r="Q38" i="2"/>
  <c r="Y38" i="2"/>
  <c r="H2" i="2"/>
  <c r="J2" i="2"/>
  <c r="M2" i="2" s="1"/>
  <c r="P2" i="2" s="1"/>
  <c r="K2" i="2" l="1"/>
  <c r="N2" i="2" s="1"/>
  <c r="Q2" i="2" s="1"/>
  <c r="R2" i="2" s="1"/>
  <c r="AD29" i="2" s="1"/>
  <c r="AD18" i="2"/>
  <c r="AD8" i="2"/>
  <c r="AD4" i="2"/>
  <c r="AD16" i="2"/>
  <c r="AB22" i="2"/>
  <c r="AD5" i="2"/>
  <c r="AB13" i="2"/>
  <c r="AB17" i="2"/>
  <c r="AB15" i="2"/>
  <c r="AD28" i="2"/>
  <c r="AB29" i="2"/>
  <c r="AD27" i="2"/>
  <c r="AD3" i="2"/>
  <c r="AB12" i="2"/>
  <c r="AB4" i="2"/>
  <c r="AD9" i="2"/>
  <c r="AB3" i="2"/>
  <c r="AC38" i="2"/>
  <c r="AB10" i="2"/>
  <c r="AB26" i="2"/>
  <c r="AD25" i="2"/>
  <c r="AD17" i="2" l="1"/>
  <c r="AB30" i="2"/>
  <c r="AB7" i="2"/>
  <c r="AD7" i="2"/>
  <c r="AB24" i="2"/>
  <c r="AD23" i="2"/>
  <c r="AD19" i="2"/>
  <c r="AB18" i="2"/>
  <c r="AD12" i="2"/>
  <c r="AB28" i="2"/>
  <c r="AB14" i="2"/>
  <c r="AD33" i="2"/>
  <c r="AD38" i="2"/>
  <c r="AD30" i="2"/>
  <c r="AD26" i="2"/>
  <c r="AD31" i="2"/>
  <c r="AB21" i="2"/>
  <c r="AB31" i="2"/>
  <c r="AD32" i="2"/>
  <c r="AB20" i="2"/>
  <c r="AD6" i="2"/>
  <c r="AD10" i="2"/>
  <c r="AD37" i="2"/>
  <c r="AD20" i="2"/>
  <c r="AB6" i="2"/>
  <c r="AB8" i="2"/>
  <c r="AB36" i="2"/>
  <c r="AD14" i="2"/>
  <c r="AD21" i="2"/>
  <c r="AD11" i="2"/>
  <c r="AD15" i="2"/>
  <c r="AB9" i="2"/>
  <c r="AB25" i="2"/>
  <c r="AB5" i="2"/>
  <c r="AB23" i="2"/>
  <c r="AB16" i="2"/>
  <c r="AB19" i="2"/>
  <c r="AB35" i="2"/>
  <c r="AB32" i="2"/>
  <c r="AB34" i="2"/>
  <c r="AB11" i="2"/>
  <c r="AD13" i="2"/>
  <c r="AD24" i="2"/>
  <c r="AD22" i="2"/>
  <c r="AB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3" authorId="0" shapeId="0" xr:uid="{00000000-0006-0000-0100-000023000000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V3" authorId="0" shapeId="0" xr:uid="{00000000-0006-0000-0100-000028000000}">
      <text>
        <r>
          <rPr>
            <sz val="11"/>
            <color rgb="FF000000"/>
            <rFont val="Calibri"/>
            <family val="2"/>
            <scheme val="minor"/>
          </rPr>
          <t>Llegó tarde
Pizarra</t>
        </r>
      </text>
    </comment>
    <comment ref="Z3" authorId="0" shapeId="0" xr:uid="{00000000-0006-0000-0100-000029000000}">
      <text>
        <r>
          <rPr>
            <sz val="11"/>
            <color rgb="FF000000"/>
            <rFont val="Calibri"/>
            <family val="2"/>
            <scheme val="minor"/>
          </rPr>
          <t>Llegó tarde
Pizarra</t>
        </r>
      </text>
    </comment>
    <comment ref="K4" authorId="0" shapeId="0" xr:uid="{00000000-0006-0000-0100-00002F000000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N4" authorId="0" shapeId="0" xr:uid="{00000000-0006-0000-0100-000031000000}">
      <text>
        <r>
          <rPr>
            <sz val="11"/>
            <color rgb="FF000000"/>
            <rFont val="Calibri"/>
            <family val="2"/>
            <scheme val="minor"/>
          </rPr>
          <t>Entrega Proy</t>
        </r>
      </text>
    </comment>
    <comment ref="K6" authorId="0" shapeId="0" xr:uid="{00000000-0006-0000-0100-000014000000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M6" authorId="0" shapeId="0" xr:uid="{00000000-0006-0000-0100-000015000000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P6" authorId="0" shapeId="0" xr:uid="{00000000-0006-0000-0100-000016000000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V6" authorId="0" shapeId="0" xr:uid="{00000000-0006-0000-0100-000018000000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K7" authorId="0" shapeId="0" xr:uid="{00000000-0006-0000-0100-00001F000000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P7" authorId="0" shapeId="0" xr:uid="{00000000-0006-0000-0100-000020000000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S7" authorId="0" shapeId="0" xr:uid="{00000000-0006-0000-0100-000022000000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U7" authorId="0" shapeId="0" xr:uid="{00000000-0006-0000-0100-000024000000}">
      <text>
        <r>
          <rPr>
            <sz val="11"/>
            <color rgb="FF000000"/>
            <rFont val="Calibri"/>
            <family val="2"/>
            <scheme val="minor"/>
          </rPr>
          <t>Entrega Proyecto</t>
        </r>
      </text>
    </comment>
    <comment ref="V7" authorId="0" shapeId="0" xr:uid="{00000000-0006-0000-0100-000025000000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Y7" authorId="0" shapeId="0" xr:uid="{00000000-0006-0000-0100-000027000000}">
      <text>
        <r>
          <rPr>
            <sz val="11"/>
            <color rgb="FF000000"/>
            <rFont val="Calibri"/>
            <family val="2"/>
            <scheme val="minor"/>
          </rPr>
          <t>Llegó tarde
Pizarra</t>
        </r>
      </text>
    </comment>
    <comment ref="M9" authorId="0" shapeId="0" xr:uid="{00000000-0006-0000-0100-000003000000}">
      <text>
        <r>
          <rPr>
            <sz val="11"/>
            <color rgb="FF000000"/>
            <rFont val="Calibri"/>
            <family val="2"/>
            <scheme val="minor"/>
          </rPr>
          <t>Pizzarra + 2 intervenciones</t>
        </r>
      </text>
    </comment>
    <comment ref="Q9" authorId="0" shapeId="0" xr:uid="{00000000-0006-0000-0100-000007000000}">
      <text>
        <r>
          <rPr>
            <sz val="11"/>
            <color rgb="FF000000"/>
            <rFont val="Calibri"/>
            <family val="2"/>
            <scheme val="minor"/>
          </rPr>
          <t>Entrega Proy</t>
        </r>
      </text>
    </comment>
    <comment ref="Z9" authorId="0" shapeId="0" xr:uid="{00000000-0006-0000-0100-00000B000000}">
      <text>
        <r>
          <rPr>
            <sz val="11"/>
            <color rgb="FF000000"/>
            <rFont val="Calibri"/>
            <family val="2"/>
            <scheme val="minor"/>
          </rPr>
          <t>2 pizarra</t>
        </r>
      </text>
    </comment>
    <comment ref="Y12" authorId="0" shapeId="0" xr:uid="{00000000-0006-0000-0100-000033000000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K13" authorId="0" shapeId="0" xr:uid="{00000000-0006-0000-0100-00003C000000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N13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Entrega Proy</t>
        </r>
      </text>
    </comment>
    <comment ref="P13" authorId="0" shapeId="0" xr:uid="{00000000-0006-0000-0100-000002000000}">
      <text>
        <r>
          <rPr>
            <sz val="11"/>
            <color rgb="FF000000"/>
            <rFont val="Calibri"/>
            <family val="2"/>
            <scheme val="minor"/>
          </rPr>
          <t>Ausencia justificada</t>
        </r>
      </text>
    </comment>
    <comment ref="Q13" authorId="0" shapeId="0" xr:uid="{00000000-0006-0000-0100-000004000000}">
      <text>
        <r>
          <rPr>
            <sz val="11"/>
            <color rgb="FF000000"/>
            <rFont val="Calibri"/>
            <family val="2"/>
            <scheme val="minor"/>
          </rPr>
          <t>Ausencia justificada</t>
        </r>
      </text>
    </comment>
    <comment ref="R13" authorId="0" shapeId="0" xr:uid="{00000000-0006-0000-0100-000005000000}">
      <text>
        <r>
          <rPr>
            <sz val="11"/>
            <color rgb="FF000000"/>
            <rFont val="Calibri"/>
            <family val="2"/>
            <scheme val="minor"/>
          </rPr>
          <t>Ausencia justificada</t>
        </r>
      </text>
    </comment>
    <comment ref="S13" authorId="0" shapeId="0" xr:uid="{00000000-0006-0000-0100-000006000000}">
      <text>
        <r>
          <rPr>
            <sz val="11"/>
            <color rgb="FF000000"/>
            <rFont val="Calibri"/>
            <family val="2"/>
            <scheme val="minor"/>
          </rPr>
          <t>Ausencia justificada</t>
        </r>
      </text>
    </comment>
    <comment ref="W13" authorId="0" shapeId="0" xr:uid="{00000000-0006-0000-0100-000008000000}">
      <text>
        <r>
          <rPr>
            <sz val="11"/>
            <color rgb="FF000000"/>
            <rFont val="Calibri"/>
            <family val="2"/>
            <scheme val="minor"/>
          </rPr>
          <t xml:space="preserve">Tarde
</t>
        </r>
      </text>
    </comment>
    <comment ref="K14" authorId="0" shapeId="0" xr:uid="{00000000-0006-0000-0100-000011000000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M15" authorId="0" shapeId="0" xr:uid="{00000000-0006-0000-0100-00001C000000}">
      <text>
        <r>
          <rPr>
            <sz val="11"/>
            <color rgb="FF000000"/>
            <rFont val="Calibri"/>
            <family val="2"/>
            <scheme val="minor"/>
          </rPr>
          <t>Pizzarra + 1 intervención</t>
        </r>
      </text>
    </comment>
    <comment ref="U16" authorId="0" shapeId="0" xr:uid="{00000000-0006-0000-0100-00002E000000}">
      <text>
        <r>
          <rPr>
            <sz val="11"/>
            <color rgb="FF000000"/>
            <rFont val="Calibri"/>
            <family val="2"/>
            <scheme val="minor"/>
          </rPr>
          <t>Entrega Proyecto
Jubilado</t>
        </r>
      </text>
    </comment>
    <comment ref="N18" authorId="0" shapeId="0" xr:uid="{00000000-0006-0000-0100-000010000000}">
      <text>
        <r>
          <rPr>
            <sz val="11"/>
            <color rgb="FF000000"/>
            <rFont val="Calibri"/>
            <family val="2"/>
            <scheme val="minor"/>
          </rPr>
          <t>Entrega Proy + intervención</t>
        </r>
      </text>
    </comment>
    <comment ref="K19" authorId="0" shapeId="0" xr:uid="{00000000-0006-0000-0100-00001A000000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N20" authorId="0" shapeId="0" xr:uid="{00000000-0006-0000-0100-00002B000000}">
      <text>
        <r>
          <rPr>
            <sz val="11"/>
            <color rgb="FF000000"/>
            <rFont val="Calibri"/>
            <family val="2"/>
            <scheme val="minor"/>
          </rPr>
          <t>Entrega Proy</t>
        </r>
      </text>
    </comment>
    <comment ref="H22" authorId="0" shapeId="0" xr:uid="{00000000-0006-0000-0100-00000C000000}">
      <text>
        <r>
          <rPr>
            <sz val="11"/>
            <color rgb="FF000000"/>
            <rFont val="Calibri"/>
            <family val="2"/>
            <scheme val="minor"/>
          </rPr>
          <t>pero regresó</t>
        </r>
      </text>
    </comment>
    <comment ref="J22" authorId="0" shapeId="0" xr:uid="{00000000-0006-0000-0100-00000D000000}">
      <text>
        <r>
          <rPr>
            <sz val="11"/>
            <color rgb="FF000000"/>
            <rFont val="Calibri"/>
            <family val="2"/>
            <scheme val="minor"/>
          </rPr>
          <t>pero regresó</t>
        </r>
      </text>
    </comment>
    <comment ref="K22" authorId="0" shapeId="0" xr:uid="{00000000-0006-0000-0100-00000E000000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N22" authorId="0" shapeId="0" xr:uid="{00000000-0006-0000-0100-00000F000000}">
      <text>
        <r>
          <rPr>
            <sz val="11"/>
            <color rgb="FF000000"/>
            <rFont val="Calibri"/>
            <family val="2"/>
            <scheme val="minor"/>
          </rPr>
          <t>Entrega Proy</t>
        </r>
      </text>
    </comment>
    <comment ref="U22" authorId="0" shapeId="0" xr:uid="{00000000-0006-0000-0100-000012000000}">
      <text>
        <r>
          <rPr>
            <sz val="11"/>
            <color rgb="FF000000"/>
            <rFont val="Calibri"/>
            <family val="2"/>
            <scheme val="minor"/>
          </rPr>
          <t>Entrega Proyecto
Jubilado</t>
        </r>
      </text>
    </comment>
    <comment ref="X22" authorId="0" shapeId="0" xr:uid="{00000000-0006-0000-0100-000013000000}">
      <text>
        <r>
          <rPr>
            <sz val="11"/>
            <color rgb="FF000000"/>
            <rFont val="Calibri"/>
            <family val="2"/>
            <scheme val="minor"/>
          </rPr>
          <t>1 intervención, jubilado</t>
        </r>
      </text>
    </comment>
    <comment ref="G24" authorId="0" shapeId="0" xr:uid="{00000000-0006-0000-0100-000026000000}">
      <text>
        <r>
          <rPr>
            <sz val="11"/>
            <color rgb="FF000000"/>
            <rFont val="Calibri"/>
            <family val="2"/>
            <scheme val="minor"/>
          </rPr>
          <t>Pizzarra + 2 intervenciones</t>
        </r>
      </text>
    </comment>
    <comment ref="Q24" authorId="0" shapeId="0" xr:uid="{00000000-0006-0000-0100-00002A000000}">
      <text>
        <r>
          <rPr>
            <sz val="11"/>
            <color rgb="FF000000"/>
            <rFont val="Calibri"/>
            <family val="2"/>
            <scheme val="minor"/>
          </rPr>
          <t>Entrega Proy, llegó tarde</t>
        </r>
      </text>
    </comment>
    <comment ref="S24" authorId="0" shapeId="0" xr:uid="{00000000-0006-0000-0100-00002C000000}">
      <text>
        <r>
          <rPr>
            <sz val="11"/>
            <color rgb="FF000000"/>
            <rFont val="Calibri"/>
            <family val="2"/>
            <scheme val="minor"/>
          </rPr>
          <t>Llegó tarde
Pizarra</t>
        </r>
      </text>
    </comment>
    <comment ref="X24" authorId="0" shapeId="0" xr:uid="{00000000-0006-0000-0100-00002D000000}">
      <text>
        <r>
          <rPr>
            <sz val="11"/>
            <color rgb="FF000000"/>
            <rFont val="Calibri"/>
            <family val="2"/>
            <scheme val="minor"/>
          </rPr>
          <t>2 pizarra, 1 intervención, jubilado</t>
        </r>
      </text>
    </comment>
    <comment ref="E25" authorId="0" shapeId="0" xr:uid="{00000000-0006-0000-0100-000032000000}">
      <text>
        <r>
          <rPr>
            <sz val="11"/>
            <color rgb="FF000000"/>
            <rFont val="Calibri"/>
            <family val="2"/>
            <scheme val="minor"/>
          </rPr>
          <t>Llegó 12:30</t>
        </r>
      </text>
    </comment>
    <comment ref="G26" authorId="0" shapeId="0" xr:uid="{00000000-0006-0000-0100-00000A000000}">
      <text>
        <r>
          <rPr>
            <sz val="11"/>
            <color rgb="FF000000"/>
            <rFont val="Calibri"/>
            <family val="2"/>
            <scheme val="minor"/>
          </rPr>
          <t>Llegó 12:30</t>
        </r>
      </text>
    </comment>
    <comment ref="P27" authorId="0" shapeId="0" xr:uid="{00000000-0006-0000-0100-000019000000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U27" authorId="0" shapeId="0" xr:uid="{00000000-0006-0000-0100-00001B000000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Y27" authorId="0" shapeId="0" xr:uid="{00000000-0006-0000-0100-00001D000000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Z27" authorId="0" shapeId="0" xr:uid="{00000000-0006-0000-0100-00001E000000}">
      <text>
        <r>
          <rPr>
            <sz val="11"/>
            <color rgb="FF000000"/>
            <rFont val="Calibri"/>
            <family val="2"/>
            <scheme val="minor"/>
          </rPr>
          <t>Llegó tarde
Pizarra</t>
        </r>
      </text>
    </comment>
    <comment ref="G28" authorId="0" shapeId="0" xr:uid="{00000000-0006-0000-0100-000021000000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F29" authorId="0" shapeId="0" xr:uid="{00000000-0006-0000-0100-000030000000}">
      <text>
        <r>
          <rPr>
            <sz val="11"/>
            <color rgb="FF000000"/>
            <rFont val="Calibri"/>
            <family val="2"/>
            <scheme val="minor"/>
          </rPr>
          <t>Llegó 1:15</t>
        </r>
      </text>
    </comment>
    <comment ref="K29" authorId="0" shapeId="0" xr:uid="{00000000-0006-0000-0100-000034000000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M29" authorId="0" shapeId="0" xr:uid="{00000000-0006-0000-0100-000035000000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N29" authorId="0" shapeId="0" xr:uid="{00000000-0006-0000-0100-000036000000}">
      <text>
        <r>
          <rPr>
            <sz val="11"/>
            <color rgb="FF000000"/>
            <rFont val="Calibri"/>
            <family val="2"/>
            <scheme val="minor"/>
          </rPr>
          <t>Entrega Proy + intervención</t>
        </r>
      </text>
    </comment>
    <comment ref="Q29" authorId="0" shapeId="0" xr:uid="{00000000-0006-0000-0100-000037000000}">
      <text>
        <r>
          <rPr>
            <sz val="11"/>
            <color rgb="FF000000"/>
            <rFont val="Calibri"/>
            <family val="2"/>
            <scheme val="minor"/>
          </rPr>
          <t>Entrega Proy + intervención</t>
        </r>
      </text>
    </comment>
    <comment ref="U29" authorId="0" shapeId="0" xr:uid="{00000000-0006-0000-0100-000038000000}">
      <text>
        <r>
          <rPr>
            <sz val="11"/>
            <color rgb="FF000000"/>
            <rFont val="Calibri"/>
            <family val="2"/>
            <scheme val="minor"/>
          </rPr>
          <t>Pizarra + intervención</t>
        </r>
      </text>
    </comment>
    <comment ref="W29" authorId="0" shapeId="0" xr:uid="{00000000-0006-0000-0100-000039000000}">
      <text>
        <r>
          <rPr>
            <sz val="11"/>
            <color rgb="FF000000"/>
            <rFont val="Calibri"/>
            <family val="2"/>
            <scheme val="minor"/>
          </rPr>
          <t>Tarde</t>
        </r>
      </text>
    </comment>
    <comment ref="X29" authorId="0" shapeId="0" xr:uid="{00000000-0006-0000-0100-00003A000000}">
      <text>
        <r>
          <rPr>
            <sz val="11"/>
            <color rgb="FF000000"/>
            <rFont val="Calibri"/>
            <family val="2"/>
            <scheme val="minor"/>
          </rPr>
          <t>2 pizarra, 1 intervención, tarde</t>
        </r>
      </text>
    </comment>
    <comment ref="Z29" authorId="0" shapeId="0" xr:uid="{00000000-0006-0000-0100-00003B000000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J30" authorId="0" shapeId="0" xr:uid="{00000000-0006-0000-0100-000009000000}">
      <text>
        <r>
          <rPr>
            <sz val="11"/>
            <color rgb="FF000000"/>
            <rFont val="Calibri"/>
            <family val="2"/>
            <scheme val="minor"/>
          </rPr>
          <t>pero regresó</t>
        </r>
      </text>
    </comment>
    <comment ref="N31" authorId="0" shapeId="0" xr:uid="{00000000-0006-0000-0100-000017000000}">
      <text>
        <r>
          <rPr>
            <sz val="11"/>
            <color rgb="FF000000"/>
            <rFont val="Calibri"/>
            <family val="2"/>
            <scheme val="minor"/>
          </rPr>
          <t>Entrega Proy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7" authorId="0" shapeId="0" xr:uid="{113F0709-B67D-E74F-BB3D-2922C76C18DB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V7" authorId="0" shapeId="0" xr:uid="{94B43AD7-F3B4-F348-BB82-3FD20C8CC986}">
      <text>
        <r>
          <rPr>
            <sz val="11"/>
            <color rgb="FF000000"/>
            <rFont val="Calibri"/>
            <family val="2"/>
            <scheme val="minor"/>
          </rPr>
          <t>Llegó tarde
Pizarra</t>
        </r>
      </text>
    </comment>
    <comment ref="Z7" authorId="0" shapeId="0" xr:uid="{FFFFA4EE-C5DC-0C44-90BF-1B65900B5D13}">
      <text>
        <r>
          <rPr>
            <sz val="11"/>
            <color rgb="FF000000"/>
            <rFont val="Calibri"/>
            <family val="2"/>
            <scheme val="minor"/>
          </rPr>
          <t>Llegó tarde
Pizarra</t>
        </r>
      </text>
    </comment>
    <comment ref="K8" authorId="0" shapeId="0" xr:uid="{D88D49A5-CC30-1449-A41D-665729CB0B3F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M8" authorId="0" shapeId="0" xr:uid="{40473A9D-C14F-764E-BFBE-5C0E2BBF3CBA}">
      <text>
        <r>
          <rPr>
            <sz val="11"/>
            <color rgb="FF000000"/>
            <rFont val="Calibri"/>
            <family val="2"/>
            <scheme val="minor"/>
          </rPr>
          <t>Entrega Proy</t>
        </r>
      </text>
    </comment>
    <comment ref="K10" authorId="0" shapeId="0" xr:uid="{45AE1A3D-0F21-DD4E-B299-6F8060F5990B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L10" authorId="0" shapeId="0" xr:uid="{F6B6D2C8-120D-CA45-AFE3-D72F506B4917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N10" authorId="0" shapeId="0" xr:uid="{640ED6DE-E676-2746-AB95-F7DEA5488A9B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V10" authorId="0" shapeId="0" xr:uid="{ADC9E4C8-4A9F-4E40-B6E2-DE3DC0821287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K11" authorId="0" shapeId="0" xr:uid="{3CF50EA1-28E0-1245-B427-85E92BE6AD11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N11" authorId="0" shapeId="0" xr:uid="{2B5E39AE-DA31-754F-B154-5B0AD996ACD7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R11" authorId="0" shapeId="0" xr:uid="{5F9254FD-65B5-ED4A-B2A9-7EA26E779564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U11" authorId="0" shapeId="0" xr:uid="{A6B9FB9D-58CD-9C42-B5B5-7D2266B5012E}">
      <text>
        <r>
          <rPr>
            <sz val="11"/>
            <color rgb="FF000000"/>
            <rFont val="Calibri"/>
            <family val="2"/>
            <scheme val="minor"/>
          </rPr>
          <t>Entrega Proyecto</t>
        </r>
      </text>
    </comment>
    <comment ref="V11" authorId="0" shapeId="0" xr:uid="{CF76F390-7932-764C-B380-0D9B55A43BEC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Y11" authorId="0" shapeId="0" xr:uid="{8AB9D707-326A-BF40-9A03-BC6FD93ED19F}">
      <text>
        <r>
          <rPr>
            <sz val="11"/>
            <color rgb="FF000000"/>
            <rFont val="Calibri"/>
            <family val="2"/>
          </rPr>
          <t xml:space="preserve">Llegó tarde
</t>
        </r>
        <r>
          <rPr>
            <sz val="11"/>
            <color rgb="FF000000"/>
            <rFont val="Calibri"/>
            <family val="2"/>
          </rPr>
          <t>Pizarra</t>
        </r>
      </text>
    </comment>
    <comment ref="L13" authorId="0" shapeId="0" xr:uid="{823FE621-9A02-E441-A6A9-8A44B14DA986}">
      <text>
        <r>
          <rPr>
            <sz val="11"/>
            <color rgb="FF000000"/>
            <rFont val="Calibri"/>
            <family val="2"/>
            <scheme val="minor"/>
          </rPr>
          <t>Pizzarra + 2 intervenciones</t>
        </r>
      </text>
    </comment>
    <comment ref="O13" authorId="0" shapeId="0" xr:uid="{8A659516-2F25-C041-A15F-CDC74B8C2187}">
      <text>
        <r>
          <rPr>
            <sz val="11"/>
            <color rgb="FF000000"/>
            <rFont val="Calibri"/>
            <family val="2"/>
            <scheme val="minor"/>
          </rPr>
          <t>Entrega Proy</t>
        </r>
      </text>
    </comment>
    <comment ref="Z13" authorId="0" shapeId="0" xr:uid="{AA3F094A-F799-0C40-8366-19FDB7906316}">
      <text>
        <r>
          <rPr>
            <sz val="11"/>
            <color rgb="FF000000"/>
            <rFont val="Calibri"/>
            <family val="2"/>
            <scheme val="minor"/>
          </rPr>
          <t>2 pizarra</t>
        </r>
      </text>
    </comment>
    <comment ref="Y16" authorId="0" shapeId="0" xr:uid="{7CB47D55-C032-654D-9C95-13438624C059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K17" authorId="0" shapeId="0" xr:uid="{1219ACA0-EB1F-E34A-B130-128F3E8DD613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M17" authorId="0" shapeId="0" xr:uid="{CA4E6166-8712-6C44-ACD4-4D1EE5A0CD49}">
      <text>
        <r>
          <rPr>
            <sz val="11"/>
            <color rgb="FF000000"/>
            <rFont val="Calibri"/>
            <family val="2"/>
            <scheme val="minor"/>
          </rPr>
          <t>Entrega Proy</t>
        </r>
      </text>
    </comment>
    <comment ref="N17" authorId="0" shapeId="0" xr:uid="{0FD07A98-B161-B549-AEBB-EB1FD14D7D5D}">
      <text>
        <r>
          <rPr>
            <sz val="11"/>
            <color rgb="FF000000"/>
            <rFont val="Calibri"/>
            <family val="2"/>
            <scheme val="minor"/>
          </rPr>
          <t>Ausencia justificada</t>
        </r>
      </text>
    </comment>
    <comment ref="O17" authorId="0" shapeId="0" xr:uid="{4685395B-0C69-024F-A09A-008DEDE70DC1}">
      <text>
        <r>
          <rPr>
            <sz val="11"/>
            <color rgb="FF000000"/>
            <rFont val="Calibri"/>
            <family val="2"/>
            <scheme val="minor"/>
          </rPr>
          <t>Ausencia justificada</t>
        </r>
      </text>
    </comment>
    <comment ref="Q17" authorId="0" shapeId="0" xr:uid="{4A9C5C18-3DB8-9041-A236-4ACFF11E0DCE}">
      <text>
        <r>
          <rPr>
            <sz val="11"/>
            <color rgb="FF000000"/>
            <rFont val="Calibri"/>
            <family val="2"/>
            <scheme val="minor"/>
          </rPr>
          <t>Ausencia justificada</t>
        </r>
      </text>
    </comment>
    <comment ref="R17" authorId="0" shapeId="0" xr:uid="{EEE8746D-DE76-2E4B-89CB-372E331A9986}">
      <text>
        <r>
          <rPr>
            <sz val="11"/>
            <color rgb="FF000000"/>
            <rFont val="Calibri"/>
            <family val="2"/>
            <scheme val="minor"/>
          </rPr>
          <t>Ausencia justificada</t>
        </r>
      </text>
    </comment>
    <comment ref="W17" authorId="0" shapeId="0" xr:uid="{0499196B-AA7C-EB46-8579-B547E97D084E}">
      <text>
        <r>
          <rPr>
            <sz val="11"/>
            <color rgb="FF000000"/>
            <rFont val="Calibri"/>
            <family val="2"/>
            <scheme val="minor"/>
          </rPr>
          <t xml:space="preserve">Tarde
</t>
        </r>
      </text>
    </comment>
    <comment ref="K18" authorId="0" shapeId="0" xr:uid="{5C772944-4C50-7D41-B378-F4A4EE80146E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L19" authorId="0" shapeId="0" xr:uid="{97D11828-8835-924E-98A3-796FEE83D20C}">
      <text>
        <r>
          <rPr>
            <sz val="11"/>
            <color rgb="FF000000"/>
            <rFont val="Calibri"/>
            <family val="2"/>
            <scheme val="minor"/>
          </rPr>
          <t>Pizzarra + 1 intervención</t>
        </r>
      </text>
    </comment>
    <comment ref="U20" authorId="0" shapeId="0" xr:uid="{0CFC2C83-6ACE-5444-AC4B-066757C77A3A}">
      <text>
        <r>
          <rPr>
            <sz val="11"/>
            <color rgb="FF000000"/>
            <rFont val="Calibri"/>
            <family val="2"/>
            <scheme val="minor"/>
          </rPr>
          <t>Entrega Proyecto
Jubilado</t>
        </r>
      </text>
    </comment>
    <comment ref="M22" authorId="0" shapeId="0" xr:uid="{AF08E069-4BB1-0040-B7E4-9EB3541019F4}">
      <text>
        <r>
          <rPr>
            <sz val="11"/>
            <color rgb="FF000000"/>
            <rFont val="Calibri"/>
            <family val="2"/>
            <scheme val="minor"/>
          </rPr>
          <t>Entrega Proy + intervención</t>
        </r>
      </text>
    </comment>
    <comment ref="K23" authorId="0" shapeId="0" xr:uid="{761815B6-CE2F-FD40-AF9E-82E256A3FF4E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M24" authorId="0" shapeId="0" xr:uid="{70907F76-AC53-304F-AEA4-5F0370BABA3C}">
      <text>
        <r>
          <rPr>
            <sz val="11"/>
            <color rgb="FF000000"/>
            <rFont val="Calibri"/>
            <family val="2"/>
            <scheme val="minor"/>
          </rPr>
          <t>Entrega Proy</t>
        </r>
      </text>
    </comment>
    <comment ref="I26" authorId="0" shapeId="0" xr:uid="{D2EAD9F7-C39A-CD4B-8E64-E9D837AE26F9}">
      <text>
        <r>
          <rPr>
            <sz val="11"/>
            <color rgb="FF000000"/>
            <rFont val="Calibri"/>
            <family val="2"/>
            <scheme val="minor"/>
          </rPr>
          <t>pero regresó</t>
        </r>
      </text>
    </comment>
    <comment ref="J26" authorId="0" shapeId="0" xr:uid="{1A795749-21B8-4C4A-B272-2F363ABC67FA}">
      <text>
        <r>
          <rPr>
            <sz val="11"/>
            <color rgb="FF000000"/>
            <rFont val="Calibri"/>
            <family val="2"/>
            <scheme val="minor"/>
          </rPr>
          <t>pero regresó</t>
        </r>
      </text>
    </comment>
    <comment ref="K26" authorId="0" shapeId="0" xr:uid="{EB98D055-748E-4349-A7F0-45F017424085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M26" authorId="0" shapeId="0" xr:uid="{5032D0A2-1A90-1C49-A81B-5ECCD2E7AA73}">
      <text>
        <r>
          <rPr>
            <sz val="11"/>
            <color rgb="FF000000"/>
            <rFont val="Calibri"/>
            <family val="2"/>
            <scheme val="minor"/>
          </rPr>
          <t>Entrega Proy</t>
        </r>
      </text>
    </comment>
    <comment ref="U26" authorId="0" shapeId="0" xr:uid="{BD71D2BF-C16A-C840-B2F3-EDDC56832ECE}">
      <text>
        <r>
          <rPr>
            <sz val="11"/>
            <color rgb="FF000000"/>
            <rFont val="Calibri"/>
            <family val="2"/>
            <scheme val="minor"/>
          </rPr>
          <t>Entrega Proyecto
Jubilado</t>
        </r>
      </text>
    </comment>
    <comment ref="X26" authorId="0" shapeId="0" xr:uid="{594E89A6-EC8B-B745-960A-81B8AF531787}">
      <text>
        <r>
          <rPr>
            <sz val="11"/>
            <color rgb="FF000000"/>
            <rFont val="Calibri"/>
            <family val="2"/>
            <scheme val="minor"/>
          </rPr>
          <t>1 intervención, jubilado</t>
        </r>
      </text>
    </comment>
    <comment ref="H28" authorId="0" shapeId="0" xr:uid="{5DEADD3B-75ED-5544-BC7D-58E18F3D25A8}">
      <text>
        <r>
          <rPr>
            <sz val="11"/>
            <color rgb="FF000000"/>
            <rFont val="Calibri"/>
            <family val="2"/>
            <scheme val="minor"/>
          </rPr>
          <t>Pizzarra + 2 intervenciones</t>
        </r>
      </text>
    </comment>
    <comment ref="O28" authorId="0" shapeId="0" xr:uid="{2867437F-91DC-B841-B1C6-A037B1103C31}">
      <text>
        <r>
          <rPr>
            <sz val="11"/>
            <color rgb="FF000000"/>
            <rFont val="Calibri"/>
            <family val="2"/>
            <scheme val="minor"/>
          </rPr>
          <t>Entrega Proy, llegó tarde</t>
        </r>
      </text>
    </comment>
    <comment ref="R28" authorId="0" shapeId="0" xr:uid="{A50D6E29-D279-E147-90EF-0066A398AD3D}">
      <text>
        <r>
          <rPr>
            <sz val="11"/>
            <color rgb="FF000000"/>
            <rFont val="Calibri"/>
            <family val="2"/>
            <scheme val="minor"/>
          </rPr>
          <t>Llegó tarde
Pizarra</t>
        </r>
      </text>
    </comment>
    <comment ref="X28" authorId="0" shapeId="0" xr:uid="{9C0B7C10-7076-544C-A9AB-D59C38431BEE}">
      <text>
        <r>
          <rPr>
            <sz val="11"/>
            <color rgb="FF000000"/>
            <rFont val="Calibri"/>
            <family val="2"/>
            <scheme val="minor"/>
          </rPr>
          <t>2 pizarra, 1 intervención, jubilado</t>
        </r>
      </text>
    </comment>
    <comment ref="F29" authorId="0" shapeId="0" xr:uid="{61871279-5A7E-C04D-9939-DEEA07FEA14D}">
      <text>
        <r>
          <rPr>
            <sz val="11"/>
            <color rgb="FF000000"/>
            <rFont val="Calibri"/>
            <family val="2"/>
            <scheme val="minor"/>
          </rPr>
          <t>Llegó 12:30</t>
        </r>
      </text>
    </comment>
    <comment ref="H30" authorId="0" shapeId="0" xr:uid="{C24DF262-8B74-ED43-8C99-2866A1EC347C}">
      <text>
        <r>
          <rPr>
            <sz val="11"/>
            <color rgb="FF000000"/>
            <rFont val="Calibri"/>
            <family val="2"/>
            <scheme val="minor"/>
          </rPr>
          <t>Llegó 12:30</t>
        </r>
      </text>
    </comment>
    <comment ref="N31" authorId="0" shapeId="0" xr:uid="{9005E626-EBAB-814E-A760-608D8382B2A0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U31" authorId="0" shapeId="0" xr:uid="{F966A910-6AE8-374F-9273-4E3831F67ACF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Y31" authorId="0" shapeId="0" xr:uid="{A996BD80-6C98-7C40-AD88-8C04EF1CF227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Z31" authorId="0" shapeId="0" xr:uid="{63BF449F-22E0-5F43-8E66-A4806813A052}">
      <text>
        <r>
          <rPr>
            <sz val="11"/>
            <color rgb="FF000000"/>
            <rFont val="Calibri"/>
            <family val="2"/>
            <scheme val="minor"/>
          </rPr>
          <t>Llegó tarde
Pizarra</t>
        </r>
      </text>
    </comment>
    <comment ref="H32" authorId="0" shapeId="0" xr:uid="{21611A31-115D-D446-BCB6-6B2DCC4E0D2A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G33" authorId="0" shapeId="0" xr:uid="{60007D21-F488-374C-9370-5E318137DE8A}">
      <text>
        <r>
          <rPr>
            <sz val="11"/>
            <color rgb="FF000000"/>
            <rFont val="Calibri"/>
            <family val="2"/>
            <scheme val="minor"/>
          </rPr>
          <t>Llegó 1:15</t>
        </r>
      </text>
    </comment>
    <comment ref="K33" authorId="0" shapeId="0" xr:uid="{803F8DFA-B06B-F845-AE99-908821622236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L33" authorId="0" shapeId="0" xr:uid="{38E622EC-2E76-C04C-ABEB-030B2DA9907C}">
      <text>
        <r>
          <rPr>
            <sz val="11"/>
            <color rgb="FF000000"/>
            <rFont val="Calibri"/>
            <family val="2"/>
            <scheme val="minor"/>
          </rPr>
          <t>Dinámica CRC</t>
        </r>
      </text>
    </comment>
    <comment ref="M33" authorId="0" shapeId="0" xr:uid="{2C011633-68D3-A847-A158-1380D56F8A79}">
      <text>
        <r>
          <rPr>
            <sz val="11"/>
            <color rgb="FF000000"/>
            <rFont val="Calibri"/>
            <family val="2"/>
            <scheme val="minor"/>
          </rPr>
          <t>Entrega Proy + intervención</t>
        </r>
      </text>
    </comment>
    <comment ref="O33" authorId="0" shapeId="0" xr:uid="{C06D9AD7-1217-294A-BD3A-086571D31A21}">
      <text>
        <r>
          <rPr>
            <sz val="11"/>
            <color rgb="FF000000"/>
            <rFont val="Calibri"/>
            <family val="2"/>
            <scheme val="minor"/>
          </rPr>
          <t>Entrega Proy + intervención</t>
        </r>
      </text>
    </comment>
    <comment ref="U33" authorId="0" shapeId="0" xr:uid="{C6B5DFD6-97F6-3F42-8747-50F747BE788F}">
      <text>
        <r>
          <rPr>
            <sz val="11"/>
            <color rgb="FF000000"/>
            <rFont val="Calibri"/>
            <family val="2"/>
            <scheme val="minor"/>
          </rPr>
          <t>Pizarra + intervención</t>
        </r>
      </text>
    </comment>
    <comment ref="W33" authorId="0" shapeId="0" xr:uid="{746E4F43-2768-7A4F-8677-42EF4B3E7753}">
      <text>
        <r>
          <rPr>
            <sz val="11"/>
            <color rgb="FF000000"/>
            <rFont val="Calibri"/>
            <family val="2"/>
            <scheme val="minor"/>
          </rPr>
          <t>Tarde</t>
        </r>
      </text>
    </comment>
    <comment ref="X33" authorId="0" shapeId="0" xr:uid="{0BA9563D-734F-024B-AB06-BD7CEDC16DBF}">
      <text>
        <r>
          <rPr>
            <sz val="11"/>
            <color rgb="FF000000"/>
            <rFont val="Calibri"/>
            <family val="2"/>
            <scheme val="minor"/>
          </rPr>
          <t>2 pizarra, 1 intervención, tarde</t>
        </r>
      </text>
    </comment>
    <comment ref="Z33" authorId="0" shapeId="0" xr:uid="{865BB805-3D1D-514D-B014-610AE7DE6FBC}">
      <text>
        <r>
          <rPr>
            <sz val="11"/>
            <color rgb="FF000000"/>
            <rFont val="Calibri"/>
            <family val="2"/>
            <scheme val="minor"/>
          </rPr>
          <t>Pizarra</t>
        </r>
      </text>
    </comment>
    <comment ref="J34" authorId="0" shapeId="0" xr:uid="{54D98CC3-24B4-F243-B225-CFC24A17239D}">
      <text>
        <r>
          <rPr>
            <sz val="11"/>
            <color rgb="FF000000"/>
            <rFont val="Calibri"/>
            <family val="2"/>
            <scheme val="minor"/>
          </rPr>
          <t>pero regresó</t>
        </r>
      </text>
    </comment>
    <comment ref="M35" authorId="0" shapeId="0" xr:uid="{A9DABB14-626A-5E44-9C6B-34B611D23A18}">
      <text>
        <r>
          <rPr>
            <sz val="11"/>
            <color rgb="FF000000"/>
            <rFont val="Calibri"/>
            <family val="2"/>
            <scheme val="minor"/>
          </rPr>
          <t>Entrega Proy</t>
        </r>
      </text>
    </comment>
  </commentList>
</comments>
</file>

<file path=xl/sharedStrings.xml><?xml version="1.0" encoding="utf-8"?>
<sst xmlns="http://schemas.openxmlformats.org/spreadsheetml/2006/main" count="905" uniqueCount="327">
  <si>
    <t>Profesor(a):</t>
  </si>
  <si>
    <t>Torre</t>
  </si>
  <si>
    <t>Fernando Javier</t>
  </si>
  <si>
    <t>C.I.:</t>
  </si>
  <si>
    <t>21132576</t>
  </si>
  <si>
    <t>Asignatura:</t>
  </si>
  <si>
    <t>BPTSP06</t>
  </si>
  <si>
    <t>ESTRUCTURAS DE DATOS</t>
  </si>
  <si>
    <t>Periodo:</t>
  </si>
  <si>
    <t>2526</t>
  </si>
  <si>
    <t>009</t>
  </si>
  <si>
    <t>Sección:</t>
  </si>
  <si>
    <t>BPTSP06-2</t>
  </si>
  <si>
    <t>ID</t>
  </si>
  <si>
    <t>CEDULA</t>
  </si>
  <si>
    <t>CARNET</t>
  </si>
  <si>
    <t>APELLIDO</t>
  </si>
  <si>
    <t>NOMBRE</t>
  </si>
  <si>
    <t>2º Nombre</t>
  </si>
  <si>
    <t>Correo Unimet</t>
  </si>
  <si>
    <t>EMAIL_PRINC</t>
  </si>
  <si>
    <t>EMAIL_ADIC</t>
  </si>
  <si>
    <t>RQ_RT</t>
  </si>
  <si>
    <t xml:space="preserve">  1</t>
  </si>
  <si>
    <t>32241977</t>
  </si>
  <si>
    <t>20251110154</t>
  </si>
  <si>
    <t>Bezara</t>
  </si>
  <si>
    <t>Cesar</t>
  </si>
  <si>
    <t>Miguel</t>
  </si>
  <si>
    <t>cbezara@correo.unimet.edu.ve,</t>
  </si>
  <si>
    <t>cesarbezara@gmail.com</t>
  </si>
  <si>
    <t>ibezara@gmail.com</t>
  </si>
  <si>
    <t xml:space="preserve">  2</t>
  </si>
  <si>
    <t>31852011</t>
  </si>
  <si>
    <t>20251120004</t>
  </si>
  <si>
    <t>Bravo</t>
  </si>
  <si>
    <t>Luis</t>
  </si>
  <si>
    <t>Fernando</t>
  </si>
  <si>
    <t>luisbravo@correo.unimet.edu.ve,</t>
  </si>
  <si>
    <t>luisfbh1@gmail.com</t>
  </si>
  <si>
    <t>arquimedesbravoc@gmail.com</t>
  </si>
  <si>
    <t xml:space="preserve">  3</t>
  </si>
  <si>
    <t>29947503</t>
  </si>
  <si>
    <t>20221110165</t>
  </si>
  <si>
    <t>Calderon</t>
  </si>
  <si>
    <t>Daniel</t>
  </si>
  <si>
    <t>Antonio</t>
  </si>
  <si>
    <t>daniel.calderon@correo.unimet.edu.ve,</t>
  </si>
  <si>
    <t>daniel.calderon@correo.unimet.edu.ve</t>
  </si>
  <si>
    <t>mcnordelo@gmail.com</t>
  </si>
  <si>
    <t xml:space="preserve">  4</t>
  </si>
  <si>
    <t>29724329</t>
  </si>
  <si>
    <t>20221110604</t>
  </si>
  <si>
    <t>Cedeño</t>
  </si>
  <si>
    <t>Gabriel</t>
  </si>
  <si>
    <t>Alejandro</t>
  </si>
  <si>
    <t>g.cedeno@correo.unimet.edu.ve,</t>
  </si>
  <si>
    <t>gabocensore@gmail.com</t>
  </si>
  <si>
    <t>Gabrielacensore21@gmail.com</t>
  </si>
  <si>
    <t xml:space="preserve">  5</t>
  </si>
  <si>
    <t>29756222</t>
  </si>
  <si>
    <t>20241110585</t>
  </si>
  <si>
    <t>Charco</t>
  </si>
  <si>
    <t>Isaac</t>
  </si>
  <si>
    <t>Israel</t>
  </si>
  <si>
    <t>i.charco@correo.unimet.edu.ve,</t>
  </si>
  <si>
    <t>ischlt1516@gmail.com</t>
  </si>
  <si>
    <t>Luischarco@gmail.com</t>
  </si>
  <si>
    <t xml:space="preserve">  6</t>
  </si>
  <si>
    <t>31115369</t>
  </si>
  <si>
    <t>20231110312</t>
  </si>
  <si>
    <t>Gamboa</t>
  </si>
  <si>
    <t>Biko</t>
  </si>
  <si>
    <t>Lian</t>
  </si>
  <si>
    <t>b.gamboa@correo.unimet.edu.ve,</t>
  </si>
  <si>
    <t>bikolian@gmail.com</t>
  </si>
  <si>
    <t>monikich28@gmail.com</t>
  </si>
  <si>
    <t xml:space="preserve">  7</t>
  </si>
  <si>
    <t>30673466</t>
  </si>
  <si>
    <t>20231110322</t>
  </si>
  <si>
    <t>Garcia</t>
  </si>
  <si>
    <t>Christian</t>
  </si>
  <si>
    <t>David</t>
  </si>
  <si>
    <t>christian.garcia@correo.unimet.edu.ve,</t>
  </si>
  <si>
    <t>christianxdgarcia23@yahoo.com</t>
  </si>
  <si>
    <t>lenismonica@gmail.com</t>
  </si>
  <si>
    <t xml:space="preserve">  8</t>
  </si>
  <si>
    <t>31423864</t>
  </si>
  <si>
    <t>20251110160</t>
  </si>
  <si>
    <t>García</t>
  </si>
  <si>
    <t>Rocco</t>
  </si>
  <si>
    <t>rocco.garcia@correo.unimet.edu.ve,</t>
  </si>
  <si>
    <t>roccogarciap@gmail.com</t>
  </si>
  <si>
    <t>giovannapoli1601@gmail.com</t>
  </si>
  <si>
    <t xml:space="preserve">  9</t>
  </si>
  <si>
    <t>29948233</t>
  </si>
  <si>
    <t>20241110472</t>
  </si>
  <si>
    <t>Gutierrez</t>
  </si>
  <si>
    <t>Diego</t>
  </si>
  <si>
    <t>Eduardo</t>
  </si>
  <si>
    <t>d.gutierrez@correo.unimet.edu.ve,</t>
  </si>
  <si>
    <t>diegoegm20@gmail.com</t>
  </si>
  <si>
    <t>Salgueirom12@gmail.com</t>
  </si>
  <si>
    <t xml:space="preserve"> 10</t>
  </si>
  <si>
    <t>31873944</t>
  </si>
  <si>
    <t>20251110016</t>
  </si>
  <si>
    <t>Hernandez</t>
  </si>
  <si>
    <t>Santiago</t>
  </si>
  <si>
    <t>Andres</t>
  </si>
  <si>
    <t>santiago.hernandez@correo.unimet.edu.ve,</t>
  </si>
  <si>
    <t>noahhe03072007@gmail.com</t>
  </si>
  <si>
    <t>Veronicaadelina@gmail.com</t>
  </si>
  <si>
    <t xml:space="preserve"> 11</t>
  </si>
  <si>
    <t>30563919</t>
  </si>
  <si>
    <t>20241110443</t>
  </si>
  <si>
    <t>Leiva</t>
  </si>
  <si>
    <t>Darickson</t>
  </si>
  <si>
    <t>Ismael</t>
  </si>
  <si>
    <t>dleiva@correo.unimet.edu.ve,</t>
  </si>
  <si>
    <t>leivadarickson@gmail.com</t>
  </si>
  <si>
    <t>ysbelisfb@gmail.com</t>
  </si>
  <si>
    <t xml:space="preserve"> 12</t>
  </si>
  <si>
    <t>31306531</t>
  </si>
  <si>
    <t>20241120101</t>
  </si>
  <si>
    <t>Linarez</t>
  </si>
  <si>
    <t>Juan</t>
  </si>
  <si>
    <t>Esteban</t>
  </si>
  <si>
    <t>juan.linarez@correo.unimet.edu.ve,</t>
  </si>
  <si>
    <t>juaneslinarez@gmail.com</t>
  </si>
  <si>
    <t>josealinarez@gmail.com</t>
  </si>
  <si>
    <t xml:space="preserve"> 13</t>
  </si>
  <si>
    <t>30420299</t>
  </si>
  <si>
    <t>20211120144</t>
  </si>
  <si>
    <t>López</t>
  </si>
  <si>
    <t>Joseph</t>
  </si>
  <si>
    <t>Joan Antonio</t>
  </si>
  <si>
    <t>joseph-lopez@correo.unimet.edu.ve,</t>
  </si>
  <si>
    <t>josephjoanlopez2003@gmail.com</t>
  </si>
  <si>
    <t>Tanysbarrios@gmail.com</t>
  </si>
  <si>
    <t xml:space="preserve"> 14</t>
  </si>
  <si>
    <t>32336842</t>
  </si>
  <si>
    <t>20261110222</t>
  </si>
  <si>
    <t>Montilla</t>
  </si>
  <si>
    <t>a.montilla@correo.unimet.edu.ve,</t>
  </si>
  <si>
    <t>andresmontilla419@gmail.com</t>
  </si>
  <si>
    <t>mariacele6969@gmail.com</t>
  </si>
  <si>
    <t xml:space="preserve"> 15</t>
  </si>
  <si>
    <t>29865249</t>
  </si>
  <si>
    <t>20231110618</t>
  </si>
  <si>
    <t>Paolino</t>
  </si>
  <si>
    <t>Fabiano</t>
  </si>
  <si>
    <t>alejandro.paolino@correo.unimet.edu.ve,</t>
  </si>
  <si>
    <t>alejandropaolinoz@hotmail.com</t>
  </si>
  <si>
    <t>zaidazp@hotmail.com</t>
  </si>
  <si>
    <t>P=Presente, 1=Intervención, T=Tarde, J=jubilado</t>
  </si>
  <si>
    <t xml:space="preserve"> 16</t>
  </si>
  <si>
    <t>31464995</t>
  </si>
  <si>
    <t>20251110145</t>
  </si>
  <si>
    <t>Giancarlo</t>
  </si>
  <si>
    <t>Rafael</t>
  </si>
  <si>
    <t>giancarlo.paolino@correo.unimet.edu.ve,</t>
  </si>
  <si>
    <t>giancarlopz44@outlook.com</t>
  </si>
  <si>
    <t xml:space="preserve"> 17</t>
  </si>
  <si>
    <t>31661952</t>
  </si>
  <si>
    <t>20251110400</t>
  </si>
  <si>
    <t>Peraza</t>
  </si>
  <si>
    <t>Andrés</t>
  </si>
  <si>
    <t>e.peraza@correo.unimet.edu.ve,</t>
  </si>
  <si>
    <t>perazaeduardo2696@gmail.com</t>
  </si>
  <si>
    <t>perazabetta@gmail.com</t>
  </si>
  <si>
    <t xml:space="preserve"> 18</t>
  </si>
  <si>
    <t>31872084</t>
  </si>
  <si>
    <t>20241110012</t>
  </si>
  <si>
    <t>Perez</t>
  </si>
  <si>
    <t>Andy</t>
  </si>
  <si>
    <t>andy.perez@correo.unimet.edu.ve,</t>
  </si>
  <si>
    <t>d10977@gmail.com</t>
  </si>
  <si>
    <t>D10977@GMAIL.COM</t>
  </si>
  <si>
    <t xml:space="preserve"> 19</t>
  </si>
  <si>
    <t>31307375</t>
  </si>
  <si>
    <t>20241110243</t>
  </si>
  <si>
    <t>perez.gabriel@correo.unimet.edu.ve,</t>
  </si>
  <si>
    <t>gabospace20@gmail.com</t>
  </si>
  <si>
    <t>greizmar@hotmail.com</t>
  </si>
  <si>
    <t xml:space="preserve"> 20</t>
  </si>
  <si>
    <t>Sem 1</t>
  </si>
  <si>
    <t>32241941</t>
  </si>
  <si>
    <t>20261110652</t>
  </si>
  <si>
    <t>Quevedo</t>
  </si>
  <si>
    <t>Jesús</t>
  </si>
  <si>
    <t>jesus.quevedo@correo.unimet.edu.ve,</t>
  </si>
  <si>
    <t>Jquevedo0703@gmail.com</t>
  </si>
  <si>
    <t>Patriciamonteiro271@gmail.com</t>
  </si>
  <si>
    <t xml:space="preserve"> 21</t>
  </si>
  <si>
    <t>30513257</t>
  </si>
  <si>
    <t>Sem 2</t>
  </si>
  <si>
    <t>20231110474</t>
  </si>
  <si>
    <t>Quintero</t>
  </si>
  <si>
    <t>Enrique</t>
  </si>
  <si>
    <t>alejandro.quintero@correo.unimet.edu.ve,</t>
  </si>
  <si>
    <t>alejandro.eqvmet@gmail.com</t>
  </si>
  <si>
    <t>gerardoq09@hotmail.com</t>
  </si>
  <si>
    <t xml:space="preserve"> 22</t>
  </si>
  <si>
    <t>29611077</t>
  </si>
  <si>
    <t>20221110015</t>
  </si>
  <si>
    <t>Ramírez</t>
  </si>
  <si>
    <t>Alexander</t>
  </si>
  <si>
    <t>alexander.ramirez@correo.unimet.edu.ve,</t>
  </si>
  <si>
    <t>alexander.ramirez@correo.unimet.edu.ve</t>
  </si>
  <si>
    <t>zulayduarte@gmail.com</t>
  </si>
  <si>
    <t xml:space="preserve"> 23</t>
  </si>
  <si>
    <t>29947779</t>
  </si>
  <si>
    <t>20191120171</t>
  </si>
  <si>
    <t>Reyes</t>
  </si>
  <si>
    <t>Julio</t>
  </si>
  <si>
    <t>j.reyes2020@correo.unimet.edu.ve,</t>
  </si>
  <si>
    <t>jcrz1304@gmail.com</t>
  </si>
  <si>
    <t>julioareyes@hotmail.com</t>
  </si>
  <si>
    <t xml:space="preserve"> 24</t>
  </si>
  <si>
    <t>29666467</t>
  </si>
  <si>
    <t>20241130097</t>
  </si>
  <si>
    <t>Rivera</t>
  </si>
  <si>
    <t>Antolin</t>
  </si>
  <si>
    <t>antolin.rivera@correo.unimet.edu.ve,</t>
  </si>
  <si>
    <t>antolin2002@gmail.com</t>
  </si>
  <si>
    <t>cardozoaminta@gmail.com</t>
  </si>
  <si>
    <t xml:space="preserve"> 25</t>
  </si>
  <si>
    <t>31587327</t>
  </si>
  <si>
    <t>20241130168</t>
  </si>
  <si>
    <t>Roa</t>
  </si>
  <si>
    <t>Luciano</t>
  </si>
  <si>
    <t>luciano.roa@correo.unimet.edu.ve,</t>
  </si>
  <si>
    <t>luchoroa2024@gmail.com</t>
  </si>
  <si>
    <t>Sem 3</t>
  </si>
  <si>
    <t>yurbisesthee29@gmail.com</t>
  </si>
  <si>
    <t xml:space="preserve"> 26</t>
  </si>
  <si>
    <t>27714378</t>
  </si>
  <si>
    <t>20251110216</t>
  </si>
  <si>
    <t>Santaella</t>
  </si>
  <si>
    <t>Sem 4</t>
  </si>
  <si>
    <t>Willian</t>
  </si>
  <si>
    <t>José</t>
  </si>
  <si>
    <t>wsantaella@correo.unimet.edu.ve,</t>
  </si>
  <si>
    <t>swillianjose28@gmail.com</t>
  </si>
  <si>
    <t>elsaonco@gmail.com</t>
  </si>
  <si>
    <t>Sem 5</t>
  </si>
  <si>
    <t xml:space="preserve"> 27</t>
  </si>
  <si>
    <t>31623487</t>
  </si>
  <si>
    <t>20231110186</t>
  </si>
  <si>
    <t>Suárez</t>
  </si>
  <si>
    <t>Sem 6</t>
  </si>
  <si>
    <t>Armando</t>
  </si>
  <si>
    <t>Sem 7</t>
  </si>
  <si>
    <t>armando.suarez@correo.unimet.edu.ve,</t>
  </si>
  <si>
    <t>armandoesuarezr@gmail.com</t>
  </si>
  <si>
    <t>mariadelourdesrivas@gmail.com</t>
  </si>
  <si>
    <t xml:space="preserve"> 28</t>
  </si>
  <si>
    <t>Sem 8</t>
  </si>
  <si>
    <t>31392044</t>
  </si>
  <si>
    <t>20241110593</t>
  </si>
  <si>
    <t>Uriana</t>
  </si>
  <si>
    <t>Sebastián</t>
  </si>
  <si>
    <t>Sem 9</t>
  </si>
  <si>
    <t>uriana.sebastian@correo.unimet.edu.ve,</t>
  </si>
  <si>
    <t>uriana.sebastian@correo.unimet.edu.ve</t>
  </si>
  <si>
    <t>lucirubiob@gmail.com</t>
  </si>
  <si>
    <t>Sem 10</t>
  </si>
  <si>
    <t xml:space="preserve"> 29</t>
  </si>
  <si>
    <t>31707262</t>
  </si>
  <si>
    <t>20251110309</t>
  </si>
  <si>
    <t>Vergel</t>
  </si>
  <si>
    <t>Sem 11</t>
  </si>
  <si>
    <t>Samuel</t>
  </si>
  <si>
    <t>Moises</t>
  </si>
  <si>
    <t>Asistencia</t>
  </si>
  <si>
    <t>samuel.vergel@correo.unimet.edu.ve,</t>
  </si>
  <si>
    <t>samuel.vergel@correo.unimet.edu.ve</t>
  </si>
  <si>
    <t>dvergel@hotmail.com</t>
  </si>
  <si>
    <t>Interv.</t>
  </si>
  <si>
    <t xml:space="preserve"> 30</t>
  </si>
  <si>
    <t>30965572</t>
  </si>
  <si>
    <t>20241130006</t>
  </si>
  <si>
    <t>Zambrano</t>
  </si>
  <si>
    <t>Leonardo</t>
  </si>
  <si>
    <t>zambrano.leonardo@correo.unimet.edu.ve,</t>
  </si>
  <si>
    <t>zambrano.leonardo@correo.unimet.edu.ve</t>
  </si>
  <si>
    <t>yelitza.camacho@gmail.com</t>
  </si>
  <si>
    <t>prepa2</t>
  </si>
  <si>
    <t>prepa3</t>
  </si>
  <si>
    <t>prepa4</t>
  </si>
  <si>
    <t>Total</t>
  </si>
  <si>
    <t>%</t>
  </si>
  <si>
    <t>P</t>
  </si>
  <si>
    <t>T</t>
  </si>
  <si>
    <t>p</t>
  </si>
  <si>
    <t>J</t>
  </si>
  <si>
    <t>⚖️</t>
  </si>
  <si>
    <t>Intervenciones</t>
  </si>
  <si>
    <t>Asistencia Total</t>
  </si>
  <si>
    <t>Tardy</t>
  </si>
  <si>
    <t>Jubilado</t>
  </si>
  <si>
    <t>Asistencia neta</t>
  </si>
  <si>
    <t>Asistencia ponderada</t>
  </si>
  <si>
    <r>
      <rPr>
        <b/>
        <sz val="11"/>
        <rFont val="Calibri"/>
        <family val="2"/>
      </rPr>
      <t>Materia:</t>
    </r>
  </si>
  <si>
    <r>
      <rPr>
        <b/>
        <sz val="11"/>
        <rFont val="Calibri"/>
        <family val="2"/>
      </rPr>
      <t>Trimestre:</t>
    </r>
  </si>
  <si>
    <r>
      <rPr>
        <b/>
        <sz val="11"/>
        <rFont val="Calibri"/>
        <family val="2"/>
      </rPr>
      <t>Sección:</t>
    </r>
  </si>
  <si>
    <r>
      <rPr>
        <b/>
        <sz val="11"/>
        <rFont val="Calibri"/>
        <family val="2"/>
      </rPr>
      <t>numero_lista</t>
    </r>
  </si>
  <si>
    <r>
      <rPr>
        <b/>
        <sz val="11"/>
        <rFont val="Calibri"/>
        <family val="2"/>
      </rPr>
      <t>nombre</t>
    </r>
  </si>
  <si>
    <r>
      <rPr>
        <b/>
        <sz val="11"/>
        <rFont val="Calibri"/>
        <family val="2"/>
      </rPr>
      <t>apellido</t>
    </r>
  </si>
  <si>
    <r>
      <rPr>
        <b/>
        <sz val="11"/>
        <rFont val="Calibri"/>
        <family val="2"/>
      </rPr>
      <t>cedula</t>
    </r>
  </si>
  <si>
    <r>
      <rPr>
        <b/>
        <sz val="11"/>
        <rFont val="Calibri"/>
        <family val="2"/>
      </rPr>
      <t>Semana 1</t>
    </r>
  </si>
  <si>
    <r>
      <rPr>
        <b/>
        <sz val="11"/>
        <rFont val="Calibri"/>
        <family val="2"/>
      </rPr>
      <t>Semana 2</t>
    </r>
  </si>
  <si>
    <r>
      <rPr>
        <b/>
        <sz val="11"/>
        <rFont val="Calibri"/>
        <family val="2"/>
      </rPr>
      <t>Semana 3</t>
    </r>
  </si>
  <si>
    <r>
      <rPr>
        <b/>
        <sz val="11"/>
        <rFont val="Calibri"/>
        <family val="2"/>
      </rPr>
      <t>Semana 4</t>
    </r>
  </si>
  <si>
    <r>
      <rPr>
        <b/>
        <sz val="11"/>
        <rFont val="Calibri"/>
        <family val="2"/>
      </rPr>
      <t>Semana 5</t>
    </r>
  </si>
  <si>
    <r>
      <rPr>
        <b/>
        <sz val="11"/>
        <rFont val="Calibri"/>
        <family val="2"/>
      </rPr>
      <t>Semana 6</t>
    </r>
  </si>
  <si>
    <r>
      <rPr>
        <b/>
        <sz val="11"/>
        <rFont val="Calibri"/>
        <family val="2"/>
      </rPr>
      <t>Semana 7</t>
    </r>
  </si>
  <si>
    <r>
      <rPr>
        <b/>
        <sz val="11"/>
        <rFont val="Calibri"/>
        <family val="2"/>
      </rPr>
      <t>Semana 8</t>
    </r>
  </si>
  <si>
    <r>
      <rPr>
        <b/>
        <sz val="11"/>
        <rFont val="Calibri"/>
        <family val="2"/>
      </rPr>
      <t>Semana 9</t>
    </r>
  </si>
  <si>
    <r>
      <rPr>
        <b/>
        <sz val="11"/>
        <rFont val="Calibri"/>
        <family val="2"/>
      </rPr>
      <t>Semana 10</t>
    </r>
  </si>
  <si>
    <r>
      <rPr>
        <b/>
        <sz val="11"/>
        <rFont val="Calibri"/>
        <family val="2"/>
      </rPr>
      <t>Semana 11</t>
    </r>
  </si>
  <si>
    <r>
      <rPr>
        <b/>
        <sz val="11"/>
        <rFont val="Calibri"/>
        <family val="2"/>
      </rPr>
      <t>Semana 12</t>
    </r>
  </si>
  <si>
    <t>lunes</t>
  </si>
  <si>
    <t>miercoles</t>
  </si>
  <si>
    <t>Estructura de Datos</t>
  </si>
  <si>
    <t>2526-3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</si>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</sst>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 mmm"/>
  </numFmts>
  <fonts count="12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rgb="FF212529"/>
      <name val="System-ui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3D297"/>
        <bgColor rgb="FF63D297"/>
      </patternFill>
    </fill>
    <fill>
      <patternFill patternType="solid">
        <fgColor rgb="FFF1C232"/>
        <bgColor rgb="FFF1C232"/>
      </patternFill>
    </fill>
    <fill>
      <patternFill patternType="solid">
        <fgColor rgb="FFE8F0FE"/>
        <bgColor rgb="FFE8F0FE"/>
      </patternFill>
    </fill>
    <fill>
      <patternFill patternType="solid">
        <fgColor rgb="FFE7F9EF"/>
        <bgColor rgb="FFE7F9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9" fontId="4" fillId="0" borderId="0" xfId="0" applyNumberFormat="1" applyFont="1"/>
    <xf numFmtId="0" fontId="1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1" fillId="6" borderId="0" xfId="0" applyFont="1" applyFill="1"/>
    <xf numFmtId="0" fontId="1" fillId="2" borderId="0" xfId="0" applyFont="1" applyFill="1"/>
    <xf numFmtId="0" fontId="1" fillId="6" borderId="1" xfId="0" applyFont="1" applyFill="1" applyBorder="1"/>
    <xf numFmtId="0" fontId="1" fillId="5" borderId="0" xfId="0" applyFont="1" applyFill="1"/>
    <xf numFmtId="0" fontId="8" fillId="0" borderId="0" xfId="0" applyFont="1"/>
    <xf numFmtId="0" fontId="1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/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2">
    <tableStyle name="Lista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Asistencia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J37">
  <tableColumns count="10">
    <tableColumn id="1" xr3:uid="{00000000-0010-0000-0000-000001000000}" name="ID"/>
    <tableColumn id="2" xr3:uid="{00000000-0010-0000-0000-000002000000}" name="CEDULA"/>
    <tableColumn id="3" xr3:uid="{00000000-0010-0000-0000-000003000000}" name="CARNET"/>
    <tableColumn id="4" xr3:uid="{00000000-0010-0000-0000-000004000000}" name="APELLIDO"/>
    <tableColumn id="5" xr3:uid="{00000000-0010-0000-0000-000005000000}" name="NOMBRE"/>
    <tableColumn id="6" xr3:uid="{00000000-0010-0000-0000-000006000000}" name="2º Nombre"/>
    <tableColumn id="7" xr3:uid="{00000000-0010-0000-0000-000007000000}" name="Correo Unimet"/>
    <tableColumn id="8" xr3:uid="{00000000-0010-0000-0000-000008000000}" name="EMAIL_PRINC"/>
    <tableColumn id="9" xr3:uid="{00000000-0010-0000-0000-000009000000}" name="EMAIL_ADIC"/>
    <tableColumn id="10" xr3:uid="{00000000-0010-0000-0000-00000A000000}" name="RQ_RT"/>
  </tableColumns>
  <tableStyleInfo name="Lis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AD38" headerRowCount="0">
  <tableColumns count="3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</tableColumns>
  <tableStyleInfo name="Asistencia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C8" sqref="C8:C37"/>
    </sheetView>
  </sheetViews>
  <sheetFormatPr baseColWidth="10" defaultColWidth="14.5" defaultRowHeight="15" customHeight="1"/>
  <cols>
    <col min="1" max="6" width="8.6640625" customWidth="1"/>
    <col min="7" max="7" width="13.83203125" customWidth="1"/>
    <col min="8" max="28" width="8.6640625" customWidth="1"/>
  </cols>
  <sheetData>
    <row r="1" spans="1:10" ht="12.75" customHeight="1">
      <c r="A1" s="1" t="s">
        <v>0</v>
      </c>
      <c r="B1" s="1" t="s">
        <v>1</v>
      </c>
      <c r="C1" s="1" t="s">
        <v>2</v>
      </c>
    </row>
    <row r="2" spans="1:10" ht="12.75" customHeight="1">
      <c r="A2" s="1" t="s">
        <v>3</v>
      </c>
      <c r="B2" s="1" t="s">
        <v>4</v>
      </c>
    </row>
    <row r="3" spans="1:10" ht="12.75" customHeight="1">
      <c r="A3" s="1" t="s">
        <v>5</v>
      </c>
      <c r="B3" s="1" t="s">
        <v>6</v>
      </c>
      <c r="C3" s="1" t="s">
        <v>7</v>
      </c>
    </row>
    <row r="4" spans="1:10" ht="12.75" customHeight="1">
      <c r="A4" s="1" t="s">
        <v>8</v>
      </c>
      <c r="B4" s="1" t="s">
        <v>9</v>
      </c>
      <c r="C4" s="1" t="s">
        <v>10</v>
      </c>
    </row>
    <row r="5" spans="1:10" ht="12.75" customHeight="1">
      <c r="A5" s="1" t="s">
        <v>11</v>
      </c>
      <c r="B5" s="1" t="s">
        <v>12</v>
      </c>
    </row>
    <row r="6" spans="1:10" ht="12.75" customHeight="1"/>
    <row r="7" spans="1:10" ht="12.75" customHeight="1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22</v>
      </c>
    </row>
    <row r="8" spans="1:10" ht="12.75" customHeight="1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28</v>
      </c>
      <c r="G8" s="3" t="s">
        <v>29</v>
      </c>
      <c r="H8" s="1" t="s">
        <v>30</v>
      </c>
      <c r="I8" s="1" t="s">
        <v>31</v>
      </c>
      <c r="J8" s="1"/>
    </row>
    <row r="9" spans="1:10" ht="12.75" customHeight="1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  <c r="G9" s="3" t="s">
        <v>38</v>
      </c>
      <c r="H9" s="1" t="s">
        <v>39</v>
      </c>
      <c r="I9" s="1" t="s">
        <v>40</v>
      </c>
      <c r="J9" s="1"/>
    </row>
    <row r="10" spans="1:10" ht="12.75" customHeight="1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  <c r="F10" s="1" t="s">
        <v>46</v>
      </c>
      <c r="G10" s="3" t="s">
        <v>47</v>
      </c>
      <c r="H10" s="1" t="s">
        <v>48</v>
      </c>
      <c r="I10" s="1" t="s">
        <v>49</v>
      </c>
      <c r="J10" s="1"/>
    </row>
    <row r="11" spans="1:10" ht="12.75" customHeight="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  <c r="G11" s="3" t="s">
        <v>56</v>
      </c>
      <c r="H11" s="1" t="s">
        <v>57</v>
      </c>
      <c r="I11" s="1" t="s">
        <v>58</v>
      </c>
      <c r="J11" s="1"/>
    </row>
    <row r="12" spans="1:10" ht="12.75" customHeight="1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  <c r="G12" s="3" t="s">
        <v>65</v>
      </c>
      <c r="H12" s="1" t="s">
        <v>66</v>
      </c>
      <c r="I12" s="1" t="s">
        <v>67</v>
      </c>
      <c r="J12" s="1"/>
    </row>
    <row r="13" spans="1:10" ht="12.75" customHeight="1">
      <c r="A13" s="1" t="s">
        <v>68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73</v>
      </c>
      <c r="G13" s="3" t="s">
        <v>74</v>
      </c>
      <c r="H13" s="1" t="s">
        <v>75</v>
      </c>
      <c r="I13" s="1" t="s">
        <v>76</v>
      </c>
      <c r="J13" s="1"/>
    </row>
    <row r="14" spans="1:10" ht="12.75" customHeight="1">
      <c r="A14" s="1" t="s">
        <v>77</v>
      </c>
      <c r="B14" s="1" t="s">
        <v>78</v>
      </c>
      <c r="C14" s="1" t="s">
        <v>79</v>
      </c>
      <c r="D14" s="1" t="s">
        <v>80</v>
      </c>
      <c r="E14" s="1" t="s">
        <v>81</v>
      </c>
      <c r="F14" s="1" t="s">
        <v>82</v>
      </c>
      <c r="G14" s="3" t="s">
        <v>83</v>
      </c>
      <c r="H14" s="1" t="s">
        <v>84</v>
      </c>
      <c r="I14" s="1" t="s">
        <v>85</v>
      </c>
      <c r="J14" s="1"/>
    </row>
    <row r="15" spans="1:10" ht="12.75" customHeight="1">
      <c r="A15" s="1" t="s">
        <v>86</v>
      </c>
      <c r="B15" s="1" t="s">
        <v>87</v>
      </c>
      <c r="C15" s="1" t="s">
        <v>88</v>
      </c>
      <c r="D15" s="1" t="s">
        <v>89</v>
      </c>
      <c r="E15" s="1" t="s">
        <v>90</v>
      </c>
      <c r="F15" s="1"/>
      <c r="G15" s="3" t="s">
        <v>91</v>
      </c>
      <c r="H15" s="1" t="s">
        <v>92</v>
      </c>
      <c r="I15" s="1" t="s">
        <v>93</v>
      </c>
      <c r="J15" s="1"/>
    </row>
    <row r="16" spans="1:10" ht="12.75" customHeight="1">
      <c r="A16" s="1" t="s">
        <v>94</v>
      </c>
      <c r="B16" s="1" t="s">
        <v>95</v>
      </c>
      <c r="C16" s="1" t="s">
        <v>96</v>
      </c>
      <c r="D16" s="1" t="s">
        <v>97</v>
      </c>
      <c r="E16" s="1" t="s">
        <v>98</v>
      </c>
      <c r="F16" s="1" t="s">
        <v>99</v>
      </c>
      <c r="G16" s="3" t="s">
        <v>100</v>
      </c>
      <c r="H16" s="1" t="s">
        <v>101</v>
      </c>
      <c r="I16" s="1" t="s">
        <v>102</v>
      </c>
      <c r="J16" s="1"/>
    </row>
    <row r="17" spans="1:10" ht="12.75" customHeight="1">
      <c r="A17" s="1" t="s">
        <v>103</v>
      </c>
      <c r="B17" s="1" t="s">
        <v>104</v>
      </c>
      <c r="C17" s="1" t="s">
        <v>105</v>
      </c>
      <c r="D17" s="1" t="s">
        <v>106</v>
      </c>
      <c r="E17" s="1" t="s">
        <v>107</v>
      </c>
      <c r="F17" s="1" t="s">
        <v>108</v>
      </c>
      <c r="G17" s="3" t="s">
        <v>109</v>
      </c>
      <c r="H17" s="1" t="s">
        <v>110</v>
      </c>
      <c r="I17" s="1" t="s">
        <v>111</v>
      </c>
      <c r="J17" s="1"/>
    </row>
    <row r="18" spans="1:10" ht="12.75" customHeight="1">
      <c r="A18" s="1" t="s">
        <v>112</v>
      </c>
      <c r="B18" s="1" t="s">
        <v>113</v>
      </c>
      <c r="C18" s="1" t="s">
        <v>114</v>
      </c>
      <c r="D18" s="1" t="s">
        <v>115</v>
      </c>
      <c r="E18" s="1" t="s">
        <v>116</v>
      </c>
      <c r="F18" s="1" t="s">
        <v>117</v>
      </c>
      <c r="G18" s="3" t="s">
        <v>118</v>
      </c>
      <c r="H18" s="1" t="s">
        <v>119</v>
      </c>
      <c r="I18" s="1" t="s">
        <v>120</v>
      </c>
      <c r="J18" s="1"/>
    </row>
    <row r="19" spans="1:10" ht="12.75" customHeight="1">
      <c r="A19" s="1" t="s">
        <v>121</v>
      </c>
      <c r="B19" s="1" t="s">
        <v>122</v>
      </c>
      <c r="C19" s="1" t="s">
        <v>123</v>
      </c>
      <c r="D19" s="1" t="s">
        <v>124</v>
      </c>
      <c r="E19" s="1" t="s">
        <v>125</v>
      </c>
      <c r="F19" s="1" t="s">
        <v>126</v>
      </c>
      <c r="G19" s="3" t="s">
        <v>127</v>
      </c>
      <c r="H19" s="1" t="s">
        <v>128</v>
      </c>
      <c r="I19" s="1" t="s">
        <v>129</v>
      </c>
      <c r="J19" s="1"/>
    </row>
    <row r="20" spans="1:10" ht="12.75" customHeight="1">
      <c r="A20" s="1" t="s">
        <v>130</v>
      </c>
      <c r="B20" s="1" t="s">
        <v>131</v>
      </c>
      <c r="C20" s="1" t="s">
        <v>132</v>
      </c>
      <c r="D20" s="1" t="s">
        <v>133</v>
      </c>
      <c r="E20" s="1" t="s">
        <v>134</v>
      </c>
      <c r="F20" s="1" t="s">
        <v>135</v>
      </c>
      <c r="G20" s="3" t="s">
        <v>136</v>
      </c>
      <c r="H20" s="1" t="s">
        <v>137</v>
      </c>
      <c r="I20" s="1" t="s">
        <v>138</v>
      </c>
      <c r="J20" s="1"/>
    </row>
    <row r="21" spans="1:10" ht="12.75" customHeight="1">
      <c r="A21" s="1" t="s">
        <v>139</v>
      </c>
      <c r="B21" s="1" t="s">
        <v>140</v>
      </c>
      <c r="C21" s="1" t="s">
        <v>141</v>
      </c>
      <c r="D21" s="1" t="s">
        <v>142</v>
      </c>
      <c r="E21" s="1" t="s">
        <v>108</v>
      </c>
      <c r="F21" s="1" t="s">
        <v>99</v>
      </c>
      <c r="G21" s="3" t="s">
        <v>143</v>
      </c>
      <c r="H21" s="1" t="s">
        <v>144</v>
      </c>
      <c r="I21" s="1" t="s">
        <v>145</v>
      </c>
      <c r="J21" s="1"/>
    </row>
    <row r="22" spans="1:10" ht="12.75" customHeight="1">
      <c r="A22" s="1" t="s">
        <v>146</v>
      </c>
      <c r="B22" s="1" t="s">
        <v>147</v>
      </c>
      <c r="C22" s="1" t="s">
        <v>148</v>
      </c>
      <c r="D22" s="1" t="s">
        <v>149</v>
      </c>
      <c r="E22" s="1" t="s">
        <v>55</v>
      </c>
      <c r="F22" s="1" t="s">
        <v>150</v>
      </c>
      <c r="G22" s="3" t="s">
        <v>151</v>
      </c>
      <c r="H22" s="1" t="s">
        <v>152</v>
      </c>
      <c r="I22" s="1" t="s">
        <v>153</v>
      </c>
      <c r="J22" s="1"/>
    </row>
    <row r="23" spans="1:10" ht="12.75" customHeight="1">
      <c r="A23" s="1" t="s">
        <v>155</v>
      </c>
      <c r="B23" s="1" t="s">
        <v>156</v>
      </c>
      <c r="C23" s="1" t="s">
        <v>157</v>
      </c>
      <c r="D23" s="1" t="s">
        <v>149</v>
      </c>
      <c r="E23" s="1" t="s">
        <v>158</v>
      </c>
      <c r="F23" s="1" t="s">
        <v>159</v>
      </c>
      <c r="G23" s="3" t="s">
        <v>160</v>
      </c>
      <c r="H23" s="1" t="s">
        <v>161</v>
      </c>
      <c r="I23" s="1" t="s">
        <v>153</v>
      </c>
      <c r="J23" s="1"/>
    </row>
    <row r="24" spans="1:10" ht="12.75" customHeight="1">
      <c r="A24" s="1" t="s">
        <v>162</v>
      </c>
      <c r="B24" s="1" t="s">
        <v>163</v>
      </c>
      <c r="C24" s="1" t="s">
        <v>164</v>
      </c>
      <c r="D24" s="1" t="s">
        <v>165</v>
      </c>
      <c r="E24" s="1" t="s">
        <v>99</v>
      </c>
      <c r="F24" s="1" t="s">
        <v>166</v>
      </c>
      <c r="G24" s="3" t="s">
        <v>167</v>
      </c>
      <c r="H24" s="1" t="s">
        <v>168</v>
      </c>
      <c r="I24" s="1" t="s">
        <v>169</v>
      </c>
      <c r="J24" s="1"/>
    </row>
    <row r="25" spans="1:10" ht="12.75" customHeight="1">
      <c r="A25" s="1" t="s">
        <v>170</v>
      </c>
      <c r="B25" s="1" t="s">
        <v>171</v>
      </c>
      <c r="C25" s="1" t="s">
        <v>172</v>
      </c>
      <c r="D25" s="1" t="s">
        <v>173</v>
      </c>
      <c r="E25" s="1" t="s">
        <v>174</v>
      </c>
      <c r="F25" s="1" t="s">
        <v>45</v>
      </c>
      <c r="G25" s="3" t="s">
        <v>175</v>
      </c>
      <c r="H25" s="1" t="s">
        <v>176</v>
      </c>
      <c r="I25" s="1" t="s">
        <v>177</v>
      </c>
      <c r="J25" s="1"/>
    </row>
    <row r="26" spans="1:10" ht="12.75" customHeight="1">
      <c r="A26" s="1" t="s">
        <v>178</v>
      </c>
      <c r="B26" s="1" t="s">
        <v>179</v>
      </c>
      <c r="C26" s="1" t="s">
        <v>180</v>
      </c>
      <c r="D26" s="1" t="s">
        <v>173</v>
      </c>
      <c r="E26" s="1" t="s">
        <v>54</v>
      </c>
      <c r="F26" s="1" t="s">
        <v>55</v>
      </c>
      <c r="G26" s="3" t="s">
        <v>181</v>
      </c>
      <c r="H26" s="1" t="s">
        <v>182</v>
      </c>
      <c r="I26" s="1" t="s">
        <v>183</v>
      </c>
      <c r="J26" s="1"/>
    </row>
    <row r="27" spans="1:10" ht="12.75" customHeight="1">
      <c r="A27" s="1" t="s">
        <v>184</v>
      </c>
      <c r="B27" s="1" t="s">
        <v>186</v>
      </c>
      <c r="C27" s="1" t="s">
        <v>187</v>
      </c>
      <c r="D27" s="1" t="s">
        <v>188</v>
      </c>
      <c r="E27" s="1" t="s">
        <v>189</v>
      </c>
      <c r="F27" s="1" t="s">
        <v>55</v>
      </c>
      <c r="G27" s="3" t="s">
        <v>190</v>
      </c>
      <c r="H27" s="1" t="s">
        <v>191</v>
      </c>
      <c r="I27" s="1" t="s">
        <v>192</v>
      </c>
      <c r="J27" s="1"/>
    </row>
    <row r="28" spans="1:10" ht="12.75" customHeight="1">
      <c r="A28" s="1" t="s">
        <v>193</v>
      </c>
      <c r="B28" s="1" t="s">
        <v>194</v>
      </c>
      <c r="C28" s="1" t="s">
        <v>196</v>
      </c>
      <c r="D28" s="1" t="s">
        <v>197</v>
      </c>
      <c r="E28" s="1" t="s">
        <v>55</v>
      </c>
      <c r="F28" s="1" t="s">
        <v>198</v>
      </c>
      <c r="G28" s="3" t="s">
        <v>199</v>
      </c>
      <c r="H28" s="1" t="s">
        <v>200</v>
      </c>
      <c r="I28" s="1" t="s">
        <v>201</v>
      </c>
      <c r="J28" s="1"/>
    </row>
    <row r="29" spans="1:10" ht="12.75" customHeight="1">
      <c r="A29" s="1" t="s">
        <v>202</v>
      </c>
      <c r="B29" s="1" t="s">
        <v>203</v>
      </c>
      <c r="C29" s="1" t="s">
        <v>204</v>
      </c>
      <c r="D29" s="1" t="s">
        <v>205</v>
      </c>
      <c r="E29" s="1" t="s">
        <v>206</v>
      </c>
      <c r="F29" s="1" t="s">
        <v>54</v>
      </c>
      <c r="G29" s="3" t="s">
        <v>207</v>
      </c>
      <c r="H29" s="1" t="s">
        <v>208</v>
      </c>
      <c r="I29" s="1" t="s">
        <v>209</v>
      </c>
      <c r="J29" s="1"/>
    </row>
    <row r="30" spans="1:10" ht="12.75" customHeight="1">
      <c r="A30" s="1" t="s">
        <v>210</v>
      </c>
      <c r="B30" s="1" t="s">
        <v>211</v>
      </c>
      <c r="C30" s="1" t="s">
        <v>212</v>
      </c>
      <c r="D30" s="1" t="s">
        <v>213</v>
      </c>
      <c r="E30" s="1" t="s">
        <v>214</v>
      </c>
      <c r="F30" s="1" t="s">
        <v>27</v>
      </c>
      <c r="G30" s="3" t="s">
        <v>215</v>
      </c>
      <c r="H30" s="1" t="s">
        <v>216</v>
      </c>
      <c r="I30" s="1" t="s">
        <v>217</v>
      </c>
      <c r="J30" s="1"/>
    </row>
    <row r="31" spans="1:10" ht="12.75" customHeight="1">
      <c r="A31" s="1" t="s">
        <v>218</v>
      </c>
      <c r="B31" s="1" t="s">
        <v>219</v>
      </c>
      <c r="C31" s="1" t="s">
        <v>220</v>
      </c>
      <c r="D31" s="1" t="s">
        <v>221</v>
      </c>
      <c r="E31" s="1" t="s">
        <v>222</v>
      </c>
      <c r="F31" s="1"/>
      <c r="G31" s="3" t="s">
        <v>223</v>
      </c>
      <c r="H31" s="1" t="s">
        <v>224</v>
      </c>
      <c r="I31" s="1" t="s">
        <v>225</v>
      </c>
      <c r="J31" s="1"/>
    </row>
    <row r="32" spans="1:10" ht="12.75" customHeight="1">
      <c r="A32" s="1" t="s">
        <v>226</v>
      </c>
      <c r="B32" s="1" t="s">
        <v>227</v>
      </c>
      <c r="C32" s="1" t="s">
        <v>228</v>
      </c>
      <c r="D32" s="1" t="s">
        <v>229</v>
      </c>
      <c r="E32" s="1" t="s">
        <v>230</v>
      </c>
      <c r="F32" s="1" t="s">
        <v>55</v>
      </c>
      <c r="G32" s="3" t="s">
        <v>231</v>
      </c>
      <c r="H32" s="1" t="s">
        <v>232</v>
      </c>
      <c r="I32" s="1" t="s">
        <v>234</v>
      </c>
      <c r="J32" s="1"/>
    </row>
    <row r="33" spans="1:10" ht="12.75" customHeight="1">
      <c r="A33" s="1" t="s">
        <v>235</v>
      </c>
      <c r="B33" s="1" t="s">
        <v>236</v>
      </c>
      <c r="C33" s="1" t="s">
        <v>237</v>
      </c>
      <c r="D33" s="1" t="s">
        <v>238</v>
      </c>
      <c r="E33" s="1" t="s">
        <v>240</v>
      </c>
      <c r="F33" s="1" t="s">
        <v>241</v>
      </c>
      <c r="G33" s="3" t="s">
        <v>242</v>
      </c>
      <c r="H33" s="1" t="s">
        <v>243</v>
      </c>
      <c r="I33" s="1" t="s">
        <v>244</v>
      </c>
      <c r="J33" s="1"/>
    </row>
    <row r="34" spans="1:10" ht="12.75" customHeight="1">
      <c r="A34" s="1" t="s">
        <v>246</v>
      </c>
      <c r="B34" s="1" t="s">
        <v>247</v>
      </c>
      <c r="C34" s="1" t="s">
        <v>248</v>
      </c>
      <c r="D34" s="1" t="s">
        <v>249</v>
      </c>
      <c r="E34" s="1" t="s">
        <v>251</v>
      </c>
      <c r="F34" s="1" t="s">
        <v>198</v>
      </c>
      <c r="G34" s="3" t="s">
        <v>253</v>
      </c>
      <c r="H34" s="1" t="s">
        <v>254</v>
      </c>
      <c r="I34" s="1" t="s">
        <v>255</v>
      </c>
      <c r="J34" s="1"/>
    </row>
    <row r="35" spans="1:10" ht="12.75" customHeight="1">
      <c r="A35" s="1" t="s">
        <v>256</v>
      </c>
      <c r="B35" s="1" t="s">
        <v>258</v>
      </c>
      <c r="C35" s="1" t="s">
        <v>259</v>
      </c>
      <c r="D35" s="1" t="s">
        <v>260</v>
      </c>
      <c r="E35" s="1" t="s">
        <v>261</v>
      </c>
      <c r="F35" s="1" t="s">
        <v>241</v>
      </c>
      <c r="G35" s="3" t="s">
        <v>263</v>
      </c>
      <c r="H35" s="1" t="s">
        <v>264</v>
      </c>
      <c r="I35" s="1" t="s">
        <v>265</v>
      </c>
      <c r="J35" s="1"/>
    </row>
    <row r="36" spans="1:10" ht="12.75" customHeight="1">
      <c r="A36" s="1" t="s">
        <v>267</v>
      </c>
      <c r="B36" s="1" t="s">
        <v>268</v>
      </c>
      <c r="C36" s="1" t="s">
        <v>269</v>
      </c>
      <c r="D36" s="1" t="s">
        <v>270</v>
      </c>
      <c r="E36" s="1" t="s">
        <v>272</v>
      </c>
      <c r="F36" s="1" t="s">
        <v>273</v>
      </c>
      <c r="G36" s="3" t="s">
        <v>275</v>
      </c>
      <c r="H36" s="1" t="s">
        <v>276</v>
      </c>
      <c r="I36" s="1" t="s">
        <v>277</v>
      </c>
      <c r="J36" s="1"/>
    </row>
    <row r="37" spans="1:10" ht="12.75" customHeight="1">
      <c r="A37" s="1" t="s">
        <v>279</v>
      </c>
      <c r="B37" s="1" t="s">
        <v>280</v>
      </c>
      <c r="C37" s="1" t="s">
        <v>281</v>
      </c>
      <c r="D37" s="1" t="s">
        <v>282</v>
      </c>
      <c r="E37" s="1" t="s">
        <v>283</v>
      </c>
      <c r="F37" s="1" t="s">
        <v>45</v>
      </c>
      <c r="G37" s="3" t="s">
        <v>284</v>
      </c>
      <c r="H37" s="1" t="s">
        <v>285</v>
      </c>
      <c r="I37" s="1" t="s">
        <v>286</v>
      </c>
      <c r="J37" s="1"/>
    </row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38"/>
  <sheetViews>
    <sheetView workbookViewId="0">
      <pane xSplit="4" ySplit="2" topLeftCell="I3" activePane="bottomRight" state="frozen"/>
      <selection pane="topRight" activeCell="E1" sqref="E1"/>
      <selection pane="bottomLeft" activeCell="A3" sqref="A3"/>
      <selection pane="bottomRight" activeCell="T3" sqref="T3:Z32"/>
    </sheetView>
  </sheetViews>
  <sheetFormatPr baseColWidth="10" defaultColWidth="14.5" defaultRowHeight="15" customHeight="1"/>
  <cols>
    <col min="1" max="1" width="9.5" customWidth="1"/>
    <col min="2" max="2" width="10.5" customWidth="1"/>
    <col min="3" max="3" width="9.6640625" customWidth="1"/>
    <col min="4" max="4" width="12.33203125" customWidth="1"/>
    <col min="5" max="23" width="6.5" customWidth="1"/>
    <col min="24" max="24" width="7.5" customWidth="1"/>
    <col min="25" max="25" width="6.5" customWidth="1"/>
    <col min="26" max="26" width="6.33203125" customWidth="1"/>
    <col min="27" max="30" width="5.5" customWidth="1"/>
  </cols>
  <sheetData>
    <row r="1" spans="1:30">
      <c r="A1" s="4" t="s">
        <v>154</v>
      </c>
      <c r="B1" s="4"/>
      <c r="C1" s="4"/>
      <c r="D1" s="4"/>
      <c r="E1" s="32" t="s">
        <v>185</v>
      </c>
      <c r="F1" s="29"/>
      <c r="G1" s="31" t="s">
        <v>195</v>
      </c>
      <c r="H1" s="29"/>
      <c r="I1" s="29"/>
      <c r="J1" s="32" t="s">
        <v>233</v>
      </c>
      <c r="K1" s="29"/>
      <c r="L1" s="29"/>
      <c r="M1" s="31" t="s">
        <v>239</v>
      </c>
      <c r="N1" s="29"/>
      <c r="O1" s="29"/>
      <c r="P1" s="32" t="s">
        <v>245</v>
      </c>
      <c r="Q1" s="29"/>
      <c r="R1" s="6" t="s">
        <v>250</v>
      </c>
      <c r="S1" s="5" t="s">
        <v>252</v>
      </c>
      <c r="T1" s="31" t="s">
        <v>257</v>
      </c>
      <c r="U1" s="29"/>
      <c r="V1" s="32" t="s">
        <v>262</v>
      </c>
      <c r="W1" s="29"/>
      <c r="X1" s="31" t="s">
        <v>266</v>
      </c>
      <c r="Y1" s="29"/>
      <c r="Z1" s="5" t="s">
        <v>271</v>
      </c>
      <c r="AA1" s="31" t="s">
        <v>274</v>
      </c>
      <c r="AB1" s="29"/>
      <c r="AC1" s="31" t="s">
        <v>278</v>
      </c>
      <c r="AD1" s="29"/>
    </row>
    <row r="2" spans="1:30">
      <c r="A2" s="4" t="s">
        <v>14</v>
      </c>
      <c r="B2" s="4" t="s">
        <v>16</v>
      </c>
      <c r="C2" s="4" t="s">
        <v>17</v>
      </c>
      <c r="D2" s="4" t="s">
        <v>18</v>
      </c>
      <c r="E2" s="7">
        <v>46125</v>
      </c>
      <c r="F2" s="7">
        <v>46127</v>
      </c>
      <c r="G2" s="7">
        <f>F2+5</f>
        <v>46132</v>
      </c>
      <c r="H2" s="7">
        <f>G2+2</f>
        <v>46134</v>
      </c>
      <c r="I2" s="4" t="s">
        <v>287</v>
      </c>
      <c r="J2" s="7">
        <f t="shared" ref="J2:K2" si="0">G2+7</f>
        <v>46139</v>
      </c>
      <c r="K2" s="7">
        <f t="shared" si="0"/>
        <v>46141</v>
      </c>
      <c r="L2" s="4" t="s">
        <v>288</v>
      </c>
      <c r="M2" s="7">
        <f t="shared" ref="M2:N2" si="1">J2+7</f>
        <v>46146</v>
      </c>
      <c r="N2" s="7">
        <f t="shared" si="1"/>
        <v>46148</v>
      </c>
      <c r="O2" s="4" t="s">
        <v>289</v>
      </c>
      <c r="P2" s="7">
        <f t="shared" ref="P2:Q2" si="2">M2+7</f>
        <v>46153</v>
      </c>
      <c r="Q2" s="7">
        <f t="shared" si="2"/>
        <v>46155</v>
      </c>
      <c r="R2" s="7">
        <f>Q2+7</f>
        <v>46162</v>
      </c>
      <c r="S2" s="7">
        <v>46167</v>
      </c>
      <c r="T2" s="7">
        <f>S2+7</f>
        <v>46174</v>
      </c>
      <c r="U2" s="7">
        <f>T2+2</f>
        <v>46176</v>
      </c>
      <c r="V2" s="7">
        <f t="shared" ref="V2:Z2" si="3">T2+7</f>
        <v>46181</v>
      </c>
      <c r="W2" s="7">
        <f t="shared" si="3"/>
        <v>46183</v>
      </c>
      <c r="X2" s="7">
        <f t="shared" si="3"/>
        <v>46188</v>
      </c>
      <c r="Y2" s="7">
        <f t="shared" si="3"/>
        <v>46190</v>
      </c>
      <c r="Z2" s="7">
        <f t="shared" si="3"/>
        <v>46195</v>
      </c>
      <c r="AA2" s="4" t="s">
        <v>290</v>
      </c>
      <c r="AB2" s="6" t="s">
        <v>291</v>
      </c>
      <c r="AC2" s="4" t="s">
        <v>290</v>
      </c>
      <c r="AD2" s="6" t="s">
        <v>291</v>
      </c>
    </row>
    <row r="3" spans="1:30">
      <c r="A3" s="1" t="s">
        <v>24</v>
      </c>
      <c r="B3" s="1" t="s">
        <v>26</v>
      </c>
      <c r="C3" s="1" t="s">
        <v>27</v>
      </c>
      <c r="D3" s="1" t="s">
        <v>28</v>
      </c>
      <c r="E3" s="8"/>
      <c r="F3" s="8"/>
      <c r="G3" s="8" t="s">
        <v>292</v>
      </c>
      <c r="H3" s="8" t="s">
        <v>292</v>
      </c>
      <c r="I3" s="8"/>
      <c r="J3" s="8" t="s">
        <v>292</v>
      </c>
      <c r="K3" s="8" t="s">
        <v>292</v>
      </c>
      <c r="L3" s="8"/>
      <c r="M3" s="8"/>
      <c r="N3" s="8"/>
      <c r="O3" s="8"/>
      <c r="P3" s="8">
        <v>2</v>
      </c>
      <c r="Q3" s="8"/>
      <c r="R3" s="8"/>
      <c r="S3" s="8"/>
      <c r="T3" s="8"/>
      <c r="U3" s="8"/>
      <c r="V3" s="9">
        <v>2</v>
      </c>
      <c r="W3" s="8">
        <v>1</v>
      </c>
      <c r="X3" s="8"/>
      <c r="Y3" s="8" t="s">
        <v>293</v>
      </c>
      <c r="Z3" s="9">
        <v>2</v>
      </c>
      <c r="AA3" s="4">
        <f t="shared" ref="AA3:AA32" si="4">COUNTA(E3:Z3)</f>
        <v>9</v>
      </c>
      <c r="AB3" s="10">
        <f t="shared" ref="AB3:AB12" si="5">AA3/(COUNTA(E$2:Z$2)-COUNTIF(E$2:Z$2,"prepa*"))</f>
        <v>0.47368421052631576</v>
      </c>
      <c r="AC3" s="4">
        <f t="shared" ref="AC3:AC33" si="6">SUM(E3:Z3)</f>
        <v>7</v>
      </c>
      <c r="AD3" s="10">
        <f t="shared" ref="AD3:AD12" si="7">AC3/(COUNTA(E$2:Z$2)-COUNTIF(E$2:Z$2,"prepa*"))</f>
        <v>0.36842105263157893</v>
      </c>
    </row>
    <row r="4" spans="1:30">
      <c r="A4" s="1" t="s">
        <v>33</v>
      </c>
      <c r="B4" s="1" t="s">
        <v>35</v>
      </c>
      <c r="C4" s="1" t="s">
        <v>36</v>
      </c>
      <c r="D4" s="1" t="s">
        <v>37</v>
      </c>
      <c r="E4" s="8" t="s">
        <v>292</v>
      </c>
      <c r="F4" s="8" t="s">
        <v>292</v>
      </c>
      <c r="G4" s="8" t="s">
        <v>292</v>
      </c>
      <c r="H4" s="8" t="s">
        <v>293</v>
      </c>
      <c r="I4" s="8"/>
      <c r="J4" s="8" t="s">
        <v>292</v>
      </c>
      <c r="K4" s="8">
        <v>2</v>
      </c>
      <c r="L4" s="8"/>
      <c r="M4" s="8" t="s">
        <v>292</v>
      </c>
      <c r="N4" s="8">
        <v>2</v>
      </c>
      <c r="O4" s="8"/>
      <c r="P4" s="8">
        <v>1</v>
      </c>
      <c r="Q4" s="8"/>
      <c r="R4" s="8"/>
      <c r="S4" s="8">
        <v>1</v>
      </c>
      <c r="T4" s="8" t="s">
        <v>292</v>
      </c>
      <c r="U4" s="8"/>
      <c r="V4" s="8"/>
      <c r="W4" s="8"/>
      <c r="X4" s="8"/>
      <c r="Y4" s="8" t="s">
        <v>292</v>
      </c>
      <c r="Z4" s="8"/>
      <c r="AA4" s="4">
        <f t="shared" si="4"/>
        <v>12</v>
      </c>
      <c r="AB4" s="10">
        <f t="shared" si="5"/>
        <v>0.63157894736842102</v>
      </c>
      <c r="AC4" s="4">
        <f t="shared" si="6"/>
        <v>6</v>
      </c>
      <c r="AD4" s="10">
        <f t="shared" si="7"/>
        <v>0.31578947368421051</v>
      </c>
    </row>
    <row r="5" spans="1:30">
      <c r="A5" s="1" t="s">
        <v>42</v>
      </c>
      <c r="B5" s="1" t="s">
        <v>44</v>
      </c>
      <c r="C5" s="1" t="s">
        <v>45</v>
      </c>
      <c r="D5" s="1" t="s">
        <v>46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4">
        <f t="shared" si="4"/>
        <v>0</v>
      </c>
      <c r="AB5" s="10">
        <f t="shared" si="5"/>
        <v>0</v>
      </c>
      <c r="AC5" s="4">
        <f t="shared" si="6"/>
        <v>0</v>
      </c>
      <c r="AD5" s="10">
        <f t="shared" si="7"/>
        <v>0</v>
      </c>
    </row>
    <row r="6" spans="1:30">
      <c r="A6" s="1" t="s">
        <v>51</v>
      </c>
      <c r="B6" s="1" t="s">
        <v>53</v>
      </c>
      <c r="C6" s="1" t="s">
        <v>54</v>
      </c>
      <c r="D6" s="1" t="s">
        <v>55</v>
      </c>
      <c r="E6" s="8"/>
      <c r="F6" s="8" t="s">
        <v>292</v>
      </c>
      <c r="G6" s="8"/>
      <c r="H6" s="8"/>
      <c r="I6" s="8"/>
      <c r="J6" s="8">
        <v>1</v>
      </c>
      <c r="K6" s="8">
        <v>2</v>
      </c>
      <c r="L6" s="8"/>
      <c r="M6" s="8">
        <v>2</v>
      </c>
      <c r="N6" s="8"/>
      <c r="O6" s="8"/>
      <c r="P6" s="8">
        <v>2</v>
      </c>
      <c r="Q6" s="8"/>
      <c r="R6" s="8">
        <v>1</v>
      </c>
      <c r="S6" s="8"/>
      <c r="T6" s="8"/>
      <c r="U6" s="8"/>
      <c r="V6" s="8">
        <v>2</v>
      </c>
      <c r="W6" s="8"/>
      <c r="X6" s="8"/>
      <c r="Y6" s="8"/>
      <c r="Z6" s="8"/>
      <c r="AA6" s="4">
        <f t="shared" si="4"/>
        <v>7</v>
      </c>
      <c r="AB6" s="10">
        <f t="shared" si="5"/>
        <v>0.36842105263157893</v>
      </c>
      <c r="AC6" s="4">
        <f t="shared" si="6"/>
        <v>10</v>
      </c>
      <c r="AD6" s="10">
        <f t="shared" si="7"/>
        <v>0.52631578947368418</v>
      </c>
    </row>
    <row r="7" spans="1:30">
      <c r="A7" s="1" t="s">
        <v>60</v>
      </c>
      <c r="B7" s="1" t="s">
        <v>62</v>
      </c>
      <c r="C7" s="1" t="s">
        <v>63</v>
      </c>
      <c r="D7" s="1" t="s">
        <v>64</v>
      </c>
      <c r="E7" s="8" t="s">
        <v>292</v>
      </c>
      <c r="F7" s="8"/>
      <c r="G7" s="8" t="s">
        <v>292</v>
      </c>
      <c r="H7" s="8"/>
      <c r="I7" s="8"/>
      <c r="J7" s="8" t="s">
        <v>292</v>
      </c>
      <c r="K7" s="8">
        <v>2</v>
      </c>
      <c r="L7" s="8" t="s">
        <v>292</v>
      </c>
      <c r="M7" s="8" t="s">
        <v>292</v>
      </c>
      <c r="N7" s="8" t="s">
        <v>292</v>
      </c>
      <c r="O7" s="8" t="s">
        <v>292</v>
      </c>
      <c r="P7" s="8">
        <v>2</v>
      </c>
      <c r="Q7" s="8" t="s">
        <v>292</v>
      </c>
      <c r="R7" s="8" t="s">
        <v>292</v>
      </c>
      <c r="S7" s="8">
        <v>2</v>
      </c>
      <c r="T7" s="8" t="s">
        <v>292</v>
      </c>
      <c r="U7" s="8">
        <v>2</v>
      </c>
      <c r="V7" s="8">
        <v>2</v>
      </c>
      <c r="W7" s="8" t="s">
        <v>294</v>
      </c>
      <c r="X7" s="8" t="s">
        <v>292</v>
      </c>
      <c r="Y7" s="9">
        <v>2</v>
      </c>
      <c r="Z7" s="8"/>
      <c r="AA7" s="4">
        <f t="shared" si="4"/>
        <v>18</v>
      </c>
      <c r="AB7" s="10">
        <f t="shared" si="5"/>
        <v>0.94736842105263153</v>
      </c>
      <c r="AC7" s="4">
        <f t="shared" si="6"/>
        <v>12</v>
      </c>
      <c r="AD7" s="10">
        <f t="shared" si="7"/>
        <v>0.63157894736842102</v>
      </c>
    </row>
    <row r="8" spans="1:30">
      <c r="A8" s="1" t="s">
        <v>69</v>
      </c>
      <c r="B8" s="1" t="s">
        <v>71</v>
      </c>
      <c r="C8" s="1" t="s">
        <v>72</v>
      </c>
      <c r="D8" s="1" t="s">
        <v>73</v>
      </c>
      <c r="E8" s="8" t="s">
        <v>292</v>
      </c>
      <c r="F8" s="8">
        <v>1</v>
      </c>
      <c r="G8" s="8" t="s">
        <v>292</v>
      </c>
      <c r="H8" s="8"/>
      <c r="I8" s="8"/>
      <c r="J8" s="8"/>
      <c r="K8" s="8"/>
      <c r="L8" s="8"/>
      <c r="M8" s="8" t="s">
        <v>292</v>
      </c>
      <c r="N8" s="8"/>
      <c r="O8" s="8" t="s">
        <v>292</v>
      </c>
      <c r="P8" s="8"/>
      <c r="Q8" s="8">
        <v>1</v>
      </c>
      <c r="R8" s="8"/>
      <c r="S8" s="8"/>
      <c r="T8" s="8"/>
      <c r="U8" s="8"/>
      <c r="V8" s="8"/>
      <c r="W8" s="8"/>
      <c r="X8" s="8"/>
      <c r="Y8" s="8"/>
      <c r="Z8" s="8"/>
      <c r="AA8" s="4">
        <f t="shared" si="4"/>
        <v>6</v>
      </c>
      <c r="AB8" s="10">
        <f t="shared" si="5"/>
        <v>0.31578947368421051</v>
      </c>
      <c r="AC8" s="4">
        <f t="shared" si="6"/>
        <v>2</v>
      </c>
      <c r="AD8" s="10">
        <f t="shared" si="7"/>
        <v>0.10526315789473684</v>
      </c>
    </row>
    <row r="9" spans="1:30">
      <c r="A9" s="1" t="s">
        <v>78</v>
      </c>
      <c r="B9" s="1" t="s">
        <v>80</v>
      </c>
      <c r="C9" s="1" t="s">
        <v>81</v>
      </c>
      <c r="D9" s="1" t="s">
        <v>82</v>
      </c>
      <c r="E9" s="8">
        <v>1</v>
      </c>
      <c r="F9" s="8"/>
      <c r="G9" s="8">
        <v>3</v>
      </c>
      <c r="H9" s="8">
        <v>1</v>
      </c>
      <c r="I9" s="8"/>
      <c r="J9" s="8">
        <v>1</v>
      </c>
      <c r="K9" s="8" t="s">
        <v>292</v>
      </c>
      <c r="L9" s="8"/>
      <c r="M9" s="8">
        <v>4</v>
      </c>
      <c r="N9" s="8" t="s">
        <v>292</v>
      </c>
      <c r="O9" s="8"/>
      <c r="P9" s="8"/>
      <c r="Q9" s="8">
        <v>2</v>
      </c>
      <c r="R9" s="8"/>
      <c r="S9" s="8"/>
      <c r="T9" s="8">
        <v>2</v>
      </c>
      <c r="U9" s="8"/>
      <c r="V9" s="8"/>
      <c r="W9" s="8">
        <v>1</v>
      </c>
      <c r="X9" s="8"/>
      <c r="Y9" s="8"/>
      <c r="Z9" s="8">
        <v>4</v>
      </c>
      <c r="AA9" s="4">
        <f t="shared" si="4"/>
        <v>11</v>
      </c>
      <c r="AB9" s="10">
        <f t="shared" si="5"/>
        <v>0.57894736842105265</v>
      </c>
      <c r="AC9" s="4">
        <f t="shared" si="6"/>
        <v>19</v>
      </c>
      <c r="AD9" s="10">
        <f t="shared" si="7"/>
        <v>1</v>
      </c>
    </row>
    <row r="10" spans="1:30">
      <c r="A10" s="1" t="s">
        <v>87</v>
      </c>
      <c r="B10" s="1" t="s">
        <v>89</v>
      </c>
      <c r="C10" s="1" t="s">
        <v>90</v>
      </c>
      <c r="D10" s="1"/>
      <c r="E10" s="8"/>
      <c r="F10" s="8" t="s">
        <v>292</v>
      </c>
      <c r="G10" s="8" t="s">
        <v>292</v>
      </c>
      <c r="H10" s="8" t="s">
        <v>292</v>
      </c>
      <c r="I10" s="8"/>
      <c r="J10" s="8" t="s">
        <v>292</v>
      </c>
      <c r="K10" s="8"/>
      <c r="L10" s="8"/>
      <c r="M10" s="8" t="s">
        <v>292</v>
      </c>
      <c r="N10" s="8"/>
      <c r="O10" s="8"/>
      <c r="P10" s="8"/>
      <c r="Q10" s="8"/>
      <c r="R10" s="8"/>
      <c r="S10" s="8" t="s">
        <v>295</v>
      </c>
      <c r="T10" s="8" t="s">
        <v>292</v>
      </c>
      <c r="U10" s="8" t="s">
        <v>292</v>
      </c>
      <c r="V10" s="8"/>
      <c r="W10" s="8"/>
      <c r="X10" s="8"/>
      <c r="Y10" s="8" t="s">
        <v>292</v>
      </c>
      <c r="Z10" s="8"/>
      <c r="AA10" s="4">
        <f t="shared" si="4"/>
        <v>9</v>
      </c>
      <c r="AB10" s="10">
        <f t="shared" si="5"/>
        <v>0.47368421052631576</v>
      </c>
      <c r="AC10" s="4">
        <f t="shared" si="6"/>
        <v>0</v>
      </c>
      <c r="AD10" s="10">
        <f t="shared" si="7"/>
        <v>0</v>
      </c>
    </row>
    <row r="11" spans="1:30" hidden="1">
      <c r="A11" s="1" t="s">
        <v>95</v>
      </c>
      <c r="B11" s="1" t="s">
        <v>97</v>
      </c>
      <c r="C11" s="1" t="s">
        <v>98</v>
      </c>
      <c r="D11" s="1" t="s">
        <v>99</v>
      </c>
      <c r="E11" s="8"/>
      <c r="F11" s="8"/>
      <c r="G11" s="8" t="s">
        <v>292</v>
      </c>
      <c r="H11" s="8" t="s">
        <v>292</v>
      </c>
      <c r="I11" s="8"/>
      <c r="J11" s="8"/>
      <c r="K11" s="8" t="s">
        <v>292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4">
        <f t="shared" si="4"/>
        <v>3</v>
      </c>
      <c r="AB11" s="10">
        <f t="shared" si="5"/>
        <v>0.15789473684210525</v>
      </c>
      <c r="AC11" s="4">
        <f t="shared" si="6"/>
        <v>0</v>
      </c>
      <c r="AD11" s="10">
        <f t="shared" si="7"/>
        <v>0</v>
      </c>
    </row>
    <row r="12" spans="1:30">
      <c r="A12" s="1" t="s">
        <v>104</v>
      </c>
      <c r="B12" s="1" t="s">
        <v>106</v>
      </c>
      <c r="C12" s="1" t="s">
        <v>107</v>
      </c>
      <c r="D12" s="1" t="s">
        <v>108</v>
      </c>
      <c r="E12" s="8" t="s">
        <v>292</v>
      </c>
      <c r="F12" s="8"/>
      <c r="G12" s="8" t="s">
        <v>292</v>
      </c>
      <c r="H12" s="8" t="s">
        <v>292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 t="s">
        <v>292</v>
      </c>
      <c r="W12" s="8">
        <v>1</v>
      </c>
      <c r="X12" s="8"/>
      <c r="Y12" s="8">
        <v>2</v>
      </c>
      <c r="Z12" s="8"/>
      <c r="AA12" s="4">
        <f t="shared" si="4"/>
        <v>6</v>
      </c>
      <c r="AB12" s="10">
        <f t="shared" si="5"/>
        <v>0.31578947368421051</v>
      </c>
      <c r="AC12" s="4">
        <f t="shared" si="6"/>
        <v>3</v>
      </c>
      <c r="AD12" s="10">
        <f t="shared" si="7"/>
        <v>0.15789473684210525</v>
      </c>
    </row>
    <row r="13" spans="1:30">
      <c r="A13" s="1" t="s">
        <v>113</v>
      </c>
      <c r="B13" s="1" t="s">
        <v>115</v>
      </c>
      <c r="C13" s="1" t="s">
        <v>116</v>
      </c>
      <c r="D13" s="1" t="s">
        <v>117</v>
      </c>
      <c r="E13" s="8"/>
      <c r="F13" s="8" t="s">
        <v>292</v>
      </c>
      <c r="G13" s="8" t="s">
        <v>292</v>
      </c>
      <c r="H13" s="8"/>
      <c r="I13" s="8"/>
      <c r="J13" s="8" t="s">
        <v>292</v>
      </c>
      <c r="K13" s="8">
        <v>2</v>
      </c>
      <c r="L13" s="8"/>
      <c r="M13" s="8" t="s">
        <v>292</v>
      </c>
      <c r="N13" s="8">
        <v>2</v>
      </c>
      <c r="O13" s="8"/>
      <c r="P13" s="11" t="s">
        <v>296</v>
      </c>
      <c r="Q13" s="11" t="s">
        <v>296</v>
      </c>
      <c r="R13" s="11" t="s">
        <v>296</v>
      </c>
      <c r="S13" s="11" t="s">
        <v>296</v>
      </c>
      <c r="T13" s="8" t="s">
        <v>292</v>
      </c>
      <c r="U13" s="8" t="s">
        <v>292</v>
      </c>
      <c r="V13" s="8" t="s">
        <v>292</v>
      </c>
      <c r="W13" s="8" t="s">
        <v>292</v>
      </c>
      <c r="X13" s="8" t="s">
        <v>293</v>
      </c>
      <c r="Y13" s="8" t="s">
        <v>292</v>
      </c>
      <c r="Z13" s="8" t="s">
        <v>292</v>
      </c>
      <c r="AA13" s="4">
        <f t="shared" si="4"/>
        <v>17</v>
      </c>
      <c r="AB13" s="10">
        <f>AA13/(COUNTA(E$2:Z$2)-COUNTIF(E$2:Z$2,"prepa*")-4)</f>
        <v>1.1333333333333333</v>
      </c>
      <c r="AC13" s="4">
        <f t="shared" si="6"/>
        <v>4</v>
      </c>
      <c r="AD13" s="10">
        <f>AC13/(COUNTA(E$2:Z$2)-COUNTIF(E$2:Z$2,"prepa*")-4)</f>
        <v>0.26666666666666666</v>
      </c>
    </row>
    <row r="14" spans="1:30">
      <c r="A14" s="1" t="s">
        <v>122</v>
      </c>
      <c r="B14" s="1" t="s">
        <v>124</v>
      </c>
      <c r="C14" s="1" t="s">
        <v>125</v>
      </c>
      <c r="D14" s="1" t="s">
        <v>126</v>
      </c>
      <c r="E14" s="8"/>
      <c r="F14" s="8"/>
      <c r="G14" s="8"/>
      <c r="H14" s="8"/>
      <c r="I14" s="8"/>
      <c r="J14" s="8" t="s">
        <v>292</v>
      </c>
      <c r="K14" s="8">
        <v>2</v>
      </c>
      <c r="L14" s="8"/>
      <c r="M14" s="8"/>
      <c r="N14" s="8"/>
      <c r="O14" s="8"/>
      <c r="P14" s="8" t="s">
        <v>292</v>
      </c>
      <c r="Q14" s="8"/>
      <c r="R14" s="8"/>
      <c r="S14" s="8" t="s">
        <v>292</v>
      </c>
      <c r="T14" s="8"/>
      <c r="U14" s="8"/>
      <c r="V14" s="8"/>
      <c r="W14" s="8"/>
      <c r="X14" s="8"/>
      <c r="Y14" s="8"/>
      <c r="Z14" s="8"/>
      <c r="AA14" s="4">
        <f t="shared" si="4"/>
        <v>4</v>
      </c>
      <c r="AB14" s="10">
        <f t="shared" ref="AB14:AB32" si="8">AA14/(COUNTA(E$2:Z$2)-COUNTIF(E$2:Z$2,"prepa*"))</f>
        <v>0.21052631578947367</v>
      </c>
      <c r="AC14" s="4">
        <f t="shared" si="6"/>
        <v>2</v>
      </c>
      <c r="AD14" s="10">
        <f t="shared" ref="AD14:AD32" si="9">AC14/(COUNTA(E$2:Z$2)-COUNTIF(E$2:Z$2,"prepa*"))</f>
        <v>0.10526315789473684</v>
      </c>
    </row>
    <row r="15" spans="1:30">
      <c r="A15" s="1" t="s">
        <v>131</v>
      </c>
      <c r="B15" s="1" t="s">
        <v>133</v>
      </c>
      <c r="C15" s="1" t="s">
        <v>134</v>
      </c>
      <c r="D15" s="1" t="s">
        <v>135</v>
      </c>
      <c r="E15" s="8"/>
      <c r="F15" s="8"/>
      <c r="G15" s="8"/>
      <c r="H15" s="8"/>
      <c r="I15" s="8"/>
      <c r="J15" s="8"/>
      <c r="K15" s="8"/>
      <c r="L15" s="8"/>
      <c r="M15" s="8">
        <v>3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4">
        <f t="shared" si="4"/>
        <v>1</v>
      </c>
      <c r="AB15" s="10">
        <f t="shared" si="8"/>
        <v>5.2631578947368418E-2</v>
      </c>
      <c r="AC15" s="4">
        <f t="shared" si="6"/>
        <v>3</v>
      </c>
      <c r="AD15" s="10">
        <f t="shared" si="9"/>
        <v>0.15789473684210525</v>
      </c>
    </row>
    <row r="16" spans="1:30">
      <c r="A16" s="1" t="s">
        <v>140</v>
      </c>
      <c r="B16" s="1" t="s">
        <v>142</v>
      </c>
      <c r="C16" s="1" t="s">
        <v>108</v>
      </c>
      <c r="D16" s="1" t="s">
        <v>99</v>
      </c>
      <c r="E16" s="8" t="s">
        <v>292</v>
      </c>
      <c r="F16" s="8" t="s">
        <v>292</v>
      </c>
      <c r="G16" s="8" t="s">
        <v>292</v>
      </c>
      <c r="H16" s="8" t="s">
        <v>295</v>
      </c>
      <c r="I16" s="8"/>
      <c r="J16" s="8"/>
      <c r="K16" s="8"/>
      <c r="L16" s="8"/>
      <c r="M16" s="8"/>
      <c r="N16" s="8" t="s">
        <v>292</v>
      </c>
      <c r="O16" s="8"/>
      <c r="P16" s="8"/>
      <c r="Q16" s="8"/>
      <c r="R16" s="8"/>
      <c r="S16" s="8"/>
      <c r="T16" s="8" t="s">
        <v>292</v>
      </c>
      <c r="U16" s="9">
        <v>2</v>
      </c>
      <c r="V16" s="8"/>
      <c r="W16" s="8"/>
      <c r="X16" s="8"/>
      <c r="Y16" s="8"/>
      <c r="Z16" s="8"/>
      <c r="AA16" s="4">
        <f t="shared" si="4"/>
        <v>7</v>
      </c>
      <c r="AB16" s="10">
        <f t="shared" si="8"/>
        <v>0.36842105263157893</v>
      </c>
      <c r="AC16" s="4">
        <f t="shared" si="6"/>
        <v>2</v>
      </c>
      <c r="AD16" s="10">
        <f t="shared" si="9"/>
        <v>0.10526315789473684</v>
      </c>
    </row>
    <row r="17" spans="1:30">
      <c r="A17" s="1" t="s">
        <v>147</v>
      </c>
      <c r="B17" s="1" t="s">
        <v>149</v>
      </c>
      <c r="C17" s="1" t="s">
        <v>55</v>
      </c>
      <c r="D17" s="1" t="s">
        <v>150</v>
      </c>
      <c r="E17" s="8" t="s">
        <v>292</v>
      </c>
      <c r="F17" s="8"/>
      <c r="G17" s="8"/>
      <c r="H17" s="8"/>
      <c r="I17" s="8"/>
      <c r="J17" s="8"/>
      <c r="K17" s="8" t="s">
        <v>292</v>
      </c>
      <c r="L17" s="8"/>
      <c r="M17" s="8" t="s">
        <v>292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4">
        <f t="shared" si="4"/>
        <v>3</v>
      </c>
      <c r="AB17" s="10">
        <f t="shared" si="8"/>
        <v>0.15789473684210525</v>
      </c>
      <c r="AC17" s="4">
        <f t="shared" si="6"/>
        <v>0</v>
      </c>
      <c r="AD17" s="10">
        <f t="shared" si="9"/>
        <v>0</v>
      </c>
    </row>
    <row r="18" spans="1:30">
      <c r="A18" s="1" t="s">
        <v>156</v>
      </c>
      <c r="B18" s="1" t="s">
        <v>149</v>
      </c>
      <c r="C18" s="1" t="s">
        <v>158</v>
      </c>
      <c r="D18" s="1" t="s">
        <v>159</v>
      </c>
      <c r="E18" s="8">
        <v>1</v>
      </c>
      <c r="F18" s="8"/>
      <c r="G18" s="8" t="s">
        <v>292</v>
      </c>
      <c r="H18" s="8"/>
      <c r="I18" s="8"/>
      <c r="J18" s="8"/>
      <c r="K18" s="8" t="s">
        <v>292</v>
      </c>
      <c r="L18" s="8"/>
      <c r="M18" s="8" t="s">
        <v>292</v>
      </c>
      <c r="N18" s="8">
        <v>3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 t="s">
        <v>292</v>
      </c>
      <c r="Z18" s="8"/>
      <c r="AA18" s="4">
        <f t="shared" si="4"/>
        <v>6</v>
      </c>
      <c r="AB18" s="10">
        <f t="shared" si="8"/>
        <v>0.31578947368421051</v>
      </c>
      <c r="AC18" s="4">
        <f t="shared" si="6"/>
        <v>4</v>
      </c>
      <c r="AD18" s="10">
        <f t="shared" si="9"/>
        <v>0.21052631578947367</v>
      </c>
    </row>
    <row r="19" spans="1:30">
      <c r="A19" s="1" t="s">
        <v>163</v>
      </c>
      <c r="B19" s="1" t="s">
        <v>165</v>
      </c>
      <c r="C19" s="1" t="s">
        <v>99</v>
      </c>
      <c r="D19" s="1" t="s">
        <v>166</v>
      </c>
      <c r="E19" s="8" t="s">
        <v>292</v>
      </c>
      <c r="F19" s="8" t="s">
        <v>292</v>
      </c>
      <c r="G19" s="8"/>
      <c r="H19" s="8" t="s">
        <v>292</v>
      </c>
      <c r="I19" s="8"/>
      <c r="J19" s="8" t="s">
        <v>292</v>
      </c>
      <c r="K19" s="8">
        <v>2</v>
      </c>
      <c r="L19" s="8"/>
      <c r="M19" s="8"/>
      <c r="N19" s="8"/>
      <c r="O19" s="8"/>
      <c r="P19" s="8"/>
      <c r="Q19" s="8"/>
      <c r="R19" s="8"/>
      <c r="S19" s="8" t="s">
        <v>295</v>
      </c>
      <c r="T19" s="8"/>
      <c r="U19" s="8" t="s">
        <v>292</v>
      </c>
      <c r="V19" s="8"/>
      <c r="W19" s="8"/>
      <c r="X19" s="8"/>
      <c r="Y19" s="8"/>
      <c r="Z19" s="8"/>
      <c r="AA19" s="4">
        <f t="shared" si="4"/>
        <v>7</v>
      </c>
      <c r="AB19" s="10">
        <f t="shared" si="8"/>
        <v>0.36842105263157893</v>
      </c>
      <c r="AC19" s="4">
        <f t="shared" si="6"/>
        <v>2</v>
      </c>
      <c r="AD19" s="10">
        <f t="shared" si="9"/>
        <v>0.10526315789473684</v>
      </c>
    </row>
    <row r="20" spans="1:30">
      <c r="A20" s="1" t="s">
        <v>171</v>
      </c>
      <c r="B20" s="1" t="s">
        <v>173</v>
      </c>
      <c r="C20" s="1" t="s">
        <v>174</v>
      </c>
      <c r="D20" s="1" t="s">
        <v>45</v>
      </c>
      <c r="E20" s="8">
        <v>1</v>
      </c>
      <c r="F20" s="8">
        <v>1</v>
      </c>
      <c r="G20" s="8" t="s">
        <v>292</v>
      </c>
      <c r="H20" s="8" t="s">
        <v>292</v>
      </c>
      <c r="I20" s="8"/>
      <c r="J20" s="8"/>
      <c r="K20" s="8"/>
      <c r="L20" s="8"/>
      <c r="M20" s="8" t="s">
        <v>292</v>
      </c>
      <c r="N20" s="8">
        <v>2</v>
      </c>
      <c r="O20" s="8"/>
      <c r="P20" s="8"/>
      <c r="Q20" s="8" t="s">
        <v>292</v>
      </c>
      <c r="R20" s="8"/>
      <c r="S20" s="8"/>
      <c r="T20" s="8"/>
      <c r="U20" s="8"/>
      <c r="V20" s="8"/>
      <c r="W20" s="8"/>
      <c r="X20" s="8"/>
      <c r="Y20" s="8"/>
      <c r="Z20" s="8"/>
      <c r="AA20" s="4">
        <f t="shared" si="4"/>
        <v>7</v>
      </c>
      <c r="AB20" s="10">
        <f t="shared" si="8"/>
        <v>0.36842105263157893</v>
      </c>
      <c r="AC20" s="4">
        <f t="shared" si="6"/>
        <v>4</v>
      </c>
      <c r="AD20" s="10">
        <f t="shared" si="9"/>
        <v>0.21052631578947367</v>
      </c>
    </row>
    <row r="21" spans="1:30">
      <c r="A21" s="1" t="s">
        <v>179</v>
      </c>
      <c r="B21" s="1" t="s">
        <v>173</v>
      </c>
      <c r="C21" s="1" t="s">
        <v>54</v>
      </c>
      <c r="D21" s="1" t="s">
        <v>55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4">
        <f t="shared" si="4"/>
        <v>0</v>
      </c>
      <c r="AB21" s="10">
        <f t="shared" si="8"/>
        <v>0</v>
      </c>
      <c r="AC21" s="4">
        <f t="shared" si="6"/>
        <v>0</v>
      </c>
      <c r="AD21" s="10">
        <f t="shared" si="9"/>
        <v>0</v>
      </c>
    </row>
    <row r="22" spans="1:30">
      <c r="A22" s="1" t="s">
        <v>186</v>
      </c>
      <c r="B22" s="1" t="s">
        <v>188</v>
      </c>
      <c r="C22" s="1" t="s">
        <v>189</v>
      </c>
      <c r="D22" s="1" t="s">
        <v>55</v>
      </c>
      <c r="E22" s="8" t="s">
        <v>292</v>
      </c>
      <c r="F22" s="8">
        <v>1</v>
      </c>
      <c r="G22" s="8" t="s">
        <v>292</v>
      </c>
      <c r="H22" s="12" t="s">
        <v>295</v>
      </c>
      <c r="I22" s="8"/>
      <c r="J22" s="8" t="s">
        <v>295</v>
      </c>
      <c r="K22" s="8">
        <v>2</v>
      </c>
      <c r="L22" s="8"/>
      <c r="M22" s="8" t="s">
        <v>292</v>
      </c>
      <c r="N22" s="8">
        <v>2</v>
      </c>
      <c r="O22" s="8"/>
      <c r="P22" s="8" t="s">
        <v>295</v>
      </c>
      <c r="Q22" s="8">
        <v>1</v>
      </c>
      <c r="R22" s="8"/>
      <c r="S22" s="8"/>
      <c r="T22" s="8">
        <v>1</v>
      </c>
      <c r="U22" s="9">
        <v>2</v>
      </c>
      <c r="V22" s="8" t="s">
        <v>295</v>
      </c>
      <c r="W22" s="8"/>
      <c r="X22" s="13">
        <v>1</v>
      </c>
      <c r="Y22" s="8"/>
      <c r="Z22" s="8" t="s">
        <v>295</v>
      </c>
      <c r="AA22" s="4">
        <f t="shared" si="4"/>
        <v>15</v>
      </c>
      <c r="AB22" s="10">
        <f t="shared" si="8"/>
        <v>0.78947368421052633</v>
      </c>
      <c r="AC22" s="4">
        <f t="shared" si="6"/>
        <v>10</v>
      </c>
      <c r="AD22" s="10">
        <f t="shared" si="9"/>
        <v>0.52631578947368418</v>
      </c>
    </row>
    <row r="23" spans="1:30">
      <c r="A23" s="1" t="s">
        <v>194</v>
      </c>
      <c r="B23" s="1" t="s">
        <v>197</v>
      </c>
      <c r="C23" s="1" t="s">
        <v>55</v>
      </c>
      <c r="D23" s="1" t="s">
        <v>198</v>
      </c>
      <c r="E23" s="8"/>
      <c r="F23" s="8" t="s">
        <v>292</v>
      </c>
      <c r="G23" s="8"/>
      <c r="H23" s="8"/>
      <c r="I23" s="8"/>
      <c r="J23" s="8" t="s">
        <v>292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4">
        <f t="shared" si="4"/>
        <v>2</v>
      </c>
      <c r="AB23" s="10">
        <f t="shared" si="8"/>
        <v>0.10526315789473684</v>
      </c>
      <c r="AC23" s="4">
        <f t="shared" si="6"/>
        <v>0</v>
      </c>
      <c r="AD23" s="10">
        <f t="shared" si="9"/>
        <v>0</v>
      </c>
    </row>
    <row r="24" spans="1:30">
      <c r="A24" s="1" t="s">
        <v>203</v>
      </c>
      <c r="B24" s="1" t="s">
        <v>205</v>
      </c>
      <c r="C24" s="1" t="s">
        <v>206</v>
      </c>
      <c r="D24" s="1" t="s">
        <v>54</v>
      </c>
      <c r="E24" s="8" t="s">
        <v>292</v>
      </c>
      <c r="F24" s="8"/>
      <c r="G24" s="8">
        <v>4</v>
      </c>
      <c r="H24" s="8">
        <v>1</v>
      </c>
      <c r="I24" s="8"/>
      <c r="J24" s="8"/>
      <c r="K24" s="8"/>
      <c r="L24" s="8"/>
      <c r="M24" s="8"/>
      <c r="N24" s="8">
        <v>1</v>
      </c>
      <c r="O24" s="8"/>
      <c r="P24" s="8" t="s">
        <v>295</v>
      </c>
      <c r="Q24" s="9">
        <v>2</v>
      </c>
      <c r="R24" s="8"/>
      <c r="S24" s="9">
        <v>2</v>
      </c>
      <c r="T24" s="8"/>
      <c r="U24" s="8"/>
      <c r="V24" s="8"/>
      <c r="W24" s="8"/>
      <c r="X24" s="9">
        <v>5</v>
      </c>
      <c r="Y24" s="8"/>
      <c r="Z24" s="8" t="s">
        <v>295</v>
      </c>
      <c r="AA24" s="4">
        <f t="shared" si="4"/>
        <v>9</v>
      </c>
      <c r="AB24" s="10">
        <f t="shared" si="8"/>
        <v>0.47368421052631576</v>
      </c>
      <c r="AC24" s="4">
        <f t="shared" si="6"/>
        <v>15</v>
      </c>
      <c r="AD24" s="10">
        <f t="shared" si="9"/>
        <v>0.78947368421052633</v>
      </c>
    </row>
    <row r="25" spans="1:30">
      <c r="A25" s="1" t="s">
        <v>211</v>
      </c>
      <c r="B25" s="1" t="s">
        <v>213</v>
      </c>
      <c r="C25" s="1" t="s">
        <v>214</v>
      </c>
      <c r="D25" s="1" t="s">
        <v>27</v>
      </c>
      <c r="E25" s="8" t="s">
        <v>293</v>
      </c>
      <c r="F25" s="8" t="s">
        <v>292</v>
      </c>
      <c r="G25" s="8" t="s">
        <v>292</v>
      </c>
      <c r="H25" s="8"/>
      <c r="I25" s="8"/>
      <c r="J25" s="8"/>
      <c r="K25" s="8" t="s">
        <v>292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4">
        <f t="shared" si="4"/>
        <v>4</v>
      </c>
      <c r="AB25" s="10">
        <f t="shared" si="8"/>
        <v>0.21052631578947367</v>
      </c>
      <c r="AC25" s="4">
        <f t="shared" si="6"/>
        <v>0</v>
      </c>
      <c r="AD25" s="10">
        <f t="shared" si="9"/>
        <v>0</v>
      </c>
    </row>
    <row r="26" spans="1:30">
      <c r="A26" s="1" t="s">
        <v>219</v>
      </c>
      <c r="B26" s="1" t="s">
        <v>221</v>
      </c>
      <c r="C26" s="1" t="s">
        <v>222</v>
      </c>
      <c r="D26" s="1"/>
      <c r="E26" s="8"/>
      <c r="F26" s="8"/>
      <c r="G26" s="8" t="s">
        <v>293</v>
      </c>
      <c r="H26" s="8"/>
      <c r="I26" s="8"/>
      <c r="J26" s="8" t="s">
        <v>292</v>
      </c>
      <c r="K26" s="8" t="s">
        <v>292</v>
      </c>
      <c r="L26" s="8"/>
      <c r="M26" s="8" t="s">
        <v>292</v>
      </c>
      <c r="N26" s="8"/>
      <c r="O26" s="8" t="s">
        <v>292</v>
      </c>
      <c r="P26" s="8"/>
      <c r="Q26" s="8"/>
      <c r="R26" s="8" t="s">
        <v>292</v>
      </c>
      <c r="S26" s="8"/>
      <c r="T26" s="8"/>
      <c r="U26" s="8"/>
      <c r="V26" s="8"/>
      <c r="W26" s="8"/>
      <c r="X26" s="8"/>
      <c r="Y26" s="8"/>
      <c r="Z26" s="8"/>
      <c r="AA26" s="4">
        <f t="shared" si="4"/>
        <v>6</v>
      </c>
      <c r="AB26" s="10">
        <f t="shared" si="8"/>
        <v>0.31578947368421051</v>
      </c>
      <c r="AC26" s="4">
        <f t="shared" si="6"/>
        <v>0</v>
      </c>
      <c r="AD26" s="10">
        <f t="shared" si="9"/>
        <v>0</v>
      </c>
    </row>
    <row r="27" spans="1:30">
      <c r="A27" s="1" t="s">
        <v>227</v>
      </c>
      <c r="B27" s="1" t="s">
        <v>229</v>
      </c>
      <c r="C27" s="1" t="s">
        <v>230</v>
      </c>
      <c r="D27" s="1" t="s">
        <v>55</v>
      </c>
      <c r="E27" s="8"/>
      <c r="F27" s="8"/>
      <c r="G27" s="8"/>
      <c r="H27" s="8"/>
      <c r="I27" s="8"/>
      <c r="J27" s="8"/>
      <c r="K27" s="8" t="s">
        <v>292</v>
      </c>
      <c r="L27" s="8" t="s">
        <v>292</v>
      </c>
      <c r="M27" s="8" t="s">
        <v>292</v>
      </c>
      <c r="N27" s="8">
        <v>1</v>
      </c>
      <c r="O27" s="8"/>
      <c r="P27" s="8">
        <v>2</v>
      </c>
      <c r="Q27" s="8"/>
      <c r="R27" s="8">
        <v>1</v>
      </c>
      <c r="S27" s="8"/>
      <c r="T27" s="8"/>
      <c r="U27" s="8">
        <v>2</v>
      </c>
      <c r="V27" s="8"/>
      <c r="W27" s="8">
        <v>1</v>
      </c>
      <c r="X27" s="8"/>
      <c r="Y27" s="8">
        <v>2</v>
      </c>
      <c r="Z27" s="9">
        <v>2</v>
      </c>
      <c r="AA27" s="4">
        <f t="shared" si="4"/>
        <v>10</v>
      </c>
      <c r="AB27" s="10">
        <f t="shared" si="8"/>
        <v>0.52631578947368418</v>
      </c>
      <c r="AC27" s="4">
        <f t="shared" si="6"/>
        <v>11</v>
      </c>
      <c r="AD27" s="10">
        <f t="shared" si="9"/>
        <v>0.57894736842105265</v>
      </c>
    </row>
    <row r="28" spans="1:30">
      <c r="A28" s="1" t="s">
        <v>236</v>
      </c>
      <c r="B28" s="1" t="s">
        <v>238</v>
      </c>
      <c r="C28" s="1" t="s">
        <v>240</v>
      </c>
      <c r="D28" s="1" t="s">
        <v>241</v>
      </c>
      <c r="E28" s="8"/>
      <c r="F28" s="8" t="s">
        <v>292</v>
      </c>
      <c r="G28" s="8">
        <v>2</v>
      </c>
      <c r="H28" s="8"/>
      <c r="I28" s="8"/>
      <c r="J28" s="8" t="s">
        <v>292</v>
      </c>
      <c r="K28" s="8"/>
      <c r="L28" s="8"/>
      <c r="M28" s="8"/>
      <c r="N28" s="8"/>
      <c r="O28" s="8"/>
      <c r="P28" s="8"/>
      <c r="Q28" s="8"/>
      <c r="R28" s="8"/>
      <c r="S28" s="8" t="s">
        <v>295</v>
      </c>
      <c r="T28" s="8"/>
      <c r="U28" s="8"/>
      <c r="V28" s="8"/>
      <c r="W28" s="8"/>
      <c r="X28" s="8"/>
      <c r="Y28" s="8"/>
      <c r="Z28" s="8"/>
      <c r="AA28" s="4">
        <f t="shared" si="4"/>
        <v>4</v>
      </c>
      <c r="AB28" s="10">
        <f t="shared" si="8"/>
        <v>0.21052631578947367</v>
      </c>
      <c r="AC28" s="4">
        <f t="shared" si="6"/>
        <v>2</v>
      </c>
      <c r="AD28" s="10">
        <f t="shared" si="9"/>
        <v>0.10526315789473684</v>
      </c>
    </row>
    <row r="29" spans="1:30">
      <c r="A29" s="1" t="s">
        <v>247</v>
      </c>
      <c r="B29" s="1" t="s">
        <v>249</v>
      </c>
      <c r="C29" s="1" t="s">
        <v>251</v>
      </c>
      <c r="D29" s="1" t="s">
        <v>198</v>
      </c>
      <c r="E29" s="8" t="s">
        <v>292</v>
      </c>
      <c r="F29" s="8" t="s">
        <v>293</v>
      </c>
      <c r="G29" s="8">
        <v>3</v>
      </c>
      <c r="H29" s="8" t="s">
        <v>292</v>
      </c>
      <c r="I29" s="8"/>
      <c r="J29" s="8" t="s">
        <v>292</v>
      </c>
      <c r="K29" s="8">
        <v>2</v>
      </c>
      <c r="L29" s="8"/>
      <c r="M29" s="8">
        <v>2</v>
      </c>
      <c r="N29" s="8">
        <v>3</v>
      </c>
      <c r="O29" s="8"/>
      <c r="P29" s="8"/>
      <c r="Q29" s="8">
        <v>3</v>
      </c>
      <c r="R29" s="8"/>
      <c r="S29" s="8"/>
      <c r="T29" s="8"/>
      <c r="U29" s="8">
        <v>3</v>
      </c>
      <c r="V29" s="8"/>
      <c r="W29" s="8">
        <v>1</v>
      </c>
      <c r="X29" s="9">
        <v>5</v>
      </c>
      <c r="Y29" s="8"/>
      <c r="Z29" s="8">
        <v>2</v>
      </c>
      <c r="AA29" s="4">
        <f t="shared" si="4"/>
        <v>13</v>
      </c>
      <c r="AB29" s="10">
        <f t="shared" si="8"/>
        <v>0.68421052631578949</v>
      </c>
      <c r="AC29" s="4">
        <f t="shared" si="6"/>
        <v>24</v>
      </c>
      <c r="AD29" s="10">
        <f t="shared" si="9"/>
        <v>1.263157894736842</v>
      </c>
    </row>
    <row r="30" spans="1:30">
      <c r="A30" s="1" t="s">
        <v>258</v>
      </c>
      <c r="B30" s="1" t="s">
        <v>260</v>
      </c>
      <c r="C30" s="1" t="s">
        <v>261</v>
      </c>
      <c r="D30" s="1" t="s">
        <v>241</v>
      </c>
      <c r="E30" s="8" t="s">
        <v>292</v>
      </c>
      <c r="F30" s="8">
        <v>1</v>
      </c>
      <c r="G30" s="8"/>
      <c r="H30" s="8" t="s">
        <v>292</v>
      </c>
      <c r="I30" s="8"/>
      <c r="J30" s="12" t="s">
        <v>295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4">
        <f t="shared" si="4"/>
        <v>4</v>
      </c>
      <c r="AB30" s="10">
        <f t="shared" si="8"/>
        <v>0.21052631578947367</v>
      </c>
      <c r="AC30" s="4">
        <f t="shared" si="6"/>
        <v>1</v>
      </c>
      <c r="AD30" s="10">
        <f t="shared" si="9"/>
        <v>5.2631578947368418E-2</v>
      </c>
    </row>
    <row r="31" spans="1:30">
      <c r="A31" s="1" t="s">
        <v>268</v>
      </c>
      <c r="B31" s="1" t="s">
        <v>270</v>
      </c>
      <c r="C31" s="1" t="s">
        <v>272</v>
      </c>
      <c r="D31" s="1" t="s">
        <v>273</v>
      </c>
      <c r="E31" s="8"/>
      <c r="F31" s="8"/>
      <c r="G31" s="8"/>
      <c r="H31" s="8"/>
      <c r="I31" s="8"/>
      <c r="J31" s="8"/>
      <c r="K31" s="8" t="s">
        <v>292</v>
      </c>
      <c r="L31" s="8"/>
      <c r="M31" s="8" t="s">
        <v>292</v>
      </c>
      <c r="N31" s="8">
        <v>2</v>
      </c>
      <c r="O31" s="8"/>
      <c r="P31" s="8" t="s">
        <v>292</v>
      </c>
      <c r="Q31" s="8"/>
      <c r="R31" s="8"/>
      <c r="S31" s="8"/>
      <c r="T31" s="8" t="s">
        <v>292</v>
      </c>
      <c r="U31" s="8" t="s">
        <v>292</v>
      </c>
      <c r="V31" s="8"/>
      <c r="W31" s="8"/>
      <c r="X31" s="8"/>
      <c r="Y31" s="8" t="s">
        <v>292</v>
      </c>
      <c r="Z31" s="8" t="s">
        <v>293</v>
      </c>
      <c r="AA31" s="4">
        <f t="shared" si="4"/>
        <v>8</v>
      </c>
      <c r="AB31" s="10">
        <f t="shared" si="8"/>
        <v>0.42105263157894735</v>
      </c>
      <c r="AC31" s="4">
        <f t="shared" si="6"/>
        <v>2</v>
      </c>
      <c r="AD31" s="10">
        <f t="shared" si="9"/>
        <v>0.10526315789473684</v>
      </c>
    </row>
    <row r="32" spans="1:30">
      <c r="A32" s="14" t="s">
        <v>280</v>
      </c>
      <c r="B32" s="14" t="s">
        <v>282</v>
      </c>
      <c r="C32" s="14" t="s">
        <v>283</v>
      </c>
      <c r="D32" s="14" t="s">
        <v>45</v>
      </c>
      <c r="E32" s="15" t="s">
        <v>292</v>
      </c>
      <c r="F32" s="15"/>
      <c r="G32" s="15" t="s">
        <v>292</v>
      </c>
      <c r="H32" s="15"/>
      <c r="I32" s="15"/>
      <c r="J32" s="15"/>
      <c r="K32" s="15" t="s">
        <v>292</v>
      </c>
      <c r="L32" s="15"/>
      <c r="M32" s="15" t="s">
        <v>292</v>
      </c>
      <c r="N32" s="15" t="s">
        <v>292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4">
        <f t="shared" si="4"/>
        <v>5</v>
      </c>
      <c r="AB32" s="10">
        <f t="shared" si="8"/>
        <v>0.26315789473684209</v>
      </c>
      <c r="AC32" s="4">
        <f t="shared" si="6"/>
        <v>0</v>
      </c>
      <c r="AD32" s="10">
        <f t="shared" si="9"/>
        <v>0</v>
      </c>
    </row>
    <row r="33" spans="1:30">
      <c r="A33" s="1"/>
      <c r="B33" s="1"/>
      <c r="C33" s="1"/>
      <c r="D33" s="16" t="s">
        <v>297</v>
      </c>
      <c r="E33" s="8">
        <f t="shared" ref="E33:H33" si="10">SUM(E3:E32)</f>
        <v>3</v>
      </c>
      <c r="F33" s="8">
        <f t="shared" si="10"/>
        <v>4</v>
      </c>
      <c r="G33" s="8">
        <f t="shared" si="10"/>
        <v>12</v>
      </c>
      <c r="H33" s="8">
        <f t="shared" si="10"/>
        <v>2</v>
      </c>
      <c r="I33" s="8"/>
      <c r="J33" s="8">
        <f t="shared" ref="J33:K33" si="11">SUM(J3:J32)</f>
        <v>2</v>
      </c>
      <c r="K33" s="8">
        <f t="shared" si="11"/>
        <v>16</v>
      </c>
      <c r="L33" s="8"/>
      <c r="M33" s="8">
        <f t="shared" ref="M33:N33" si="12">SUM(M3:M32)</f>
        <v>11</v>
      </c>
      <c r="N33" s="8">
        <f t="shared" si="12"/>
        <v>18</v>
      </c>
      <c r="O33" s="8"/>
      <c r="P33" s="8">
        <f t="shared" ref="P33:Z33" si="13">SUM(P3:P32)</f>
        <v>9</v>
      </c>
      <c r="Q33" s="8">
        <f t="shared" si="13"/>
        <v>9</v>
      </c>
      <c r="R33" s="8">
        <f t="shared" si="13"/>
        <v>2</v>
      </c>
      <c r="S33" s="8">
        <f t="shared" si="13"/>
        <v>5</v>
      </c>
      <c r="T33" s="8">
        <f t="shared" si="13"/>
        <v>3</v>
      </c>
      <c r="U33" s="8">
        <f t="shared" si="13"/>
        <v>11</v>
      </c>
      <c r="V33" s="8">
        <f t="shared" si="13"/>
        <v>6</v>
      </c>
      <c r="W33" s="8">
        <f t="shared" si="13"/>
        <v>5</v>
      </c>
      <c r="X33" s="8">
        <f t="shared" si="13"/>
        <v>11</v>
      </c>
      <c r="Y33" s="8">
        <f t="shared" si="13"/>
        <v>6</v>
      </c>
      <c r="Z33" s="8">
        <f t="shared" si="13"/>
        <v>10</v>
      </c>
      <c r="AA33" s="4"/>
      <c r="AB33" s="4"/>
      <c r="AC33" s="4">
        <f t="shared" si="6"/>
        <v>145</v>
      </c>
      <c r="AD33" s="10">
        <f>AC33/(COUNTA(F$2:Z$2)*COUNTA($A$3:$A$32))</f>
        <v>0.23015873015873015</v>
      </c>
    </row>
    <row r="34" spans="1:30">
      <c r="A34" s="1"/>
      <c r="B34" s="1"/>
      <c r="C34" s="1"/>
      <c r="D34" s="16" t="s">
        <v>298</v>
      </c>
      <c r="E34" s="8">
        <f t="shared" ref="E34:H34" si="14">COUNTA(E3:E32)</f>
        <v>16</v>
      </c>
      <c r="F34" s="8">
        <f t="shared" si="14"/>
        <v>14</v>
      </c>
      <c r="G34" s="8">
        <f t="shared" si="14"/>
        <v>19</v>
      </c>
      <c r="H34" s="8">
        <f t="shared" si="14"/>
        <v>13</v>
      </c>
      <c r="I34" s="8"/>
      <c r="J34" s="8">
        <f t="shared" ref="J34:K34" si="15">COUNTA(J3:J32)</f>
        <v>15</v>
      </c>
      <c r="K34" s="8">
        <f t="shared" si="15"/>
        <v>18</v>
      </c>
      <c r="L34" s="8"/>
      <c r="M34" s="8">
        <f t="shared" ref="M34:N34" si="16">COUNTA(M3:M32)</f>
        <v>17</v>
      </c>
      <c r="N34" s="8">
        <f t="shared" si="16"/>
        <v>13</v>
      </c>
      <c r="O34" s="8"/>
      <c r="P34" s="8">
        <f t="shared" ref="P34:S34" si="17">COUNTA(P3:P32)-1</f>
        <v>9</v>
      </c>
      <c r="Q34" s="8">
        <f t="shared" si="17"/>
        <v>7</v>
      </c>
      <c r="R34" s="8">
        <f t="shared" si="17"/>
        <v>4</v>
      </c>
      <c r="S34" s="8">
        <f t="shared" si="17"/>
        <v>7</v>
      </c>
      <c r="T34" s="8">
        <f t="shared" ref="T34:Z34" si="18">COUNTA(T3:T32)</f>
        <v>8</v>
      </c>
      <c r="U34" s="8">
        <f t="shared" si="18"/>
        <v>9</v>
      </c>
      <c r="V34" s="8">
        <f t="shared" si="18"/>
        <v>6</v>
      </c>
      <c r="W34" s="8">
        <f t="shared" si="18"/>
        <v>7</v>
      </c>
      <c r="X34" s="8">
        <f t="shared" si="18"/>
        <v>5</v>
      </c>
      <c r="Y34" s="8">
        <f t="shared" si="18"/>
        <v>9</v>
      </c>
      <c r="Z34" s="8">
        <f t="shared" si="18"/>
        <v>8</v>
      </c>
      <c r="AA34" s="4">
        <f t="shared" ref="AA34:AA36" si="19">SUM(E34:Z34)</f>
        <v>204</v>
      </c>
      <c r="AB34" s="10">
        <f t="shared" ref="AB34:AB36" si="20">AA34/(COUNTA(F$2:Z$2)*COUNTA($A$3:$A$32))</f>
        <v>0.32380952380952382</v>
      </c>
    </row>
    <row r="35" spans="1:30">
      <c r="A35" s="1"/>
      <c r="B35" s="1"/>
      <c r="C35" s="1"/>
      <c r="D35" s="16" t="s">
        <v>299</v>
      </c>
      <c r="E35" s="8">
        <f t="shared" ref="E35:H35" si="21">COUNTIF(E8:E32,"T")</f>
        <v>1</v>
      </c>
      <c r="F35" s="8">
        <f t="shared" si="21"/>
        <v>1</v>
      </c>
      <c r="G35" s="8">
        <f t="shared" si="21"/>
        <v>1</v>
      </c>
      <c r="H35" s="8">
        <f t="shared" si="21"/>
        <v>0</v>
      </c>
      <c r="I35" s="8"/>
      <c r="J35" s="8">
        <f t="shared" ref="J35:K35" si="22">COUNTIF(J8:J32,"T")</f>
        <v>0</v>
      </c>
      <c r="K35" s="8">
        <f t="shared" si="22"/>
        <v>0</v>
      </c>
      <c r="L35" s="8"/>
      <c r="M35" s="8">
        <f t="shared" ref="M35:N35" si="23">COUNTIF(M8:M32,"T")</f>
        <v>0</v>
      </c>
      <c r="N35" s="8">
        <f t="shared" si="23"/>
        <v>0</v>
      </c>
      <c r="O35" s="8"/>
      <c r="P35" s="8">
        <f>COUNTIF(P8:P32,"T")</f>
        <v>0</v>
      </c>
      <c r="Q35" s="8">
        <v>1</v>
      </c>
      <c r="R35" s="8">
        <f>COUNTIF(R8:R32,"T")</f>
        <v>0</v>
      </c>
      <c r="S35" s="8">
        <f>COUNTIF(R8:R32,"T")+2</f>
        <v>2</v>
      </c>
      <c r="T35" s="8">
        <f t="shared" ref="T35:U35" si="24">COUNTIF(T8:T32,"T")</f>
        <v>0</v>
      </c>
      <c r="U35" s="8">
        <f t="shared" si="24"/>
        <v>0</v>
      </c>
      <c r="V35" s="8">
        <f>COUNTIF(V8:V32,"T")+1</f>
        <v>1</v>
      </c>
      <c r="W35" s="8">
        <f>COUNTIF(W8:W32,"T")</f>
        <v>0</v>
      </c>
      <c r="X35" s="8">
        <f t="shared" ref="X35:Y35" si="25">COUNTIF(X8:X32,"T")+1</f>
        <v>2</v>
      </c>
      <c r="Y35" s="8">
        <f t="shared" si="25"/>
        <v>1</v>
      </c>
      <c r="Z35" s="8">
        <f>COUNTIF(Z8:Z32,"T")</f>
        <v>1</v>
      </c>
      <c r="AA35" s="4">
        <f t="shared" si="19"/>
        <v>11</v>
      </c>
      <c r="AB35" s="10">
        <f t="shared" si="20"/>
        <v>1.7460317460317461E-2</v>
      </c>
    </row>
    <row r="36" spans="1:30">
      <c r="A36" s="1"/>
      <c r="B36" s="1"/>
      <c r="C36" s="1"/>
      <c r="D36" s="16" t="s">
        <v>300</v>
      </c>
      <c r="E36" s="8">
        <f t="shared" ref="E36:G36" si="26">COUNTIF(E8:E32,"J")</f>
        <v>0</v>
      </c>
      <c r="F36" s="8">
        <f t="shared" si="26"/>
        <v>0</v>
      </c>
      <c r="G36" s="8">
        <f t="shared" si="26"/>
        <v>0</v>
      </c>
      <c r="H36" s="8">
        <f>COUNTIF(H8:H32,"J")-0.5</f>
        <v>1.5</v>
      </c>
      <c r="I36" s="8"/>
      <c r="J36" s="8">
        <f>COUNTIF(J8:J32,"J")-0.5</f>
        <v>1.5</v>
      </c>
      <c r="K36" s="8">
        <f>COUNTIF(K8:K32,"J")</f>
        <v>0</v>
      </c>
      <c r="L36" s="8"/>
      <c r="M36" s="8">
        <f t="shared" ref="M36:N36" si="27">COUNTIF(M8:M32,"J")</f>
        <v>0</v>
      </c>
      <c r="N36" s="8">
        <f t="shared" si="27"/>
        <v>0</v>
      </c>
      <c r="O36" s="8"/>
      <c r="P36" s="8">
        <f t="shared" ref="P36:T36" si="28">COUNTIF(P8:P32,"J")</f>
        <v>2</v>
      </c>
      <c r="Q36" s="8">
        <f t="shared" si="28"/>
        <v>0</v>
      </c>
      <c r="R36" s="8">
        <f t="shared" si="28"/>
        <v>0</v>
      </c>
      <c r="S36" s="8">
        <f t="shared" si="28"/>
        <v>3</v>
      </c>
      <c r="T36" s="8">
        <f t="shared" si="28"/>
        <v>0</v>
      </c>
      <c r="U36" s="8">
        <f>COUNTIF(U8:U32,"J")+2</f>
        <v>2</v>
      </c>
      <c r="V36" s="8">
        <f t="shared" ref="V36:W36" si="29">COUNTIF(V8:V32,"J")</f>
        <v>1</v>
      </c>
      <c r="W36" s="8">
        <f t="shared" si="29"/>
        <v>0</v>
      </c>
      <c r="X36" s="8">
        <v>2</v>
      </c>
      <c r="Y36" s="8">
        <f t="shared" ref="Y36:Z36" si="30">COUNTIF(Y8:Y32,"J")</f>
        <v>0</v>
      </c>
      <c r="Z36" s="8">
        <f t="shared" si="30"/>
        <v>2</v>
      </c>
      <c r="AA36" s="4">
        <f t="shared" si="19"/>
        <v>15</v>
      </c>
      <c r="AB36" s="10">
        <f t="shared" si="20"/>
        <v>2.3809523809523808E-2</v>
      </c>
    </row>
    <row r="37" spans="1:30">
      <c r="A37" s="1"/>
      <c r="B37" s="1"/>
      <c r="C37" s="1"/>
      <c r="D37" s="16" t="s">
        <v>301</v>
      </c>
      <c r="E37" s="8">
        <f t="shared" ref="E37:H37" si="31">E34-(E35+E36)</f>
        <v>15</v>
      </c>
      <c r="F37" s="8">
        <f t="shared" si="31"/>
        <v>13</v>
      </c>
      <c r="G37" s="8">
        <f t="shared" si="31"/>
        <v>18</v>
      </c>
      <c r="H37" s="8">
        <f t="shared" si="31"/>
        <v>11.5</v>
      </c>
      <c r="I37" s="8"/>
      <c r="J37" s="8">
        <f t="shared" ref="J37:K37" si="32">J34-(J35+J36)</f>
        <v>13.5</v>
      </c>
      <c r="K37" s="8">
        <f t="shared" si="32"/>
        <v>18</v>
      </c>
      <c r="L37" s="8"/>
      <c r="M37" s="8">
        <f t="shared" ref="M37:N37" si="33">M34-(M35+M36)</f>
        <v>17</v>
      </c>
      <c r="N37" s="8">
        <f t="shared" si="33"/>
        <v>13</v>
      </c>
      <c r="O37" s="8"/>
      <c r="P37" s="8">
        <f t="shared" ref="P37:Z37" si="34">P34-(P35+P36)</f>
        <v>7</v>
      </c>
      <c r="Q37" s="8">
        <f t="shared" si="34"/>
        <v>6</v>
      </c>
      <c r="R37" s="8">
        <f t="shared" si="34"/>
        <v>4</v>
      </c>
      <c r="S37" s="8">
        <f t="shared" si="34"/>
        <v>2</v>
      </c>
      <c r="T37" s="8">
        <f t="shared" si="34"/>
        <v>8</v>
      </c>
      <c r="U37" s="8">
        <f t="shared" si="34"/>
        <v>7</v>
      </c>
      <c r="V37" s="8">
        <f t="shared" si="34"/>
        <v>4</v>
      </c>
      <c r="W37" s="8">
        <f t="shared" si="34"/>
        <v>7</v>
      </c>
      <c r="X37" s="8">
        <f t="shared" si="34"/>
        <v>1</v>
      </c>
      <c r="Y37" s="8">
        <f t="shared" si="34"/>
        <v>8</v>
      </c>
      <c r="Z37" s="8">
        <f t="shared" si="34"/>
        <v>5</v>
      </c>
      <c r="AA37" s="4"/>
      <c r="AB37" s="4"/>
      <c r="AC37" s="4">
        <f t="shared" ref="AC37:AC38" si="35">SUM(E37:Z37)</f>
        <v>178</v>
      </c>
      <c r="AD37" s="10">
        <f t="shared" ref="AD37:AD38" si="36">AC37/(COUNTA(F$2:Z$2)*COUNTA($A$3:$A$32))</f>
        <v>0.28253968253968254</v>
      </c>
    </row>
    <row r="38" spans="1:30">
      <c r="A38" s="1"/>
      <c r="B38" s="1"/>
      <c r="C38" s="1"/>
      <c r="D38" s="16" t="s">
        <v>302</v>
      </c>
      <c r="E38" s="8">
        <f t="shared" ref="E38:H38" si="37">E34-(E35+E36)*0.5</f>
        <v>15.5</v>
      </c>
      <c r="F38" s="8">
        <f t="shared" si="37"/>
        <v>13.5</v>
      </c>
      <c r="G38" s="8">
        <f t="shared" si="37"/>
        <v>18.5</v>
      </c>
      <c r="H38" s="8">
        <f t="shared" si="37"/>
        <v>12.25</v>
      </c>
      <c r="I38" s="8"/>
      <c r="J38" s="8">
        <f t="shared" ref="J38:K38" si="38">J34-(J35+J36)*0.5</f>
        <v>14.25</v>
      </c>
      <c r="K38" s="8">
        <f t="shared" si="38"/>
        <v>18</v>
      </c>
      <c r="L38" s="8"/>
      <c r="M38" s="8">
        <f t="shared" ref="M38:N38" si="39">M34-(M35+M36)*0.5</f>
        <v>17</v>
      </c>
      <c r="N38" s="8">
        <f t="shared" si="39"/>
        <v>13</v>
      </c>
      <c r="O38" s="8"/>
      <c r="P38" s="8">
        <f t="shared" ref="P38:Z38" si="40">P34-(P35+P36)*0.5</f>
        <v>8</v>
      </c>
      <c r="Q38" s="8">
        <f t="shared" si="40"/>
        <v>6.5</v>
      </c>
      <c r="R38" s="8">
        <f t="shared" si="40"/>
        <v>4</v>
      </c>
      <c r="S38" s="8">
        <f t="shared" si="40"/>
        <v>4.5</v>
      </c>
      <c r="T38" s="8">
        <f t="shared" si="40"/>
        <v>8</v>
      </c>
      <c r="U38" s="8">
        <f t="shared" si="40"/>
        <v>8</v>
      </c>
      <c r="V38" s="8">
        <f t="shared" si="40"/>
        <v>5</v>
      </c>
      <c r="W38" s="8">
        <f t="shared" si="40"/>
        <v>7</v>
      </c>
      <c r="X38" s="8">
        <f t="shared" si="40"/>
        <v>3</v>
      </c>
      <c r="Y38" s="8">
        <f t="shared" si="40"/>
        <v>8.5</v>
      </c>
      <c r="Z38" s="8">
        <f t="shared" si="40"/>
        <v>6.5</v>
      </c>
      <c r="AA38" s="4"/>
      <c r="AB38" s="4"/>
      <c r="AC38" s="4">
        <f t="shared" si="35"/>
        <v>191</v>
      </c>
      <c r="AD38" s="10">
        <f t="shared" si="36"/>
        <v>0.30317460317460315</v>
      </c>
    </row>
  </sheetData>
  <mergeCells count="10">
    <mergeCell ref="X1:Y1"/>
    <mergeCell ref="AA1:AB1"/>
    <mergeCell ref="AC1:AD1"/>
    <mergeCell ref="E1:F1"/>
    <mergeCell ref="G1:I1"/>
    <mergeCell ref="J1:L1"/>
    <mergeCell ref="M1:O1"/>
    <mergeCell ref="P1:Q1"/>
    <mergeCell ref="T1:U1"/>
    <mergeCell ref="V1:W1"/>
  </mergeCell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6"/>
  <sheetViews>
    <sheetView tabSelected="1" workbookViewId="0">
      <selection activeCell="E41" sqref="E41"/>
    </sheetView>
  </sheetViews>
  <sheetFormatPr baseColWidth="10" defaultColWidth="8.83203125" defaultRowHeight="15"/>
  <cols>
    <col min="1" max="5" width="16" customWidth="1"/>
    <col min="6" max="29" width="9" customWidth="1"/>
  </cols>
  <sheetData>
    <row r="1" spans="1:29">
      <c r="A1" t="s">
        <v>303</v>
      </c>
      <c r="B1" s="21" t="s">
        <v>324</v>
      </c>
    </row>
    <row r="2" spans="1:29">
      <c r="A2" t="s">
        <v>304</v>
      </c>
      <c r="B2" s="21" t="s">
        <v>325</v>
      </c>
    </row>
    <row r="3" spans="1:29">
      <c r="A3" t="s">
        <v>305</v>
      </c>
      <c r="B3">
        <v>2</v>
      </c>
    </row>
    <row r="5" spans="1:29">
      <c r="A5" s="29" t="s">
        <v>306</v>
      </c>
      <c r="B5" s="29" t="s">
        <v>307</v>
      </c>
      <c r="C5" s="29" t="s">
        <v>308</v>
      </c>
      <c r="D5" s="29" t="s">
        <v>309</v>
      </c>
      <c r="E5" s="30" t="s">
        <v>326</v>
      </c>
      <c r="F5" s="29" t="s">
        <v>310</v>
      </c>
      <c r="G5" s="29"/>
      <c r="H5" s="29" t="s">
        <v>311</v>
      </c>
      <c r="I5" s="29"/>
      <c r="J5" s="29" t="s">
        <v>312</v>
      </c>
      <c r="K5" s="29"/>
      <c r="L5" s="29" t="s">
        <v>313</v>
      </c>
      <c r="M5" s="29"/>
      <c r="N5" s="29" t="s">
        <v>314</v>
      </c>
      <c r="O5" s="29"/>
      <c r="P5" s="29" t="s">
        <v>315</v>
      </c>
      <c r="Q5" s="29"/>
      <c r="R5" s="29" t="s">
        <v>316</v>
      </c>
      <c r="S5" s="29"/>
      <c r="T5" s="29" t="s">
        <v>317</v>
      </c>
      <c r="U5" s="29"/>
      <c r="V5" s="29" t="s">
        <v>318</v>
      </c>
      <c r="W5" s="29"/>
      <c r="X5" s="29" t="s">
        <v>319</v>
      </c>
      <c r="Y5" s="29"/>
      <c r="Z5" s="29" t="s">
        <v>320</v>
      </c>
      <c r="AA5" s="29"/>
      <c r="AB5" s="29" t="s">
        <v>321</v>
      </c>
      <c r="AC5" s="29"/>
    </row>
    <row r="6" spans="1:29">
      <c r="A6" s="29"/>
      <c r="B6" s="29"/>
      <c r="C6" s="29"/>
      <c r="D6" s="29"/>
      <c r="E6" s="30"/>
      <c r="F6" s="21" t="s">
        <v>322</v>
      </c>
      <c r="G6" s="21" t="s">
        <v>323</v>
      </c>
      <c r="H6" s="21" t="s">
        <v>322</v>
      </c>
      <c r="I6" s="21" t="s">
        <v>323</v>
      </c>
      <c r="J6" s="21" t="s">
        <v>322</v>
      </c>
      <c r="K6" s="21" t="s">
        <v>323</v>
      </c>
      <c r="L6" s="21" t="s">
        <v>322</v>
      </c>
      <c r="M6" s="21" t="s">
        <v>323</v>
      </c>
      <c r="N6" s="21" t="s">
        <v>322</v>
      </c>
      <c r="O6" s="21" t="s">
        <v>323</v>
      </c>
      <c r="P6" s="21" t="s">
        <v>322</v>
      </c>
      <c r="Q6" s="21" t="s">
        <v>323</v>
      </c>
      <c r="R6" s="21" t="s">
        <v>322</v>
      </c>
      <c r="S6" s="21" t="s">
        <v>323</v>
      </c>
      <c r="T6" s="21" t="s">
        <v>322</v>
      </c>
      <c r="U6" s="21" t="s">
        <v>323</v>
      </c>
      <c r="V6" s="21" t="s">
        <v>322</v>
      </c>
      <c r="W6" s="21" t="s">
        <v>323</v>
      </c>
      <c r="X6" s="21" t="s">
        <v>322</v>
      </c>
      <c r="Y6" s="21" t="s">
        <v>323</v>
      </c>
      <c r="Z6" s="21" t="s">
        <v>322</v>
      </c>
      <c r="AA6" s="21" t="s">
        <v>323</v>
      </c>
      <c r="AB6" s="21" t="s">
        <v>322</v>
      </c>
      <c r="AC6" s="21" t="s">
        <v>323</v>
      </c>
    </row>
    <row r="7" spans="1:29">
      <c r="A7" s="18" t="s">
        <v>23</v>
      </c>
      <c r="B7" s="17" t="s">
        <v>27</v>
      </c>
      <c r="C7" s="17" t="s">
        <v>26</v>
      </c>
      <c r="D7" s="18" t="s">
        <v>24</v>
      </c>
      <c r="E7" s="18" t="s">
        <v>25</v>
      </c>
      <c r="F7" s="22"/>
      <c r="G7" s="22"/>
      <c r="H7" s="22" t="s">
        <v>292</v>
      </c>
      <c r="I7" s="22" t="s">
        <v>292</v>
      </c>
      <c r="J7" s="22" t="s">
        <v>292</v>
      </c>
      <c r="K7" s="22" t="s">
        <v>292</v>
      </c>
      <c r="L7" s="22"/>
      <c r="M7" s="22"/>
      <c r="N7" s="22">
        <v>2</v>
      </c>
      <c r="O7" s="22"/>
      <c r="Q7" s="22"/>
      <c r="R7" s="22"/>
      <c r="T7" s="22"/>
      <c r="U7" s="22"/>
      <c r="V7" s="26">
        <v>2</v>
      </c>
      <c r="W7" s="22">
        <v>1</v>
      </c>
      <c r="X7" s="22"/>
      <c r="Y7" s="22" t="s">
        <v>293</v>
      </c>
      <c r="Z7" s="26">
        <v>2</v>
      </c>
    </row>
    <row r="8" spans="1:29">
      <c r="A8" s="20" t="s">
        <v>32</v>
      </c>
      <c r="B8" s="18" t="s">
        <v>36</v>
      </c>
      <c r="C8" s="18" t="s">
        <v>35</v>
      </c>
      <c r="D8" s="20" t="s">
        <v>33</v>
      </c>
      <c r="E8" s="20" t="s">
        <v>34</v>
      </c>
      <c r="F8" s="23" t="s">
        <v>292</v>
      </c>
      <c r="G8" s="23" t="s">
        <v>292</v>
      </c>
      <c r="H8" s="23" t="s">
        <v>292</v>
      </c>
      <c r="I8" s="23" t="s">
        <v>293</v>
      </c>
      <c r="J8" s="23" t="s">
        <v>292</v>
      </c>
      <c r="K8" s="23">
        <v>2</v>
      </c>
      <c r="L8" s="23" t="s">
        <v>292</v>
      </c>
      <c r="M8" s="23">
        <v>2</v>
      </c>
      <c r="N8" s="23">
        <v>1</v>
      </c>
      <c r="O8" s="23"/>
      <c r="Q8" s="23"/>
      <c r="R8" s="23">
        <v>1</v>
      </c>
      <c r="T8" s="23" t="s">
        <v>292</v>
      </c>
      <c r="U8" s="23"/>
      <c r="V8" s="23"/>
      <c r="W8" s="23"/>
      <c r="X8" s="23"/>
      <c r="Y8" s="23" t="s">
        <v>292</v>
      </c>
      <c r="Z8" s="23"/>
    </row>
    <row r="9" spans="1:29">
      <c r="A9" s="18" t="s">
        <v>41</v>
      </c>
      <c r="B9" s="17" t="s">
        <v>45</v>
      </c>
      <c r="C9" s="17" t="s">
        <v>44</v>
      </c>
      <c r="D9" s="18" t="s">
        <v>42</v>
      </c>
      <c r="E9" s="18" t="s">
        <v>43</v>
      </c>
      <c r="F9" s="22"/>
      <c r="G9" s="22"/>
      <c r="H9" s="22"/>
      <c r="I9" s="22"/>
      <c r="J9" s="22"/>
      <c r="K9" s="22"/>
      <c r="L9" s="22"/>
      <c r="M9" s="22"/>
      <c r="N9" s="22"/>
      <c r="O9" s="22"/>
      <c r="Q9" s="22"/>
      <c r="R9" s="22"/>
      <c r="T9" s="22"/>
      <c r="U9" s="22"/>
      <c r="V9" s="22"/>
      <c r="W9" s="22"/>
      <c r="X9" s="22"/>
      <c r="Y9" s="22"/>
      <c r="Z9" s="22"/>
    </row>
    <row r="10" spans="1:29">
      <c r="A10" s="20" t="s">
        <v>50</v>
      </c>
      <c r="B10" s="18" t="s">
        <v>54</v>
      </c>
      <c r="C10" s="18" t="s">
        <v>53</v>
      </c>
      <c r="D10" s="20" t="s">
        <v>51</v>
      </c>
      <c r="E10" s="20" t="s">
        <v>52</v>
      </c>
      <c r="F10" s="23"/>
      <c r="G10" s="23" t="s">
        <v>292</v>
      </c>
      <c r="H10" s="23"/>
      <c r="I10" s="23"/>
      <c r="J10" s="23">
        <v>1</v>
      </c>
      <c r="K10" s="23">
        <v>2</v>
      </c>
      <c r="L10" s="23">
        <v>2</v>
      </c>
      <c r="M10" s="23"/>
      <c r="N10" s="23">
        <v>2</v>
      </c>
      <c r="O10" s="23"/>
      <c r="Q10" s="23">
        <v>1</v>
      </c>
      <c r="R10" s="23"/>
      <c r="T10" s="23"/>
      <c r="U10" s="23"/>
      <c r="V10" s="23">
        <v>2</v>
      </c>
      <c r="W10" s="23"/>
      <c r="X10" s="23"/>
      <c r="Y10" s="23"/>
      <c r="Z10" s="23"/>
    </row>
    <row r="11" spans="1:29">
      <c r="A11" s="18" t="s">
        <v>59</v>
      </c>
      <c r="B11" s="17" t="s">
        <v>63</v>
      </c>
      <c r="C11" s="17" t="s">
        <v>62</v>
      </c>
      <c r="D11" s="18" t="s">
        <v>60</v>
      </c>
      <c r="E11" s="18" t="s">
        <v>61</v>
      </c>
      <c r="F11" s="22" t="s">
        <v>292</v>
      </c>
      <c r="G11" s="22"/>
      <c r="H11" s="22" t="s">
        <v>292</v>
      </c>
      <c r="I11" s="22"/>
      <c r="J11" s="22" t="s">
        <v>292</v>
      </c>
      <c r="K11" s="22">
        <v>2</v>
      </c>
      <c r="L11" s="22" t="s">
        <v>292</v>
      </c>
      <c r="M11" s="22" t="s">
        <v>292</v>
      </c>
      <c r="N11" s="22">
        <v>2</v>
      </c>
      <c r="O11" s="22" t="s">
        <v>292</v>
      </c>
      <c r="Q11" s="22" t="s">
        <v>292</v>
      </c>
      <c r="R11" s="22">
        <v>2</v>
      </c>
      <c r="T11" s="22" t="s">
        <v>292</v>
      </c>
      <c r="U11" s="22">
        <v>2</v>
      </c>
      <c r="V11" s="22">
        <v>2</v>
      </c>
      <c r="W11" s="22" t="s">
        <v>294</v>
      </c>
      <c r="X11" s="22" t="s">
        <v>292</v>
      </c>
      <c r="Y11" s="26">
        <v>2</v>
      </c>
      <c r="Z11" s="22"/>
    </row>
    <row r="12" spans="1:29">
      <c r="A12" s="20" t="s">
        <v>68</v>
      </c>
      <c r="B12" s="18" t="s">
        <v>72</v>
      </c>
      <c r="C12" s="18" t="s">
        <v>71</v>
      </c>
      <c r="D12" s="20" t="s">
        <v>69</v>
      </c>
      <c r="E12" s="20" t="s">
        <v>70</v>
      </c>
      <c r="F12" s="23" t="s">
        <v>292</v>
      </c>
      <c r="G12" s="23">
        <v>1</v>
      </c>
      <c r="H12" s="23" t="s">
        <v>292</v>
      </c>
      <c r="I12" s="23"/>
      <c r="J12" s="23"/>
      <c r="K12" s="23"/>
      <c r="L12" s="23" t="s">
        <v>292</v>
      </c>
      <c r="M12" s="23"/>
      <c r="N12" s="23"/>
      <c r="O12" s="23">
        <v>1</v>
      </c>
      <c r="Q12" s="23"/>
      <c r="R12" s="23"/>
      <c r="T12" s="23"/>
      <c r="U12" s="23"/>
      <c r="V12" s="23"/>
      <c r="W12" s="23"/>
      <c r="X12" s="23"/>
      <c r="Y12" s="23"/>
      <c r="Z12" s="23"/>
    </row>
    <row r="13" spans="1:29">
      <c r="A13" s="18" t="s">
        <v>77</v>
      </c>
      <c r="B13" s="17" t="s">
        <v>81</v>
      </c>
      <c r="C13" s="17" t="s">
        <v>80</v>
      </c>
      <c r="D13" s="18" t="s">
        <v>78</v>
      </c>
      <c r="E13" s="18" t="s">
        <v>79</v>
      </c>
      <c r="F13" s="22">
        <v>1</v>
      </c>
      <c r="G13" s="22"/>
      <c r="H13" s="22">
        <v>3</v>
      </c>
      <c r="I13" s="22">
        <v>1</v>
      </c>
      <c r="J13" s="22">
        <v>1</v>
      </c>
      <c r="K13" s="22" t="s">
        <v>292</v>
      </c>
      <c r="L13" s="22">
        <v>4</v>
      </c>
      <c r="M13" s="22" t="s">
        <v>292</v>
      </c>
      <c r="N13" s="22"/>
      <c r="O13" s="22">
        <v>2</v>
      </c>
      <c r="Q13" s="22"/>
      <c r="R13" s="22"/>
      <c r="T13" s="22">
        <v>2</v>
      </c>
      <c r="U13" s="22"/>
      <c r="V13" s="22"/>
      <c r="W13" s="22">
        <v>1</v>
      </c>
      <c r="X13" s="22"/>
      <c r="Y13" s="22"/>
      <c r="Z13" s="22">
        <v>4</v>
      </c>
    </row>
    <row r="14" spans="1:29">
      <c r="A14" s="20" t="s">
        <v>86</v>
      </c>
      <c r="B14" s="18" t="s">
        <v>90</v>
      </c>
      <c r="C14" s="18" t="s">
        <v>89</v>
      </c>
      <c r="D14" s="20" t="s">
        <v>87</v>
      </c>
      <c r="E14" s="20" t="s">
        <v>88</v>
      </c>
      <c r="F14" s="23"/>
      <c r="G14" s="23" t="s">
        <v>292</v>
      </c>
      <c r="H14" s="23" t="s">
        <v>292</v>
      </c>
      <c r="I14" s="23" t="s">
        <v>292</v>
      </c>
      <c r="J14" s="23" t="s">
        <v>292</v>
      </c>
      <c r="K14" s="23"/>
      <c r="L14" s="23" t="s">
        <v>292</v>
      </c>
      <c r="M14" s="23"/>
      <c r="N14" s="23"/>
      <c r="O14" s="23"/>
      <c r="Q14" s="23"/>
      <c r="R14" s="23" t="s">
        <v>295</v>
      </c>
      <c r="T14" s="23" t="s">
        <v>292</v>
      </c>
      <c r="U14" s="23" t="s">
        <v>292</v>
      </c>
      <c r="V14" s="23"/>
      <c r="W14" s="23"/>
      <c r="X14" s="23"/>
      <c r="Y14" s="23" t="s">
        <v>292</v>
      </c>
      <c r="Z14" s="23"/>
    </row>
    <row r="15" spans="1:29">
      <c r="A15" s="18" t="s">
        <v>94</v>
      </c>
      <c r="B15" s="1" t="s">
        <v>98</v>
      </c>
      <c r="C15" s="1" t="s">
        <v>97</v>
      </c>
      <c r="D15" s="18" t="s">
        <v>95</v>
      </c>
      <c r="E15" s="18" t="s">
        <v>96</v>
      </c>
      <c r="F15" s="8"/>
      <c r="G15" s="8"/>
      <c r="H15" s="8" t="s">
        <v>292</v>
      </c>
      <c r="I15" s="8" t="s">
        <v>292</v>
      </c>
      <c r="J15" s="8"/>
      <c r="K15" s="8" t="s">
        <v>292</v>
      </c>
      <c r="L15" s="8"/>
      <c r="M15" s="8"/>
      <c r="N15" s="8"/>
      <c r="O15" s="8"/>
      <c r="Q15" s="8"/>
      <c r="R15" s="8"/>
      <c r="T15" s="8"/>
      <c r="U15" s="8"/>
      <c r="V15" s="8"/>
      <c r="W15" s="8"/>
      <c r="X15" s="8"/>
      <c r="Y15" s="8"/>
      <c r="Z15" s="8"/>
    </row>
    <row r="16" spans="1:29">
      <c r="A16" s="20" t="s">
        <v>103</v>
      </c>
      <c r="B16" s="17" t="s">
        <v>107</v>
      </c>
      <c r="C16" s="17" t="s">
        <v>106</v>
      </c>
      <c r="D16" s="20" t="s">
        <v>104</v>
      </c>
      <c r="E16" s="20" t="s">
        <v>105</v>
      </c>
      <c r="F16" s="22" t="s">
        <v>292</v>
      </c>
      <c r="G16" s="22"/>
      <c r="H16" s="22" t="s">
        <v>292</v>
      </c>
      <c r="I16" s="22" t="s">
        <v>292</v>
      </c>
      <c r="J16" s="22"/>
      <c r="K16" s="22"/>
      <c r="L16" s="22"/>
      <c r="M16" s="22"/>
      <c r="N16" s="22"/>
      <c r="O16" s="22"/>
      <c r="Q16" s="22"/>
      <c r="R16" s="22"/>
      <c r="T16" s="22"/>
      <c r="U16" s="22"/>
      <c r="V16" s="22" t="s">
        <v>292</v>
      </c>
      <c r="W16" s="22">
        <v>1</v>
      </c>
      <c r="X16" s="22"/>
      <c r="Y16" s="22">
        <v>2</v>
      </c>
      <c r="Z16" s="22"/>
    </row>
    <row r="17" spans="1:26">
      <c r="A17" s="18" t="s">
        <v>112</v>
      </c>
      <c r="B17" s="18" t="s">
        <v>116</v>
      </c>
      <c r="C17" s="18" t="s">
        <v>115</v>
      </c>
      <c r="D17" s="18" t="s">
        <v>113</v>
      </c>
      <c r="E17" s="18" t="s">
        <v>114</v>
      </c>
      <c r="F17" s="23"/>
      <c r="G17" s="23" t="s">
        <v>292</v>
      </c>
      <c r="H17" s="23" t="s">
        <v>292</v>
      </c>
      <c r="I17" s="23"/>
      <c r="J17" s="23" t="s">
        <v>292</v>
      </c>
      <c r="K17" s="23">
        <v>2</v>
      </c>
      <c r="L17" s="23" t="s">
        <v>292</v>
      </c>
      <c r="M17" s="23">
        <v>2</v>
      </c>
      <c r="N17" s="11" t="s">
        <v>296</v>
      </c>
      <c r="O17" s="11" t="s">
        <v>296</v>
      </c>
      <c r="Q17" s="11" t="s">
        <v>296</v>
      </c>
      <c r="R17" s="11" t="s">
        <v>296</v>
      </c>
      <c r="T17" s="23" t="s">
        <v>292</v>
      </c>
      <c r="U17" s="23" t="s">
        <v>292</v>
      </c>
      <c r="V17" s="23" t="s">
        <v>292</v>
      </c>
      <c r="W17" s="23" t="s">
        <v>292</v>
      </c>
      <c r="X17" s="23" t="s">
        <v>293</v>
      </c>
      <c r="Y17" s="23" t="s">
        <v>292</v>
      </c>
      <c r="Z17" s="23" t="s">
        <v>292</v>
      </c>
    </row>
    <row r="18" spans="1:26">
      <c r="A18" s="20" t="s">
        <v>121</v>
      </c>
      <c r="B18" s="17" t="s">
        <v>125</v>
      </c>
      <c r="C18" s="17" t="s">
        <v>124</v>
      </c>
      <c r="D18" s="20" t="s">
        <v>122</v>
      </c>
      <c r="E18" s="20" t="s">
        <v>123</v>
      </c>
      <c r="F18" s="22"/>
      <c r="G18" s="22"/>
      <c r="H18" s="22"/>
      <c r="I18" s="22"/>
      <c r="J18" s="22" t="s">
        <v>292</v>
      </c>
      <c r="K18" s="22">
        <v>2</v>
      </c>
      <c r="L18" s="22"/>
      <c r="M18" s="22"/>
      <c r="N18" s="22" t="s">
        <v>292</v>
      </c>
      <c r="O18" s="22"/>
      <c r="Q18" s="22"/>
      <c r="R18" s="22" t="s">
        <v>292</v>
      </c>
      <c r="T18" s="22"/>
      <c r="U18" s="22"/>
      <c r="V18" s="22"/>
      <c r="W18" s="22"/>
      <c r="X18" s="22"/>
      <c r="Y18" s="22"/>
      <c r="Z18" s="22"/>
    </row>
    <row r="19" spans="1:26">
      <c r="A19" s="18" t="s">
        <v>130</v>
      </c>
      <c r="B19" s="18" t="s">
        <v>134</v>
      </c>
      <c r="C19" s="18" t="s">
        <v>133</v>
      </c>
      <c r="D19" s="18" t="s">
        <v>131</v>
      </c>
      <c r="E19" s="18" t="s">
        <v>132</v>
      </c>
      <c r="F19" s="23"/>
      <c r="G19" s="23"/>
      <c r="H19" s="23"/>
      <c r="I19" s="23"/>
      <c r="J19" s="23"/>
      <c r="K19" s="23"/>
      <c r="L19" s="23">
        <v>3</v>
      </c>
      <c r="M19" s="23"/>
      <c r="N19" s="23"/>
      <c r="O19" s="23"/>
      <c r="Q19" s="23"/>
      <c r="R19" s="23"/>
      <c r="T19" s="23"/>
      <c r="U19" s="23"/>
      <c r="V19" s="23"/>
      <c r="W19" s="23"/>
      <c r="X19" s="23"/>
      <c r="Y19" s="23"/>
      <c r="Z19" s="23"/>
    </row>
    <row r="20" spans="1:26">
      <c r="A20" s="20" t="s">
        <v>139</v>
      </c>
      <c r="B20" s="17" t="s">
        <v>108</v>
      </c>
      <c r="C20" s="17" t="s">
        <v>142</v>
      </c>
      <c r="D20" s="20" t="s">
        <v>140</v>
      </c>
      <c r="E20" s="20" t="s">
        <v>141</v>
      </c>
      <c r="F20" s="22" t="s">
        <v>292</v>
      </c>
      <c r="G20" s="22" t="s">
        <v>292</v>
      </c>
      <c r="H20" s="22" t="s">
        <v>292</v>
      </c>
      <c r="I20" s="22" t="s">
        <v>295</v>
      </c>
      <c r="J20" s="22"/>
      <c r="K20" s="22"/>
      <c r="L20" s="22"/>
      <c r="M20" s="22" t="s">
        <v>292</v>
      </c>
      <c r="N20" s="22"/>
      <c r="O20" s="22"/>
      <c r="Q20" s="22"/>
      <c r="R20" s="22"/>
      <c r="T20" s="22" t="s">
        <v>292</v>
      </c>
      <c r="U20" s="26">
        <v>2</v>
      </c>
      <c r="V20" s="22"/>
      <c r="W20" s="22"/>
      <c r="X20" s="22"/>
      <c r="Y20" s="22"/>
      <c r="Z20" s="22"/>
    </row>
    <row r="21" spans="1:26">
      <c r="A21" s="18" t="s">
        <v>146</v>
      </c>
      <c r="B21" s="18" t="s">
        <v>55</v>
      </c>
      <c r="C21" s="18" t="s">
        <v>149</v>
      </c>
      <c r="D21" s="18" t="s">
        <v>147</v>
      </c>
      <c r="E21" s="18" t="s">
        <v>148</v>
      </c>
      <c r="F21" s="23" t="s">
        <v>292</v>
      </c>
      <c r="G21" s="23"/>
      <c r="H21" s="23"/>
      <c r="I21" s="23"/>
      <c r="J21" s="23"/>
      <c r="K21" s="23" t="s">
        <v>292</v>
      </c>
      <c r="L21" s="23" t="s">
        <v>292</v>
      </c>
      <c r="M21" s="23"/>
      <c r="N21" s="23"/>
      <c r="O21" s="23"/>
      <c r="Q21" s="23"/>
      <c r="R21" s="23"/>
      <c r="T21" s="23"/>
      <c r="U21" s="23"/>
      <c r="V21" s="23"/>
      <c r="W21" s="23"/>
      <c r="X21" s="23"/>
      <c r="Y21" s="23"/>
      <c r="Z21" s="23"/>
    </row>
    <row r="22" spans="1:26">
      <c r="A22" s="20" t="s">
        <v>155</v>
      </c>
      <c r="B22" s="17" t="s">
        <v>158</v>
      </c>
      <c r="C22" s="17" t="s">
        <v>149</v>
      </c>
      <c r="D22" s="20" t="s">
        <v>156</v>
      </c>
      <c r="E22" s="20" t="s">
        <v>157</v>
      </c>
      <c r="F22" s="22">
        <v>1</v>
      </c>
      <c r="G22" s="22"/>
      <c r="H22" s="22" t="s">
        <v>292</v>
      </c>
      <c r="I22" s="22"/>
      <c r="J22" s="22"/>
      <c r="K22" s="22" t="s">
        <v>292</v>
      </c>
      <c r="L22" s="22" t="s">
        <v>292</v>
      </c>
      <c r="M22" s="22">
        <v>3</v>
      </c>
      <c r="N22" s="22"/>
      <c r="O22" s="22"/>
      <c r="Q22" s="22"/>
      <c r="R22" s="22"/>
      <c r="T22" s="22"/>
      <c r="U22" s="22"/>
      <c r="V22" s="22"/>
      <c r="W22" s="22"/>
      <c r="X22" s="22"/>
      <c r="Y22" s="22" t="s">
        <v>292</v>
      </c>
      <c r="Z22" s="22"/>
    </row>
    <row r="23" spans="1:26">
      <c r="A23" s="18" t="s">
        <v>162</v>
      </c>
      <c r="B23" s="18" t="s">
        <v>99</v>
      </c>
      <c r="C23" s="18" t="s">
        <v>165</v>
      </c>
      <c r="D23" s="18" t="s">
        <v>163</v>
      </c>
      <c r="E23" s="18" t="s">
        <v>164</v>
      </c>
      <c r="F23" s="23" t="s">
        <v>292</v>
      </c>
      <c r="G23" s="23" t="s">
        <v>292</v>
      </c>
      <c r="H23" s="23"/>
      <c r="I23" s="23" t="s">
        <v>292</v>
      </c>
      <c r="J23" s="23" t="s">
        <v>292</v>
      </c>
      <c r="K23" s="23">
        <v>2</v>
      </c>
      <c r="L23" s="23"/>
      <c r="M23" s="23"/>
      <c r="N23" s="23"/>
      <c r="O23" s="23"/>
      <c r="Q23" s="23"/>
      <c r="R23" s="23" t="s">
        <v>295</v>
      </c>
      <c r="T23" s="23"/>
      <c r="U23" s="23" t="s">
        <v>292</v>
      </c>
      <c r="V23" s="23"/>
      <c r="W23" s="23"/>
      <c r="X23" s="23"/>
      <c r="Y23" s="23"/>
      <c r="Z23" s="23"/>
    </row>
    <row r="24" spans="1:26">
      <c r="A24" s="20" t="s">
        <v>170</v>
      </c>
      <c r="B24" s="17" t="s">
        <v>174</v>
      </c>
      <c r="C24" s="17" t="s">
        <v>173</v>
      </c>
      <c r="D24" s="20" t="s">
        <v>171</v>
      </c>
      <c r="E24" s="20" t="s">
        <v>172</v>
      </c>
      <c r="F24" s="22">
        <v>1</v>
      </c>
      <c r="G24" s="22">
        <v>1</v>
      </c>
      <c r="H24" s="22" t="s">
        <v>292</v>
      </c>
      <c r="I24" s="22" t="s">
        <v>292</v>
      </c>
      <c r="J24" s="22"/>
      <c r="K24" s="22"/>
      <c r="L24" s="22" t="s">
        <v>292</v>
      </c>
      <c r="M24" s="22">
        <v>2</v>
      </c>
      <c r="N24" s="22"/>
      <c r="O24" s="22" t="s">
        <v>292</v>
      </c>
      <c r="Q24" s="22"/>
      <c r="R24" s="22"/>
      <c r="T24" s="22"/>
      <c r="U24" s="22"/>
      <c r="V24" s="22"/>
      <c r="W24" s="22"/>
      <c r="X24" s="22"/>
      <c r="Y24" s="22"/>
      <c r="Z24" s="22"/>
    </row>
    <row r="25" spans="1:26">
      <c r="A25" s="18" t="s">
        <v>178</v>
      </c>
      <c r="B25" s="18" t="s">
        <v>54</v>
      </c>
      <c r="C25" s="18" t="s">
        <v>173</v>
      </c>
      <c r="D25" s="18" t="s">
        <v>179</v>
      </c>
      <c r="E25" s="18" t="s">
        <v>180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Q25" s="23"/>
      <c r="R25" s="23"/>
      <c r="T25" s="23"/>
      <c r="U25" s="23"/>
      <c r="V25" s="23"/>
      <c r="W25" s="23"/>
      <c r="X25" s="23"/>
      <c r="Y25" s="23"/>
      <c r="Z25" s="23"/>
    </row>
    <row r="26" spans="1:26">
      <c r="A26" s="20" t="s">
        <v>184</v>
      </c>
      <c r="B26" s="17" t="s">
        <v>189</v>
      </c>
      <c r="C26" s="17" t="s">
        <v>188</v>
      </c>
      <c r="D26" s="20" t="s">
        <v>186</v>
      </c>
      <c r="E26" s="20" t="s">
        <v>187</v>
      </c>
      <c r="F26" s="22" t="s">
        <v>292</v>
      </c>
      <c r="G26" s="22">
        <v>1</v>
      </c>
      <c r="H26" s="22" t="s">
        <v>292</v>
      </c>
      <c r="I26" s="25" t="s">
        <v>295</v>
      </c>
      <c r="J26" s="22" t="s">
        <v>295</v>
      </c>
      <c r="K26" s="22">
        <v>2</v>
      </c>
      <c r="L26" s="22" t="s">
        <v>292</v>
      </c>
      <c r="M26" s="22">
        <v>2</v>
      </c>
      <c r="N26" s="22" t="s">
        <v>295</v>
      </c>
      <c r="O26" s="22">
        <v>1</v>
      </c>
      <c r="Q26" s="22"/>
      <c r="R26" s="22"/>
      <c r="T26" s="22">
        <v>1</v>
      </c>
      <c r="U26" s="26">
        <v>2</v>
      </c>
      <c r="V26" s="22" t="s">
        <v>295</v>
      </c>
      <c r="W26" s="22"/>
      <c r="X26" s="27">
        <v>1</v>
      </c>
      <c r="Y26" s="22"/>
      <c r="Z26" s="22" t="s">
        <v>295</v>
      </c>
    </row>
    <row r="27" spans="1:26">
      <c r="A27" s="18" t="s">
        <v>193</v>
      </c>
      <c r="B27" s="18" t="s">
        <v>55</v>
      </c>
      <c r="C27" s="18" t="s">
        <v>197</v>
      </c>
      <c r="D27" s="18" t="s">
        <v>194</v>
      </c>
      <c r="E27" s="18" t="s">
        <v>196</v>
      </c>
      <c r="F27" s="23"/>
      <c r="G27" s="23" t="s">
        <v>292</v>
      </c>
      <c r="H27" s="23"/>
      <c r="I27" s="23"/>
      <c r="J27" s="23" t="s">
        <v>292</v>
      </c>
      <c r="K27" s="23"/>
      <c r="L27" s="23"/>
      <c r="M27" s="23"/>
      <c r="N27" s="23"/>
      <c r="O27" s="23"/>
      <c r="Q27" s="23"/>
      <c r="R27" s="23"/>
      <c r="T27" s="23"/>
      <c r="U27" s="23"/>
      <c r="V27" s="23"/>
      <c r="W27" s="23"/>
      <c r="X27" s="23"/>
      <c r="Y27" s="23"/>
      <c r="Z27" s="23"/>
    </row>
    <row r="28" spans="1:26">
      <c r="A28" s="20" t="s">
        <v>202</v>
      </c>
      <c r="B28" s="17" t="s">
        <v>206</v>
      </c>
      <c r="C28" s="17" t="s">
        <v>205</v>
      </c>
      <c r="D28" s="20" t="s">
        <v>203</v>
      </c>
      <c r="E28" s="20" t="s">
        <v>204</v>
      </c>
      <c r="F28" s="22" t="s">
        <v>292</v>
      </c>
      <c r="G28" s="22"/>
      <c r="H28" s="22">
        <v>4</v>
      </c>
      <c r="I28" s="22">
        <v>1</v>
      </c>
      <c r="J28" s="22"/>
      <c r="K28" s="22"/>
      <c r="L28" s="22"/>
      <c r="M28" s="22">
        <v>1</v>
      </c>
      <c r="N28" s="22" t="s">
        <v>295</v>
      </c>
      <c r="O28" s="26">
        <v>2</v>
      </c>
      <c r="Q28" s="22"/>
      <c r="R28" s="26">
        <v>2</v>
      </c>
      <c r="T28" s="22"/>
      <c r="U28" s="22"/>
      <c r="V28" s="22"/>
      <c r="W28" s="22"/>
      <c r="X28" s="26">
        <v>5</v>
      </c>
      <c r="Y28" s="22"/>
      <c r="Z28" s="22" t="s">
        <v>295</v>
      </c>
    </row>
    <row r="29" spans="1:26">
      <c r="A29" s="18" t="s">
        <v>210</v>
      </c>
      <c r="B29" s="18" t="s">
        <v>214</v>
      </c>
      <c r="C29" s="18" t="s">
        <v>213</v>
      </c>
      <c r="D29" s="18" t="s">
        <v>211</v>
      </c>
      <c r="E29" s="18" t="s">
        <v>212</v>
      </c>
      <c r="F29" s="23" t="s">
        <v>293</v>
      </c>
      <c r="G29" s="23" t="s">
        <v>292</v>
      </c>
      <c r="H29" s="23" t="s">
        <v>292</v>
      </c>
      <c r="I29" s="23"/>
      <c r="J29" s="23"/>
      <c r="K29" s="23" t="s">
        <v>292</v>
      </c>
      <c r="L29" s="23"/>
      <c r="M29" s="23"/>
      <c r="N29" s="23"/>
      <c r="O29" s="23"/>
      <c r="Q29" s="23"/>
      <c r="R29" s="23"/>
      <c r="T29" s="23"/>
      <c r="U29" s="23"/>
      <c r="V29" s="23"/>
      <c r="W29" s="23"/>
      <c r="X29" s="23"/>
      <c r="Y29" s="23"/>
      <c r="Z29" s="23"/>
    </row>
    <row r="30" spans="1:26">
      <c r="A30" s="20" t="s">
        <v>218</v>
      </c>
      <c r="B30" s="17" t="s">
        <v>222</v>
      </c>
      <c r="C30" s="17" t="s">
        <v>221</v>
      </c>
      <c r="D30" s="20" t="s">
        <v>219</v>
      </c>
      <c r="E30" s="20" t="s">
        <v>220</v>
      </c>
      <c r="F30" s="22"/>
      <c r="G30" s="22"/>
      <c r="H30" s="22" t="s">
        <v>293</v>
      </c>
      <c r="I30" s="22"/>
      <c r="J30" s="22" t="s">
        <v>292</v>
      </c>
      <c r="K30" s="22" t="s">
        <v>292</v>
      </c>
      <c r="L30" s="22" t="s">
        <v>292</v>
      </c>
      <c r="M30" s="22"/>
      <c r="N30" s="22"/>
      <c r="O30" s="22"/>
      <c r="Q30" s="22" t="s">
        <v>292</v>
      </c>
      <c r="R30" s="22"/>
      <c r="T30" s="22"/>
      <c r="U30" s="22"/>
      <c r="V30" s="22"/>
      <c r="W30" s="22"/>
      <c r="X30" s="22"/>
      <c r="Y30" s="22"/>
      <c r="Z30" s="22"/>
    </row>
    <row r="31" spans="1:26">
      <c r="A31" s="18" t="s">
        <v>226</v>
      </c>
      <c r="B31" s="18" t="s">
        <v>230</v>
      </c>
      <c r="C31" s="18" t="s">
        <v>229</v>
      </c>
      <c r="D31" s="18" t="s">
        <v>227</v>
      </c>
      <c r="E31" s="18" t="s">
        <v>228</v>
      </c>
      <c r="F31" s="23"/>
      <c r="G31" s="23"/>
      <c r="H31" s="23"/>
      <c r="I31" s="23"/>
      <c r="J31" s="23"/>
      <c r="K31" s="23" t="s">
        <v>292</v>
      </c>
      <c r="L31" s="23" t="s">
        <v>292</v>
      </c>
      <c r="M31" s="23">
        <v>1</v>
      </c>
      <c r="N31" s="23">
        <v>2</v>
      </c>
      <c r="O31" s="23"/>
      <c r="Q31" s="23">
        <v>1</v>
      </c>
      <c r="R31" s="23"/>
      <c r="T31" s="23"/>
      <c r="U31" s="23">
        <v>2</v>
      </c>
      <c r="V31" s="23"/>
      <c r="W31" s="23">
        <v>1</v>
      </c>
      <c r="X31" s="23"/>
      <c r="Y31" s="23">
        <v>2</v>
      </c>
      <c r="Z31" s="28">
        <v>2</v>
      </c>
    </row>
    <row r="32" spans="1:26">
      <c r="A32" s="20" t="s">
        <v>235</v>
      </c>
      <c r="B32" s="17" t="s">
        <v>240</v>
      </c>
      <c r="C32" s="17" t="s">
        <v>238</v>
      </c>
      <c r="D32" s="20" t="s">
        <v>236</v>
      </c>
      <c r="E32" s="20" t="s">
        <v>237</v>
      </c>
      <c r="F32" s="22"/>
      <c r="G32" s="22" t="s">
        <v>292</v>
      </c>
      <c r="H32" s="22">
        <v>2</v>
      </c>
      <c r="I32" s="22"/>
      <c r="J32" s="22" t="s">
        <v>292</v>
      </c>
      <c r="K32" s="22"/>
      <c r="L32" s="22"/>
      <c r="M32" s="22"/>
      <c r="N32" s="22"/>
      <c r="O32" s="22"/>
      <c r="Q32" s="22"/>
      <c r="R32" s="22" t="s">
        <v>295</v>
      </c>
      <c r="T32" s="22"/>
      <c r="U32" s="22"/>
      <c r="V32" s="22"/>
      <c r="W32" s="22"/>
      <c r="X32" s="22"/>
      <c r="Y32" s="22"/>
      <c r="Z32" s="22"/>
    </row>
    <row r="33" spans="1:26">
      <c r="A33" s="18" t="s">
        <v>246</v>
      </c>
      <c r="B33" s="18" t="s">
        <v>251</v>
      </c>
      <c r="C33" s="18" t="s">
        <v>249</v>
      </c>
      <c r="D33" s="18" t="s">
        <v>247</v>
      </c>
      <c r="E33" s="18" t="s">
        <v>248</v>
      </c>
      <c r="F33" s="23" t="s">
        <v>292</v>
      </c>
      <c r="G33" s="23" t="s">
        <v>293</v>
      </c>
      <c r="H33" s="23">
        <v>3</v>
      </c>
      <c r="I33" s="23" t="s">
        <v>292</v>
      </c>
      <c r="J33" s="23" t="s">
        <v>292</v>
      </c>
      <c r="K33" s="23">
        <v>2</v>
      </c>
      <c r="L33" s="23">
        <v>2</v>
      </c>
      <c r="M33" s="23">
        <v>3</v>
      </c>
      <c r="N33" s="23"/>
      <c r="O33" s="23">
        <v>3</v>
      </c>
      <c r="Q33" s="23"/>
      <c r="R33" s="23"/>
      <c r="T33" s="23"/>
      <c r="U33" s="23">
        <v>3</v>
      </c>
      <c r="V33" s="23"/>
      <c r="W33" s="23">
        <v>1</v>
      </c>
      <c r="X33" s="28">
        <v>5</v>
      </c>
      <c r="Y33" s="23"/>
      <c r="Z33" s="23">
        <v>2</v>
      </c>
    </row>
    <row r="34" spans="1:26">
      <c r="A34" s="20" t="s">
        <v>256</v>
      </c>
      <c r="B34" s="17" t="s">
        <v>261</v>
      </c>
      <c r="C34" s="17" t="s">
        <v>260</v>
      </c>
      <c r="D34" s="20" t="s">
        <v>258</v>
      </c>
      <c r="E34" s="20" t="s">
        <v>259</v>
      </c>
      <c r="F34" s="22" t="s">
        <v>292</v>
      </c>
      <c r="G34" s="22">
        <v>1</v>
      </c>
      <c r="H34" s="22"/>
      <c r="I34" s="22" t="s">
        <v>292</v>
      </c>
      <c r="J34" s="25" t="s">
        <v>295</v>
      </c>
      <c r="K34" s="22"/>
      <c r="L34" s="22"/>
      <c r="M34" s="22"/>
      <c r="N34" s="22"/>
      <c r="O34" s="22"/>
      <c r="Q34" s="22"/>
      <c r="R34" s="22"/>
      <c r="T34" s="22"/>
      <c r="U34" s="22"/>
      <c r="V34" s="22"/>
      <c r="W34" s="22"/>
      <c r="X34" s="22"/>
      <c r="Y34" s="22"/>
      <c r="Z34" s="22"/>
    </row>
    <row r="35" spans="1:26">
      <c r="A35" s="18" t="s">
        <v>267</v>
      </c>
      <c r="B35" s="18" t="s">
        <v>272</v>
      </c>
      <c r="C35" s="18" t="s">
        <v>270</v>
      </c>
      <c r="D35" s="18" t="s">
        <v>268</v>
      </c>
      <c r="E35" s="18" t="s">
        <v>269</v>
      </c>
      <c r="F35" s="23"/>
      <c r="G35" s="23"/>
      <c r="H35" s="23"/>
      <c r="I35" s="23"/>
      <c r="J35" s="23"/>
      <c r="K35" s="23" t="s">
        <v>292</v>
      </c>
      <c r="L35" s="23" t="s">
        <v>292</v>
      </c>
      <c r="M35" s="23">
        <v>2</v>
      </c>
      <c r="N35" s="23" t="s">
        <v>292</v>
      </c>
      <c r="O35" s="23"/>
      <c r="Q35" s="23"/>
      <c r="R35" s="23"/>
      <c r="T35" s="23" t="s">
        <v>292</v>
      </c>
      <c r="U35" s="23" t="s">
        <v>292</v>
      </c>
      <c r="V35" s="23"/>
      <c r="W35" s="23"/>
      <c r="X35" s="23"/>
      <c r="Y35" s="23" t="s">
        <v>292</v>
      </c>
      <c r="Z35" s="23" t="s">
        <v>293</v>
      </c>
    </row>
    <row r="36" spans="1:26">
      <c r="A36" s="20" t="s">
        <v>279</v>
      </c>
      <c r="B36" s="19" t="s">
        <v>283</v>
      </c>
      <c r="C36" s="19" t="s">
        <v>282</v>
      </c>
      <c r="D36" s="20" t="s">
        <v>280</v>
      </c>
      <c r="E36" s="20" t="s">
        <v>281</v>
      </c>
      <c r="F36" s="24" t="s">
        <v>292</v>
      </c>
      <c r="G36" s="24"/>
      <c r="H36" s="24" t="s">
        <v>292</v>
      </c>
      <c r="I36" s="24"/>
      <c r="J36" s="24"/>
      <c r="K36" s="24" t="s">
        <v>292</v>
      </c>
      <c r="L36" s="24" t="s">
        <v>292</v>
      </c>
      <c r="M36" s="24" t="s">
        <v>292</v>
      </c>
      <c r="N36" s="24"/>
      <c r="O36" s="24"/>
      <c r="Q36" s="24"/>
      <c r="R36" s="24"/>
      <c r="T36" s="24"/>
      <c r="U36" s="24"/>
      <c r="V36" s="24"/>
      <c r="W36" s="24"/>
      <c r="X36" s="24"/>
      <c r="Y36" s="24"/>
      <c r="Z36" s="24"/>
    </row>
  </sheetData>
  <mergeCells count="17">
    <mergeCell ref="AB5:AC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  <mergeCell ref="A5:A6"/>
    <mergeCell ref="B5:B6"/>
    <mergeCell ref="C5:C6"/>
    <mergeCell ref="D5:D6"/>
    <mergeCell ref="F5:G5"/>
    <mergeCell ref="E5:E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</vt:lpstr>
      <vt:lpstr>Asistencia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modified xsi:type="dcterms:W3CDTF">2026-08-31T05:03:47Z</dcterms:modified>
</cp:coreProperties>
</file>