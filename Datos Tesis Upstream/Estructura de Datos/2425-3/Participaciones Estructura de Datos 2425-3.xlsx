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1"/>
  <workbookPr/>
  <mc:AlternateContent xmlns:mc="http://schemas.openxmlformats.org/markup-compatibility/2006">
    <mc:Choice Requires="x15">
      <x15ac:absPath xmlns:x15ac="http://schemas.microsoft.com/office/spreadsheetml/2010/11/ac" url="/Users/nelsoncarrillo/Downloads/tesis-prediccion-participacion/Datos Tesis Upstream/Estructura de Datos/2425-3/"/>
    </mc:Choice>
  </mc:AlternateContent>
  <xr:revisionPtr revIDLastSave="0" documentId="13_ncr:1_{30F2C18B-42C1-6A40-9C27-0AD2B82C0A2A}" xr6:coauthVersionLast="47" xr6:coauthVersionMax="47" xr10:uidLastSave="{00000000-0000-0000-0000-000000000000}"/>
  <bookViews>
    <workbookView xWindow="0" yWindow="600" windowWidth="28800" windowHeight="16100" activeTab="2" xr2:uid="{00000000-000D-0000-FFFF-FFFF00000000}"/>
  </bookViews>
  <sheets>
    <sheet name="Lista" sheetId="1" r:id="rId1"/>
    <sheet name="Partic" sheetId="2" r:id="rId2"/>
    <sheet name="Estandar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32" i="2" l="1"/>
  <c r="T32" i="2"/>
  <c r="S32" i="2"/>
  <c r="R32" i="2"/>
  <c r="Q32" i="2"/>
  <c r="P32" i="2"/>
  <c r="O32" i="2"/>
  <c r="N32" i="2"/>
  <c r="M32" i="2"/>
  <c r="L32" i="2"/>
  <c r="K32" i="2"/>
  <c r="J32" i="2"/>
  <c r="I32" i="2"/>
  <c r="H32" i="2"/>
  <c r="G32" i="2"/>
  <c r="F32" i="2"/>
  <c r="W32" i="2" s="1"/>
  <c r="E32" i="2"/>
  <c r="X31" i="2"/>
  <c r="W31" i="2"/>
  <c r="D31" i="2"/>
  <c r="C31" i="2"/>
  <c r="B31" i="2"/>
  <c r="A31" i="2"/>
  <c r="X30" i="2"/>
  <c r="W30" i="2"/>
  <c r="D30" i="2"/>
  <c r="C30" i="2"/>
  <c r="B30" i="2"/>
  <c r="A30" i="2"/>
  <c r="W29" i="2"/>
  <c r="X29" i="2" s="1"/>
  <c r="D29" i="2"/>
  <c r="C29" i="2"/>
  <c r="B29" i="2"/>
  <c r="A29" i="2"/>
  <c r="X28" i="2"/>
  <c r="W28" i="2"/>
  <c r="D28" i="2"/>
  <c r="C28" i="2"/>
  <c r="B28" i="2"/>
  <c r="A28" i="2"/>
  <c r="X27" i="2"/>
  <c r="W27" i="2"/>
  <c r="D27" i="2"/>
  <c r="C27" i="2"/>
  <c r="B27" i="2"/>
  <c r="A27" i="2"/>
  <c r="X26" i="2"/>
  <c r="W26" i="2"/>
  <c r="D26" i="2"/>
  <c r="C26" i="2"/>
  <c r="B26" i="2"/>
  <c r="A26" i="2"/>
  <c r="W25" i="2"/>
  <c r="X25" i="2" s="1"/>
  <c r="D25" i="2"/>
  <c r="C25" i="2"/>
  <c r="B25" i="2"/>
  <c r="A25" i="2"/>
  <c r="X24" i="2"/>
  <c r="W24" i="2"/>
  <c r="D24" i="2"/>
  <c r="C24" i="2"/>
  <c r="B24" i="2"/>
  <c r="A24" i="2"/>
  <c r="X23" i="2"/>
  <c r="W23" i="2"/>
  <c r="D23" i="2"/>
  <c r="C23" i="2"/>
  <c r="B23" i="2"/>
  <c r="A23" i="2"/>
  <c r="X22" i="2"/>
  <c r="W22" i="2"/>
  <c r="D22" i="2"/>
  <c r="C22" i="2"/>
  <c r="B22" i="2"/>
  <c r="A22" i="2"/>
  <c r="W21" i="2"/>
  <c r="X21" i="2" s="1"/>
  <c r="D21" i="2"/>
  <c r="C21" i="2"/>
  <c r="B21" i="2"/>
  <c r="A21" i="2"/>
  <c r="X20" i="2"/>
  <c r="W20" i="2"/>
  <c r="D20" i="2"/>
  <c r="C20" i="2"/>
  <c r="B20" i="2"/>
  <c r="A20" i="2"/>
  <c r="X19" i="2"/>
  <c r="W19" i="2"/>
  <c r="D19" i="2"/>
  <c r="C19" i="2"/>
  <c r="B19" i="2"/>
  <c r="A19" i="2"/>
  <c r="X18" i="2"/>
  <c r="W18" i="2"/>
  <c r="D18" i="2"/>
  <c r="C18" i="2"/>
  <c r="B18" i="2"/>
  <c r="A18" i="2"/>
  <c r="W17" i="2"/>
  <c r="X17" i="2" s="1"/>
  <c r="D17" i="2"/>
  <c r="C17" i="2"/>
  <c r="B17" i="2"/>
  <c r="A17" i="2"/>
  <c r="X16" i="2"/>
  <c r="W16" i="2"/>
  <c r="D16" i="2"/>
  <c r="C16" i="2"/>
  <c r="B16" i="2"/>
  <c r="A16" i="2"/>
  <c r="X15" i="2"/>
  <c r="W15" i="2"/>
  <c r="D15" i="2"/>
  <c r="C15" i="2"/>
  <c r="B15" i="2"/>
  <c r="A15" i="2"/>
  <c r="X14" i="2"/>
  <c r="W14" i="2"/>
  <c r="D14" i="2"/>
  <c r="C14" i="2"/>
  <c r="B14" i="2"/>
  <c r="A14" i="2"/>
  <c r="W13" i="2"/>
  <c r="X13" i="2" s="1"/>
  <c r="D13" i="2"/>
  <c r="C13" i="2"/>
  <c r="B13" i="2"/>
  <c r="A13" i="2"/>
  <c r="X12" i="2"/>
  <c r="W12" i="2"/>
  <c r="D12" i="2"/>
  <c r="C12" i="2"/>
  <c r="B12" i="2"/>
  <c r="A12" i="2"/>
  <c r="X11" i="2"/>
  <c r="W11" i="2"/>
  <c r="D11" i="2"/>
  <c r="C11" i="2"/>
  <c r="B11" i="2"/>
  <c r="A11" i="2"/>
  <c r="X10" i="2"/>
  <c r="W10" i="2"/>
  <c r="D10" i="2"/>
  <c r="C10" i="2"/>
  <c r="B10" i="2"/>
  <c r="A10" i="2"/>
  <c r="W9" i="2"/>
  <c r="X9" i="2" s="1"/>
  <c r="D9" i="2"/>
  <c r="C9" i="2"/>
  <c r="B9" i="2"/>
  <c r="A9" i="2"/>
  <c r="X8" i="2"/>
  <c r="W8" i="2"/>
  <c r="D8" i="2"/>
  <c r="C8" i="2"/>
  <c r="B8" i="2"/>
  <c r="A8" i="2"/>
  <c r="X7" i="2"/>
  <c r="W7" i="2"/>
  <c r="D7" i="2"/>
  <c r="C7" i="2"/>
  <c r="B7" i="2"/>
  <c r="A7" i="2"/>
  <c r="X6" i="2"/>
  <c r="W6" i="2"/>
  <c r="D6" i="2"/>
  <c r="C6" i="2"/>
  <c r="B6" i="2"/>
  <c r="A6" i="2"/>
  <c r="W5" i="2"/>
  <c r="X5" i="2" s="1"/>
  <c r="D5" i="2"/>
  <c r="C5" i="2"/>
  <c r="B5" i="2"/>
  <c r="A5" i="2"/>
  <c r="X4" i="2"/>
  <c r="W4" i="2"/>
  <c r="D4" i="2"/>
  <c r="C4" i="2"/>
  <c r="B4" i="2"/>
  <c r="A4" i="2"/>
  <c r="X3" i="2"/>
  <c r="W3" i="2"/>
  <c r="D3" i="2"/>
  <c r="C3" i="2"/>
  <c r="B3" i="2"/>
  <c r="A3" i="2"/>
  <c r="X2" i="2"/>
  <c r="W2" i="2"/>
  <c r="D2" i="2"/>
  <c r="C2" i="2"/>
  <c r="B2" i="2"/>
  <c r="A2" i="2"/>
  <c r="B1" i="2"/>
  <c r="A1" i="2"/>
  <c r="X32" i="2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N9" authorId="0" shapeId="0" xr:uid="{00000000-0006-0000-0100-000004000000}">
      <text>
        <r>
          <rPr>
            <sz val="10"/>
            <color rgb="FF000000"/>
            <rFont val="Arial"/>
            <family val="2"/>
            <scheme val="minor"/>
          </rPr>
          <t>Ausencia justificada</t>
        </r>
      </text>
    </comment>
    <comment ref="O9" authorId="0" shapeId="0" xr:uid="{00000000-0006-0000-0100-000005000000}">
      <text>
        <r>
          <rPr>
            <sz val="10"/>
            <color rgb="FF000000"/>
            <rFont val="Arial"/>
            <family val="2"/>
          </rPr>
          <t>Ausencia justificada</t>
        </r>
      </text>
    </comment>
    <comment ref="P9" authorId="0" shapeId="0" xr:uid="{00000000-0006-0000-0100-000006000000}">
      <text>
        <r>
          <rPr>
            <sz val="10"/>
            <color rgb="FF000000"/>
            <rFont val="Arial"/>
            <family val="2"/>
            <scheme val="minor"/>
          </rPr>
          <t>Ausencia justificada</t>
        </r>
      </text>
    </comment>
    <comment ref="Q9" authorId="0" shapeId="0" xr:uid="{00000000-0006-0000-0100-000007000000}">
      <text>
        <r>
          <rPr>
            <sz val="10"/>
            <color rgb="FF000000"/>
            <rFont val="Arial"/>
            <family val="2"/>
            <scheme val="minor"/>
          </rPr>
          <t>Ausencia justificada</t>
        </r>
      </text>
    </comment>
    <comment ref="R9" authorId="0" shapeId="0" xr:uid="{00000000-0006-0000-0100-000008000000}">
      <text>
        <r>
          <rPr>
            <sz val="10"/>
            <color rgb="FF000000"/>
            <rFont val="Arial"/>
            <family val="2"/>
            <scheme val="minor"/>
          </rPr>
          <t>Ausencia justificada</t>
        </r>
      </text>
    </comment>
    <comment ref="E21" authorId="0" shapeId="0" xr:uid="{00000000-0006-0000-0100-000001000000}">
      <text>
        <r>
          <rPr>
            <sz val="10"/>
            <color rgb="FF000000"/>
            <rFont val="Arial"/>
            <family val="2"/>
            <scheme val="minor"/>
          </rPr>
          <t>Ausencia justificada</t>
        </r>
      </text>
    </comment>
    <comment ref="F21" authorId="0" shapeId="0" xr:uid="{00000000-0006-0000-0100-000002000000}">
      <text>
        <r>
          <rPr>
            <sz val="10"/>
            <color rgb="FF000000"/>
            <rFont val="Arial"/>
            <family val="2"/>
            <scheme val="minor"/>
          </rPr>
          <t>Ausencia justificada</t>
        </r>
      </text>
    </comment>
    <comment ref="G21" authorId="0" shapeId="0" xr:uid="{00000000-0006-0000-0100-000003000000}">
      <text>
        <r>
          <rPr>
            <sz val="10"/>
            <color rgb="FF000000"/>
            <rFont val="Arial"/>
            <family val="2"/>
            <scheme val="minor"/>
          </rPr>
          <t>Ausencia justificada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P14" authorId="0" shapeId="0" xr:uid="{DDFD58BF-8671-BF47-B901-4DA127952EFA}">
      <text>
        <r>
          <rPr>
            <sz val="10"/>
            <color rgb="FF000000"/>
            <rFont val="Arial"/>
            <family val="2"/>
            <scheme val="minor"/>
          </rPr>
          <t>Ausencia justificada</t>
        </r>
      </text>
    </comment>
    <comment ref="Q14" authorId="0" shapeId="0" xr:uid="{15F0083E-DEA1-1E42-9CEC-8FE754D8B5A7}">
      <text>
        <r>
          <rPr>
            <sz val="10"/>
            <color rgb="FF000000"/>
            <rFont val="Arial"/>
            <family val="2"/>
            <scheme val="minor"/>
          </rPr>
          <t>Ausencia justificada</t>
        </r>
      </text>
    </comment>
    <comment ref="R14" authorId="0" shapeId="0" xr:uid="{E104D8E2-920C-0E46-87DD-DC0672D1E575}">
      <text>
        <r>
          <rPr>
            <sz val="10"/>
            <color rgb="FF000000"/>
            <rFont val="Arial"/>
            <family val="2"/>
          </rPr>
          <t>Ausencia justificada</t>
        </r>
      </text>
    </comment>
    <comment ref="S14" authorId="0" shapeId="0" xr:uid="{CA927021-6098-B348-B093-8E8471BD5F83}">
      <text>
        <r>
          <rPr>
            <sz val="10"/>
            <color rgb="FF000000"/>
            <rFont val="Arial"/>
            <family val="2"/>
            <scheme val="minor"/>
          </rPr>
          <t>Ausencia justificada</t>
        </r>
      </text>
    </comment>
    <comment ref="T14" authorId="0" shapeId="0" xr:uid="{A2434403-7374-6B4C-BF66-7D131B5E964C}">
      <text>
        <r>
          <rPr>
            <sz val="10"/>
            <color rgb="FF000000"/>
            <rFont val="Arial"/>
            <family val="2"/>
            <scheme val="minor"/>
          </rPr>
          <t>Ausencia justificada</t>
        </r>
      </text>
    </comment>
    <comment ref="U14" authorId="0" shapeId="0" xr:uid="{E8AA28B5-633D-B346-9D2E-BC71C0DE63D5}">
      <text>
        <r>
          <rPr>
            <sz val="10"/>
            <color rgb="FF000000"/>
            <rFont val="Arial"/>
            <family val="2"/>
            <scheme val="minor"/>
          </rPr>
          <t>Ausencia justificada</t>
        </r>
      </text>
    </comment>
    <comment ref="V14" authorId="0" shapeId="0" xr:uid="{FD1BEA94-EBDE-3A4F-A807-D6BB4E49EFEF}">
      <text>
        <r>
          <rPr>
            <sz val="10"/>
            <color rgb="FF000000"/>
            <rFont val="Arial"/>
            <family val="2"/>
            <scheme val="minor"/>
          </rPr>
          <t>Ausencia justificada</t>
        </r>
      </text>
    </comment>
    <comment ref="F26" authorId="0" shapeId="0" xr:uid="{17219BCE-6032-544B-BA50-74F0D43A44B9}">
      <text>
        <r>
          <rPr>
            <sz val="10"/>
            <color rgb="FF000000"/>
            <rFont val="Arial"/>
            <family val="2"/>
            <scheme val="minor"/>
          </rPr>
          <t>Ausencia justificada</t>
        </r>
      </text>
    </comment>
    <comment ref="G26" authorId="0" shapeId="0" xr:uid="{AADDB7FF-022A-4548-8FDA-4D56ECC83EBD}">
      <text>
        <r>
          <rPr>
            <sz val="10"/>
            <color rgb="FF000000"/>
            <rFont val="Arial"/>
            <family val="2"/>
            <scheme val="minor"/>
          </rPr>
          <t>Ausencia justificada</t>
        </r>
      </text>
    </comment>
    <comment ref="H26" authorId="0" shapeId="0" xr:uid="{4FF51F6E-C4BC-AA44-9D1F-830D4180DBF7}">
      <text>
        <r>
          <rPr>
            <sz val="10"/>
            <color rgb="FF000000"/>
            <rFont val="Arial"/>
            <family val="2"/>
            <scheme val="minor"/>
          </rPr>
          <t>Ausencia justificada</t>
        </r>
      </text>
    </comment>
  </commentList>
</comments>
</file>

<file path=xl/sharedStrings.xml><?xml version="1.0" encoding="utf-8"?>
<sst xmlns="http://schemas.openxmlformats.org/spreadsheetml/2006/main" count="250" uniqueCount="167">
  <si>
    <t>ID</t>
  </si>
  <si>
    <t>CEDULA</t>
  </si>
  <si>
    <t>APELLIDO</t>
  </si>
  <si>
    <t>NOMBRE</t>
  </si>
  <si>
    <t>Segundo nombre</t>
  </si>
  <si>
    <t>correo unimet</t>
  </si>
  <si>
    <t>Ananian</t>
  </si>
  <si>
    <t>Simon</t>
  </si>
  <si>
    <t>Rafael</t>
  </si>
  <si>
    <t>simon.ananian@correo.unimet.edu.ve,</t>
  </si>
  <si>
    <t>Arcia</t>
  </si>
  <si>
    <t>Luis</t>
  </si>
  <si>
    <t>Angel</t>
  </si>
  <si>
    <t>luis.arcia@correo.unimet.edu.ve,</t>
  </si>
  <si>
    <t>Nombre de pila</t>
  </si>
  <si>
    <t>Nombre y apellido</t>
  </si>
  <si>
    <t>Calderon</t>
  </si>
  <si>
    <t>Daniel</t>
  </si>
  <si>
    <t>Antonio</t>
  </si>
  <si>
    <t>daniel.calderon@correo.unimet.edu.ve,</t>
  </si>
  <si>
    <t>Casais</t>
  </si>
  <si>
    <t>Elohym</t>
  </si>
  <si>
    <t>Joham</t>
  </si>
  <si>
    <t>casais.elohym@correo.unimet.edu.ve,</t>
  </si>
  <si>
    <t>Castillo</t>
  </si>
  <si>
    <t>Adolfo</t>
  </si>
  <si>
    <t>Alexander</t>
  </si>
  <si>
    <t>adolfo.castillo@correo.unimet.edu.ve,</t>
  </si>
  <si>
    <t>Charco</t>
  </si>
  <si>
    <t>Isaac</t>
  </si>
  <si>
    <t>Israel</t>
  </si>
  <si>
    <t>i.charco@correo.unimet.edu.ve,</t>
  </si>
  <si>
    <t>Total</t>
  </si>
  <si>
    <t>Cuello</t>
  </si>
  <si>
    <t>Jabrieliz</t>
  </si>
  <si>
    <t>Virginia</t>
  </si>
  <si>
    <t>jabrieliz.cuello@correo.unimet.edu.ve,</t>
  </si>
  <si>
    <t>De Michele</t>
  </si>
  <si>
    <t>Elizabeth</t>
  </si>
  <si>
    <t>Sarah Valentina</t>
  </si>
  <si>
    <t>elidemichele@correo.unimet.edu.ve,</t>
  </si>
  <si>
    <t>Del Giudice</t>
  </si>
  <si>
    <t>Gianmarco</t>
  </si>
  <si>
    <t>gianmarco.delgiudice@correo.unimet.edu.ve,</t>
  </si>
  <si>
    <t>Giner</t>
  </si>
  <si>
    <t>Santiago</t>
  </si>
  <si>
    <t>Ricarte</t>
  </si>
  <si>
    <t>santiago.giner@correo.unimet.edu.ve,</t>
  </si>
  <si>
    <t>Gonzalez</t>
  </si>
  <si>
    <t>Eduardo</t>
  </si>
  <si>
    <t>Andres</t>
  </si>
  <si>
    <t>g.eduardo@correo.unimet.edu.ve,</t>
  </si>
  <si>
    <t>Guzzo</t>
  </si>
  <si>
    <t>Alfredo</t>
  </si>
  <si>
    <t>antonio.guzzo@correo.unimet.edu.ve,</t>
  </si>
  <si>
    <t>Hernandez</t>
  </si>
  <si>
    <t>Gabriel</t>
  </si>
  <si>
    <t>Alejandro</t>
  </si>
  <si>
    <t>gabriel-hernandez@correo.unimet.edu.ve,</t>
  </si>
  <si>
    <t>Hurtado</t>
  </si>
  <si>
    <t>Kelvin</t>
  </si>
  <si>
    <t>Enrique</t>
  </si>
  <si>
    <t>h.kelvin@correo.unimet.edu.ve,</t>
  </si>
  <si>
    <t>Loynaz</t>
  </si>
  <si>
    <t>Alexandra</t>
  </si>
  <si>
    <t>Eugenia</t>
  </si>
  <si>
    <t>alexandra.loynaz@correo.unimet.edu.ve,</t>
  </si>
  <si>
    <t>Lynch</t>
  </si>
  <si>
    <t>Corina</t>
  </si>
  <si>
    <t>Beatriz</t>
  </si>
  <si>
    <t>c.lynch@correo.unimet.edu.ve,</t>
  </si>
  <si>
    <t>Martens</t>
  </si>
  <si>
    <t>alejandro.martens@correo.unimet.edu.ve,</t>
  </si>
  <si>
    <t>Mendez</t>
  </si>
  <si>
    <t>Nicolas</t>
  </si>
  <si>
    <t>n.mendez@correo.unimet.edu.ve,</t>
  </si>
  <si>
    <t>Méndez</t>
  </si>
  <si>
    <t>Sebastián</t>
  </si>
  <si>
    <t>Andrés</t>
  </si>
  <si>
    <t>sebastian.mendez@correo.unimet.edu.ve,</t>
  </si>
  <si>
    <t>Pareles</t>
  </si>
  <si>
    <t>Andrea</t>
  </si>
  <si>
    <t>Patricia</t>
  </si>
  <si>
    <t>andrea.pareles@correo.unimet.edu.ve,</t>
  </si>
  <si>
    <t>Perez</t>
  </si>
  <si>
    <t>perez.gabriel@correo.unimet.edu.ve,</t>
  </si>
  <si>
    <t>Petit</t>
  </si>
  <si>
    <t>npetit@correo.unimet.edu.ve,</t>
  </si>
  <si>
    <t>Quintero</t>
  </si>
  <si>
    <t>alejandro.quintero@correo.unimet.edu.ve,</t>
  </si>
  <si>
    <t>Rodríguez</t>
  </si>
  <si>
    <t>Jesus</t>
  </si>
  <si>
    <t>je.rodriguez@correo.unimet.edu.ve,</t>
  </si>
  <si>
    <t>Rojas</t>
  </si>
  <si>
    <t>Luciano</t>
  </si>
  <si>
    <t>Nicola</t>
  </si>
  <si>
    <t>luciano.rojas@correo.unimet.edu.ve,</t>
  </si>
  <si>
    <t>Salimbeni</t>
  </si>
  <si>
    <t>César</t>
  </si>
  <si>
    <t>cesar.salimbeni@correo.unimet.edu.ve,</t>
  </si>
  <si>
    <t>Schneider</t>
  </si>
  <si>
    <t>Jesús</t>
  </si>
  <si>
    <t>jesus.schneider@correo.unimet.edu.ve,</t>
  </si>
  <si>
    <t>Silva</t>
  </si>
  <si>
    <t>Elva</t>
  </si>
  <si>
    <t>María</t>
  </si>
  <si>
    <t>elva.silva@correo.unimet.edu.ve,</t>
  </si>
  <si>
    <t>Sánchez</t>
  </si>
  <si>
    <t>Victoria</t>
  </si>
  <si>
    <t>s.andrea@correo.unimet.edu.ve,</t>
  </si>
  <si>
    <t>Yrady</t>
  </si>
  <si>
    <t>Richard</t>
  </si>
  <si>
    <t>richard.yrady@correo.unimet.edu.ve,</t>
  </si>
  <si>
    <t>⚕️</t>
  </si>
  <si>
    <r>
      <rPr>
        <b/>
        <sz val="10"/>
        <rFont val="Arial"/>
        <family val="2"/>
      </rPr>
      <t>Materia:</t>
    </r>
  </si>
  <si>
    <r>
      <rPr>
        <b/>
        <sz val="10"/>
        <rFont val="Arial"/>
        <family val="2"/>
      </rPr>
      <t>Trimestre:</t>
    </r>
  </si>
  <si>
    <r>
      <rPr>
        <b/>
        <sz val="10"/>
        <rFont val="Arial"/>
        <family val="2"/>
      </rPr>
      <t>Sección:</t>
    </r>
  </si>
  <si>
    <r>
      <rPr>
        <b/>
        <sz val="10"/>
        <rFont val="Arial"/>
        <family val="2"/>
      </rPr>
      <t>numero_lista</t>
    </r>
  </si>
  <si>
    <r>
      <rPr>
        <b/>
        <sz val="10"/>
        <rFont val="Arial"/>
        <family val="2"/>
      </rPr>
      <t>nombre</t>
    </r>
  </si>
  <si>
    <r>
      <rPr>
        <b/>
        <sz val="10"/>
        <rFont val="Arial"/>
        <family val="2"/>
      </rPr>
      <t>apellido</t>
    </r>
  </si>
  <si>
    <r>
      <rPr>
        <b/>
        <sz val="10"/>
        <rFont val="Arial"/>
        <family val="2"/>
      </rPr>
      <t>cedula</t>
    </r>
  </si>
  <si>
    <r>
      <rPr>
        <b/>
        <sz val="10"/>
        <rFont val="Arial"/>
        <family val="2"/>
      </rPr>
      <t>Semana 1</t>
    </r>
  </si>
  <si>
    <r>
      <rPr>
        <b/>
        <sz val="10"/>
        <rFont val="Arial"/>
        <family val="2"/>
      </rPr>
      <t>Semana 2</t>
    </r>
  </si>
  <si>
    <r>
      <rPr>
        <b/>
        <sz val="10"/>
        <rFont val="Arial"/>
        <family val="2"/>
      </rPr>
      <t>Semana 3</t>
    </r>
  </si>
  <si>
    <r>
      <rPr>
        <b/>
        <sz val="10"/>
        <rFont val="Arial"/>
        <family val="2"/>
      </rPr>
      <t>Semana 4</t>
    </r>
  </si>
  <si>
    <r>
      <rPr>
        <b/>
        <sz val="10"/>
        <rFont val="Arial"/>
        <family val="2"/>
      </rPr>
      <t>Semana 5</t>
    </r>
  </si>
  <si>
    <r>
      <rPr>
        <b/>
        <sz val="10"/>
        <rFont val="Arial"/>
        <family val="2"/>
      </rPr>
      <t>Semana 6</t>
    </r>
  </si>
  <si>
    <r>
      <rPr>
        <b/>
        <sz val="10"/>
        <rFont val="Arial"/>
        <family val="2"/>
      </rPr>
      <t>Semana 7</t>
    </r>
  </si>
  <si>
    <r>
      <rPr>
        <b/>
        <sz val="10"/>
        <rFont val="Arial"/>
        <family val="2"/>
      </rPr>
      <t>Semana 8</t>
    </r>
  </si>
  <si>
    <r>
      <rPr>
        <b/>
        <sz val="10"/>
        <rFont val="Arial"/>
        <family val="2"/>
      </rPr>
      <t>Semana 9</t>
    </r>
  </si>
  <si>
    <r>
      <rPr>
        <b/>
        <sz val="10"/>
        <rFont val="Arial"/>
        <family val="2"/>
      </rPr>
      <t>Semana 10</t>
    </r>
  </si>
  <si>
    <r>
      <rPr>
        <b/>
        <sz val="10"/>
        <rFont val="Arial"/>
        <family val="2"/>
      </rPr>
      <t>Semana 11</t>
    </r>
  </si>
  <si>
    <r>
      <rPr>
        <b/>
        <sz val="10"/>
        <rFont val="Arial"/>
        <family val="2"/>
      </rPr>
      <t>Semana 12</t>
    </r>
  </si>
  <si>
    <t>Simon Rafael</t>
  </si>
  <si>
    <t>Luis Angel</t>
  </si>
  <si>
    <t>Daniel Antonio</t>
  </si>
  <si>
    <t>Elohym Joham</t>
  </si>
  <si>
    <t>Adolfo Alexander</t>
  </si>
  <si>
    <t>Isaac Israel</t>
  </si>
  <si>
    <t>Jabrieliz Virginia</t>
  </si>
  <si>
    <t>Elizabeth Sarah Valentina</t>
  </si>
  <si>
    <t xml:space="preserve">Gianmarco </t>
  </si>
  <si>
    <t>Santiago Ricarte</t>
  </si>
  <si>
    <t>Eduardo Andres</t>
  </si>
  <si>
    <t>Antonio Alfredo</t>
  </si>
  <si>
    <t>Gabriel Alejandro</t>
  </si>
  <si>
    <t>Kelvin Enrique</t>
  </si>
  <si>
    <t>Alexandra Eugenia</t>
  </si>
  <si>
    <t>Corina Beatriz</t>
  </si>
  <si>
    <t>Alejandro Andres</t>
  </si>
  <si>
    <t>Nicolas Eduardo</t>
  </si>
  <si>
    <t>Sebastián Andrés</t>
  </si>
  <si>
    <t>Andrea Patricia</t>
  </si>
  <si>
    <t xml:space="preserve">Nicolas </t>
  </si>
  <si>
    <t>Alejandro Enrique</t>
  </si>
  <si>
    <t>Jesus Gabriel</t>
  </si>
  <si>
    <t>Luciano Nicola</t>
  </si>
  <si>
    <t>César Alexander</t>
  </si>
  <si>
    <t>Jesús Alejandro</t>
  </si>
  <si>
    <t>Elva María</t>
  </si>
  <si>
    <t>Andrea Victoria</t>
  </si>
  <si>
    <t>Richard Alejandro</t>
  </si>
  <si>
    <t>martes</t>
  </si>
  <si>
    <t>jueves</t>
  </si>
  <si>
    <t>Estructura de Datos</t>
  </si>
  <si>
    <t>2425-3</t>
  </si>
  <si>
    <t>carnet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</si>
</sst>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5">
    <numFmt numFmtId="164" formatCode="d\ mmm"/>
    <numFmt numFmtId="165" formatCode="mmm\ d"/>
    <numFmt numFmtId="166" formatCode="mmmm\ d"/>
    <numFmt numFmtId="167" formatCode="d\ mmmm"/>
    <numFmt numFmtId="168" formatCode="dd\-mm\-yy;@"/>
  </numFmts>
  <fonts count="8" x14ac:knownFonts="1">
    <font>
      <sz val="10"/>
      <color rgb="FF000000"/>
      <name val="Arial"/>
      <scheme val="minor"/>
    </font>
    <font>
      <b/>
      <sz val="10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sz val="10"/>
      <color rgb="FF000000"/>
      <name val="Arial"/>
      <family val="2"/>
      <scheme val="minor"/>
    </font>
    <font>
      <b/>
      <sz val="10"/>
      <name val="Arial"/>
      <family val="2"/>
    </font>
    <font>
      <sz val="10"/>
      <color rgb="FF000000"/>
      <name val="Arial"/>
      <family val="2"/>
    </font>
    <font>
      <sz val="8"/>
      <name val="Arial"/>
      <family val="2"/>
      <scheme val="minor"/>
    </font>
    <font>
      <b/>
      <sz val="10"/>
      <color rgb="FF000000"/>
      <name val="Arial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BDBDBD"/>
        <bgColor rgb="FFBDBDBD"/>
      </patternFill>
    </fill>
    <fill>
      <patternFill patternType="solid">
        <fgColor rgb="FFFFFFFF"/>
        <bgColor rgb="FFFFFFFF"/>
      </patternFill>
    </fill>
    <fill>
      <patternFill patternType="solid">
        <fgColor rgb="FFF3F3F3"/>
        <bgColor rgb="FFF3F3F3"/>
      </patternFill>
    </fill>
    <fill>
      <patternFill patternType="solid">
        <fgColor rgb="FFE0F7FA"/>
        <bgColor rgb="FFE0F7F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0" xfId="0" applyFont="1" applyFill="1"/>
    <xf numFmtId="0" fontId="1" fillId="0" borderId="0" xfId="0" applyFont="1"/>
    <xf numFmtId="0" fontId="2" fillId="3" borderId="0" xfId="0" applyFont="1" applyFill="1"/>
    <xf numFmtId="0" fontId="2" fillId="4" borderId="0" xfId="0" applyFont="1" applyFill="1"/>
    <xf numFmtId="164" fontId="1" fillId="0" borderId="0" xfId="0" applyNumberFormat="1" applyFont="1"/>
    <xf numFmtId="165" fontId="1" fillId="0" borderId="0" xfId="0" applyNumberFormat="1" applyFont="1"/>
    <xf numFmtId="166" fontId="1" fillId="0" borderId="0" xfId="0" applyNumberFormat="1" applyFont="1"/>
    <xf numFmtId="167" fontId="1" fillId="0" borderId="0" xfId="0" applyNumberFormat="1" applyFont="1"/>
    <xf numFmtId="0" fontId="2" fillId="0" borderId="0" xfId="0" applyFont="1"/>
    <xf numFmtId="9" fontId="2" fillId="0" borderId="0" xfId="0" applyNumberFormat="1" applyFont="1"/>
    <xf numFmtId="0" fontId="2" fillId="0" borderId="0" xfId="0" applyFont="1" applyAlignment="1">
      <alignment horizontal="center"/>
    </xf>
    <xf numFmtId="9" fontId="1" fillId="0" borderId="0" xfId="0" applyNumberFormat="1" applyFont="1"/>
    <xf numFmtId="0" fontId="2" fillId="5" borderId="0" xfId="0" applyFont="1" applyFill="1"/>
    <xf numFmtId="0" fontId="1" fillId="5" borderId="0" xfId="0" applyFont="1" applyFill="1"/>
    <xf numFmtId="0" fontId="1" fillId="3" borderId="0" xfId="0" applyFont="1" applyFill="1"/>
    <xf numFmtId="0" fontId="2" fillId="3" borderId="0" xfId="0" applyFont="1" applyFill="1" applyAlignment="1">
      <alignment horizontal="center"/>
    </xf>
    <xf numFmtId="0" fontId="3" fillId="0" borderId="0" xfId="0" applyFont="1"/>
    <xf numFmtId="168" fontId="3" fillId="0" borderId="0" xfId="0" applyNumberFormat="1" applyFont="1"/>
    <xf numFmtId="0" fontId="0" fillId="0" borderId="0" xfId="0"/>
    <xf numFmtId="0" fontId="2" fillId="3" borderId="0" xfId="0" applyFont="1" applyFill="1"/>
    <xf numFmtId="0" fontId="0" fillId="0" borderId="0" xfId="0" applyAlignment="1">
      <alignment horizontal="center"/>
    </xf>
    <xf numFmtId="0" fontId="7" fillId="0" borderId="0" xfId="0" applyFont="1" applyAlignment="1">
      <alignment horizontal="center"/>
    </xf>
  </cellXfs>
  <cellStyles count="1">
    <cellStyle name="Normal" xfId="0" builtinId="0"/>
  </cellStyles>
  <dxfs count="3">
    <dxf>
      <fill>
        <patternFill patternType="solid">
          <fgColor rgb="FFE0F7FA"/>
          <bgColor rgb="FFE0F7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4DD0E1"/>
          <bgColor rgb="FF4DD0E1"/>
        </patternFill>
      </fill>
    </dxf>
  </dxfs>
  <tableStyles count="1">
    <tableStyle name="Partic-style" pivot="0" count="3" xr9:uid="{00000000-0011-0000-FFFF-FFFF00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X32" headerRowCount="0">
  <tableColumns count="24">
    <tableColumn id="1" xr3:uid="{00000000-0010-0000-0000-000001000000}" name="Column1"/>
    <tableColumn id="2" xr3:uid="{00000000-0010-0000-0000-000002000000}" name="Column2"/>
    <tableColumn id="3" xr3:uid="{00000000-0010-0000-0000-000003000000}" name="Column3"/>
    <tableColumn id="4" xr3:uid="{00000000-0010-0000-0000-000004000000}" name="Column4"/>
    <tableColumn id="5" xr3:uid="{00000000-0010-0000-0000-000005000000}" name="Column5"/>
    <tableColumn id="6" xr3:uid="{00000000-0010-0000-0000-000006000000}" name="Column6"/>
    <tableColumn id="7" xr3:uid="{00000000-0010-0000-0000-000007000000}" name="Column7"/>
    <tableColumn id="8" xr3:uid="{00000000-0010-0000-0000-000008000000}" name="Column8"/>
    <tableColumn id="9" xr3:uid="{00000000-0010-0000-0000-000009000000}" name="Column9"/>
    <tableColumn id="10" xr3:uid="{00000000-0010-0000-0000-00000A000000}" name="Column10"/>
    <tableColumn id="11" xr3:uid="{00000000-0010-0000-0000-00000B000000}" name="Column11"/>
    <tableColumn id="12" xr3:uid="{00000000-0010-0000-0000-00000C000000}" name="Column12"/>
    <tableColumn id="13" xr3:uid="{00000000-0010-0000-0000-00000D000000}" name="Column13"/>
    <tableColumn id="14" xr3:uid="{00000000-0010-0000-0000-00000E000000}" name="Column14"/>
    <tableColumn id="15" xr3:uid="{00000000-0010-0000-0000-00000F000000}" name="Column15"/>
    <tableColumn id="16" xr3:uid="{00000000-0010-0000-0000-000010000000}" name="Column16"/>
    <tableColumn id="17" xr3:uid="{00000000-0010-0000-0000-000011000000}" name="Column17"/>
    <tableColumn id="18" xr3:uid="{00000000-0010-0000-0000-000012000000}" name="Column18"/>
    <tableColumn id="19" xr3:uid="{00000000-0010-0000-0000-000013000000}" name="Column19"/>
    <tableColumn id="20" xr3:uid="{00000000-0010-0000-0000-000014000000}" name="Column20"/>
    <tableColumn id="21" xr3:uid="{00000000-0010-0000-0000-000015000000}" name="Column21"/>
    <tableColumn id="22" xr3:uid="{00000000-0010-0000-0000-000016000000}" name="Column22"/>
    <tableColumn id="23" xr3:uid="{00000000-0010-0000-0000-000017000000}" name="Column23"/>
    <tableColumn id="24" xr3:uid="{00000000-0010-0000-0000-000018000000}" name="Column24"/>
  </tableColumns>
  <tableStyleInfo name="Partic-style" showFirstColumn="1" showLastColumn="1" showRowStripes="1" showColumnStripes="0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31"/>
  <sheetViews>
    <sheetView workbookViewId="0">
      <selection activeCell="B2" sqref="B2"/>
    </sheetView>
  </sheetViews>
  <sheetFormatPr baseColWidth="10" defaultColWidth="12.6640625" defaultRowHeight="15.75" customHeight="1" x14ac:dyDescent="0.15"/>
  <cols>
    <col min="1" max="1" width="2.83203125" customWidth="1"/>
    <col min="2" max="2" width="8.33203125" customWidth="1"/>
    <col min="3" max="3" width="9.6640625" customWidth="1"/>
    <col min="4" max="4" width="9.1640625" customWidth="1"/>
    <col min="5" max="5" width="8.33203125" customWidth="1"/>
    <col min="6" max="6" width="34.5" customWidth="1"/>
  </cols>
  <sheetData>
    <row r="1" spans="1:26" ht="15.75" customHeigh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5.75" customHeight="1" x14ac:dyDescent="0.15">
      <c r="A2" s="3">
        <v>1</v>
      </c>
      <c r="B2" s="3">
        <v>31965501</v>
      </c>
      <c r="C2" s="3" t="s">
        <v>6</v>
      </c>
      <c r="D2" s="3" t="s">
        <v>7</v>
      </c>
      <c r="E2" s="3" t="s">
        <v>8</v>
      </c>
      <c r="F2" s="3" t="s">
        <v>9</v>
      </c>
    </row>
    <row r="3" spans="1:26" ht="15.75" customHeight="1" x14ac:dyDescent="0.15">
      <c r="A3" s="4">
        <v>2</v>
      </c>
      <c r="B3" s="4">
        <v>30124773</v>
      </c>
      <c r="C3" s="4" t="s">
        <v>10</v>
      </c>
      <c r="D3" s="4" t="s">
        <v>11</v>
      </c>
      <c r="E3" s="4" t="s">
        <v>12</v>
      </c>
      <c r="F3" s="4" t="s">
        <v>13</v>
      </c>
    </row>
    <row r="4" spans="1:26" ht="15.75" customHeight="1" x14ac:dyDescent="0.15">
      <c r="A4" s="3">
        <v>3</v>
      </c>
      <c r="B4" s="3">
        <v>29947503</v>
      </c>
      <c r="C4" s="3" t="s">
        <v>16</v>
      </c>
      <c r="D4" s="3" t="s">
        <v>17</v>
      </c>
      <c r="E4" s="3" t="s">
        <v>18</v>
      </c>
      <c r="F4" s="3" t="s">
        <v>19</v>
      </c>
    </row>
    <row r="5" spans="1:26" ht="15.75" customHeight="1" x14ac:dyDescent="0.15">
      <c r="A5" s="4">
        <v>4</v>
      </c>
      <c r="B5" s="4">
        <v>32491310</v>
      </c>
      <c r="C5" s="4" t="s">
        <v>20</v>
      </c>
      <c r="D5" s="4" t="s">
        <v>21</v>
      </c>
      <c r="E5" s="4" t="s">
        <v>22</v>
      </c>
      <c r="F5" s="4" t="s">
        <v>23</v>
      </c>
    </row>
    <row r="6" spans="1:26" ht="15.75" customHeight="1" x14ac:dyDescent="0.15">
      <c r="A6" s="3">
        <v>5</v>
      </c>
      <c r="B6" s="3">
        <v>30938650</v>
      </c>
      <c r="C6" s="3" t="s">
        <v>24</v>
      </c>
      <c r="D6" s="3" t="s">
        <v>25</v>
      </c>
      <c r="E6" s="3" t="s">
        <v>26</v>
      </c>
      <c r="F6" s="3" t="s">
        <v>27</v>
      </c>
    </row>
    <row r="7" spans="1:26" ht="15.75" customHeight="1" x14ac:dyDescent="0.15">
      <c r="A7" s="4">
        <v>6</v>
      </c>
      <c r="B7" s="4">
        <v>29756222</v>
      </c>
      <c r="C7" s="4" t="s">
        <v>28</v>
      </c>
      <c r="D7" s="4" t="s">
        <v>29</v>
      </c>
      <c r="E7" s="4" t="s">
        <v>30</v>
      </c>
      <c r="F7" s="4" t="s">
        <v>31</v>
      </c>
    </row>
    <row r="8" spans="1:26" ht="15.75" customHeight="1" x14ac:dyDescent="0.15">
      <c r="A8" s="3">
        <v>7</v>
      </c>
      <c r="B8" s="3">
        <v>31979214</v>
      </c>
      <c r="C8" s="3" t="s">
        <v>33</v>
      </c>
      <c r="D8" s="3" t="s">
        <v>34</v>
      </c>
      <c r="E8" s="3" t="s">
        <v>35</v>
      </c>
      <c r="F8" s="3" t="s">
        <v>36</v>
      </c>
    </row>
    <row r="9" spans="1:26" ht="15.75" customHeight="1" x14ac:dyDescent="0.15">
      <c r="A9" s="4">
        <v>8</v>
      </c>
      <c r="B9" s="4">
        <v>31046379</v>
      </c>
      <c r="C9" s="4" t="s">
        <v>37</v>
      </c>
      <c r="D9" s="4" t="s">
        <v>38</v>
      </c>
      <c r="E9" s="4" t="s">
        <v>39</v>
      </c>
      <c r="F9" s="4" t="s">
        <v>40</v>
      </c>
    </row>
    <row r="10" spans="1:26" ht="15.75" customHeight="1" x14ac:dyDescent="0.15">
      <c r="A10" s="3">
        <v>9</v>
      </c>
      <c r="B10" s="3">
        <v>30751712</v>
      </c>
      <c r="C10" s="3" t="s">
        <v>41</v>
      </c>
      <c r="D10" s="20" t="s">
        <v>42</v>
      </c>
      <c r="E10" s="19"/>
      <c r="F10" s="3" t="s">
        <v>43</v>
      </c>
    </row>
    <row r="11" spans="1:26" ht="15.75" customHeight="1" x14ac:dyDescent="0.15">
      <c r="A11" s="4">
        <v>10</v>
      </c>
      <c r="B11" s="4">
        <v>29551895</v>
      </c>
      <c r="C11" s="4" t="s">
        <v>44</v>
      </c>
      <c r="D11" s="4" t="s">
        <v>45</v>
      </c>
      <c r="E11" s="4" t="s">
        <v>46</v>
      </c>
      <c r="F11" s="4" t="s">
        <v>47</v>
      </c>
    </row>
    <row r="12" spans="1:26" ht="15.75" customHeight="1" x14ac:dyDescent="0.15">
      <c r="A12" s="3">
        <v>11</v>
      </c>
      <c r="B12" s="3">
        <v>30906471</v>
      </c>
      <c r="C12" s="3" t="s">
        <v>48</v>
      </c>
      <c r="D12" s="3" t="s">
        <v>49</v>
      </c>
      <c r="E12" s="3" t="s">
        <v>50</v>
      </c>
      <c r="F12" s="3" t="s">
        <v>51</v>
      </c>
    </row>
    <row r="13" spans="1:26" ht="15.75" customHeight="1" x14ac:dyDescent="0.15">
      <c r="A13" s="4">
        <v>12</v>
      </c>
      <c r="B13" s="4">
        <v>31935772</v>
      </c>
      <c r="C13" s="4" t="s">
        <v>52</v>
      </c>
      <c r="D13" s="4" t="s">
        <v>18</v>
      </c>
      <c r="E13" s="4" t="s">
        <v>53</v>
      </c>
      <c r="F13" s="4" t="s">
        <v>54</v>
      </c>
    </row>
    <row r="14" spans="1:26" ht="15.75" customHeight="1" x14ac:dyDescent="0.15">
      <c r="A14" s="3">
        <v>13</v>
      </c>
      <c r="B14" s="3">
        <v>30062942</v>
      </c>
      <c r="C14" s="3" t="s">
        <v>55</v>
      </c>
      <c r="D14" s="3" t="s">
        <v>56</v>
      </c>
      <c r="E14" s="3" t="s">
        <v>57</v>
      </c>
      <c r="F14" s="3" t="s">
        <v>58</v>
      </c>
    </row>
    <row r="15" spans="1:26" ht="15.75" customHeight="1" x14ac:dyDescent="0.15">
      <c r="A15" s="4">
        <v>14</v>
      </c>
      <c r="B15" s="4">
        <v>26794618</v>
      </c>
      <c r="C15" s="4" t="s">
        <v>59</v>
      </c>
      <c r="D15" s="4" t="s">
        <v>60</v>
      </c>
      <c r="E15" s="4" t="s">
        <v>61</v>
      </c>
      <c r="F15" s="4" t="s">
        <v>62</v>
      </c>
    </row>
    <row r="16" spans="1:26" ht="15.75" customHeight="1" x14ac:dyDescent="0.15">
      <c r="A16" s="3">
        <v>15</v>
      </c>
      <c r="B16" s="3">
        <v>29780609</v>
      </c>
      <c r="C16" s="3" t="s">
        <v>63</v>
      </c>
      <c r="D16" s="3" t="s">
        <v>64</v>
      </c>
      <c r="E16" s="3" t="s">
        <v>65</v>
      </c>
      <c r="F16" s="3" t="s">
        <v>66</v>
      </c>
    </row>
    <row r="17" spans="1:6" ht="15.75" customHeight="1" x14ac:dyDescent="0.15">
      <c r="A17" s="4">
        <v>16</v>
      </c>
      <c r="B17" s="4">
        <v>31894531</v>
      </c>
      <c r="C17" s="4" t="s">
        <v>67</v>
      </c>
      <c r="D17" s="4" t="s">
        <v>68</v>
      </c>
      <c r="E17" s="4" t="s">
        <v>69</v>
      </c>
      <c r="F17" s="4" t="s">
        <v>70</v>
      </c>
    </row>
    <row r="18" spans="1:6" ht="15.75" customHeight="1" x14ac:dyDescent="0.15">
      <c r="A18" s="3">
        <v>17</v>
      </c>
      <c r="B18" s="3">
        <v>25991576</v>
      </c>
      <c r="C18" s="3" t="s">
        <v>71</v>
      </c>
      <c r="D18" s="3" t="s">
        <v>57</v>
      </c>
      <c r="E18" s="3" t="s">
        <v>50</v>
      </c>
      <c r="F18" s="3" t="s">
        <v>72</v>
      </c>
    </row>
    <row r="19" spans="1:6" ht="15.75" customHeight="1" x14ac:dyDescent="0.15">
      <c r="A19" s="4">
        <v>18</v>
      </c>
      <c r="B19" s="4">
        <v>31985260</v>
      </c>
      <c r="C19" s="4" t="s">
        <v>73</v>
      </c>
      <c r="D19" s="4" t="s">
        <v>74</v>
      </c>
      <c r="E19" s="4" t="s">
        <v>49</v>
      </c>
      <c r="F19" s="4" t="s">
        <v>75</v>
      </c>
    </row>
    <row r="20" spans="1:6" ht="15.75" customHeight="1" x14ac:dyDescent="0.15">
      <c r="A20" s="3">
        <v>19</v>
      </c>
      <c r="B20" s="3">
        <v>29965751</v>
      </c>
      <c r="C20" s="3" t="s">
        <v>76</v>
      </c>
      <c r="D20" s="3" t="s">
        <v>77</v>
      </c>
      <c r="E20" s="3" t="s">
        <v>78</v>
      </c>
      <c r="F20" s="3" t="s">
        <v>79</v>
      </c>
    </row>
    <row r="21" spans="1:6" ht="15.75" customHeight="1" x14ac:dyDescent="0.15">
      <c r="A21" s="4">
        <v>20</v>
      </c>
      <c r="B21" s="4">
        <v>29678527</v>
      </c>
      <c r="C21" s="4" t="s">
        <v>80</v>
      </c>
      <c r="D21" s="4" t="s">
        <v>81</v>
      </c>
      <c r="E21" s="4" t="s">
        <v>82</v>
      </c>
      <c r="F21" s="4" t="s">
        <v>83</v>
      </c>
    </row>
    <row r="22" spans="1:6" ht="15.75" customHeight="1" x14ac:dyDescent="0.15">
      <c r="A22" s="3">
        <v>21</v>
      </c>
      <c r="B22" s="3">
        <v>31307375</v>
      </c>
      <c r="C22" s="3" t="s">
        <v>84</v>
      </c>
      <c r="D22" s="3" t="s">
        <v>56</v>
      </c>
      <c r="E22" s="3" t="s">
        <v>57</v>
      </c>
      <c r="F22" s="3" t="s">
        <v>85</v>
      </c>
    </row>
    <row r="23" spans="1:6" ht="15.75" customHeight="1" x14ac:dyDescent="0.15">
      <c r="A23" s="4">
        <v>22</v>
      </c>
      <c r="B23" s="4">
        <v>30845922</v>
      </c>
      <c r="C23" s="4" t="s">
        <v>86</v>
      </c>
      <c r="D23" s="4" t="s">
        <v>74</v>
      </c>
      <c r="E23" s="4"/>
      <c r="F23" s="4" t="s">
        <v>87</v>
      </c>
    </row>
    <row r="24" spans="1:6" ht="15.75" customHeight="1" x14ac:dyDescent="0.15">
      <c r="A24" s="3">
        <v>23</v>
      </c>
      <c r="B24" s="3">
        <v>30513257</v>
      </c>
      <c r="C24" s="3" t="s">
        <v>88</v>
      </c>
      <c r="D24" s="3" t="s">
        <v>57</v>
      </c>
      <c r="E24" s="3" t="s">
        <v>61</v>
      </c>
      <c r="F24" s="3" t="s">
        <v>89</v>
      </c>
    </row>
    <row r="25" spans="1:6" ht="15.75" customHeight="1" x14ac:dyDescent="0.15">
      <c r="A25" s="4">
        <v>24</v>
      </c>
      <c r="B25" s="4">
        <v>30229939</v>
      </c>
      <c r="C25" s="4" t="s">
        <v>90</v>
      </c>
      <c r="D25" s="4" t="s">
        <v>91</v>
      </c>
      <c r="E25" s="4" t="s">
        <v>56</v>
      </c>
      <c r="F25" s="4" t="s">
        <v>92</v>
      </c>
    </row>
    <row r="26" spans="1:6" ht="15.75" customHeight="1" x14ac:dyDescent="0.15">
      <c r="A26" s="3">
        <v>25</v>
      </c>
      <c r="B26" s="3">
        <v>31255343</v>
      </c>
      <c r="C26" s="3" t="s">
        <v>93</v>
      </c>
      <c r="D26" s="3" t="s">
        <v>94</v>
      </c>
      <c r="E26" s="3" t="s">
        <v>95</v>
      </c>
      <c r="F26" s="3" t="s">
        <v>96</v>
      </c>
    </row>
    <row r="27" spans="1:6" ht="15.75" customHeight="1" x14ac:dyDescent="0.15">
      <c r="A27" s="4">
        <v>26</v>
      </c>
      <c r="B27" s="4">
        <v>32121917</v>
      </c>
      <c r="C27" s="4" t="s">
        <v>97</v>
      </c>
      <c r="D27" s="4" t="s">
        <v>98</v>
      </c>
      <c r="E27" s="4" t="s">
        <v>26</v>
      </c>
      <c r="F27" s="4" t="s">
        <v>99</v>
      </c>
    </row>
    <row r="28" spans="1:6" ht="15.75" customHeight="1" x14ac:dyDescent="0.15">
      <c r="A28" s="3">
        <v>27</v>
      </c>
      <c r="B28" s="3">
        <v>29625956</v>
      </c>
      <c r="C28" s="3" t="s">
        <v>100</v>
      </c>
      <c r="D28" s="3" t="s">
        <v>101</v>
      </c>
      <c r="E28" s="3" t="s">
        <v>57</v>
      </c>
      <c r="F28" s="3" t="s">
        <v>102</v>
      </c>
    </row>
    <row r="29" spans="1:6" ht="15.75" customHeight="1" x14ac:dyDescent="0.15">
      <c r="A29" s="4">
        <v>28</v>
      </c>
      <c r="B29" s="4">
        <v>32122110</v>
      </c>
      <c r="C29" s="4" t="s">
        <v>103</v>
      </c>
      <c r="D29" s="4" t="s">
        <v>104</v>
      </c>
      <c r="E29" s="4" t="s">
        <v>105</v>
      </c>
      <c r="F29" s="4" t="s">
        <v>106</v>
      </c>
    </row>
    <row r="30" spans="1:6" ht="15.75" customHeight="1" x14ac:dyDescent="0.15">
      <c r="A30" s="3">
        <v>29</v>
      </c>
      <c r="B30" s="3">
        <v>31101508</v>
      </c>
      <c r="C30" s="3" t="s">
        <v>107</v>
      </c>
      <c r="D30" s="3" t="s">
        <v>81</v>
      </c>
      <c r="E30" s="3" t="s">
        <v>108</v>
      </c>
      <c r="F30" s="3" t="s">
        <v>109</v>
      </c>
    </row>
    <row r="31" spans="1:6" ht="15.75" customHeight="1" x14ac:dyDescent="0.15">
      <c r="A31" s="4">
        <v>30</v>
      </c>
      <c r="B31" s="4">
        <v>30715365</v>
      </c>
      <c r="C31" s="4" t="s">
        <v>110</v>
      </c>
      <c r="D31" s="4" t="s">
        <v>111</v>
      </c>
      <c r="E31" s="4" t="s">
        <v>57</v>
      </c>
      <c r="F31" s="4" t="s">
        <v>112</v>
      </c>
    </row>
  </sheetData>
  <mergeCells count="1">
    <mergeCell ref="D10:E1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O32"/>
  <sheetViews>
    <sheetView topLeftCell="C1" workbookViewId="0">
      <selection activeCell="V2" sqref="V2:V31"/>
    </sheetView>
  </sheetViews>
  <sheetFormatPr baseColWidth="10" defaultColWidth="12.6640625" defaultRowHeight="15.75" customHeight="1" x14ac:dyDescent="0.15"/>
  <cols>
    <col min="1" max="1" width="2.83203125" customWidth="1"/>
    <col min="2" max="2" width="8.33203125" customWidth="1"/>
    <col min="3" max="3" width="13.1640625" customWidth="1"/>
    <col min="4" max="4" width="18.1640625" customWidth="1"/>
    <col min="5" max="7" width="6.1640625" customWidth="1"/>
    <col min="8" max="9" width="5.6640625" customWidth="1"/>
    <col min="10" max="14" width="6.5" customWidth="1"/>
    <col min="15" max="15" width="4.83203125" customWidth="1"/>
    <col min="16" max="16" width="6.1640625" customWidth="1"/>
    <col min="17" max="17" width="6.6640625" customWidth="1"/>
    <col min="18" max="20" width="6.1640625" customWidth="1"/>
    <col min="21" max="23" width="4.83203125" customWidth="1"/>
    <col min="24" max="24" width="5.1640625" customWidth="1"/>
  </cols>
  <sheetData>
    <row r="1" spans="1:41" ht="15.75" customHeight="1" x14ac:dyDescent="0.15">
      <c r="A1" s="2" t="str">
        <f>Lista!A1</f>
        <v>ID</v>
      </c>
      <c r="B1" s="2" t="str">
        <f>Lista!B1</f>
        <v>CEDULA</v>
      </c>
      <c r="C1" s="2" t="s">
        <v>14</v>
      </c>
      <c r="D1" s="2" t="s">
        <v>15</v>
      </c>
      <c r="E1" s="5">
        <v>45769</v>
      </c>
      <c r="F1" s="5">
        <v>45771</v>
      </c>
      <c r="G1" s="5">
        <v>45776</v>
      </c>
      <c r="H1" s="6">
        <v>45783</v>
      </c>
      <c r="I1" s="7">
        <v>45785</v>
      </c>
      <c r="J1" s="8">
        <v>45790</v>
      </c>
      <c r="K1" s="8">
        <v>45792</v>
      </c>
      <c r="L1" s="8">
        <v>45797</v>
      </c>
      <c r="M1" s="8">
        <v>45799</v>
      </c>
      <c r="N1" s="8">
        <v>45806</v>
      </c>
      <c r="O1" s="6">
        <v>45811</v>
      </c>
      <c r="P1" s="6">
        <v>45818</v>
      </c>
      <c r="Q1" s="6">
        <v>45820</v>
      </c>
      <c r="R1" s="6">
        <v>45825</v>
      </c>
      <c r="S1" s="6">
        <v>45827</v>
      </c>
      <c r="T1" s="6">
        <v>45834</v>
      </c>
      <c r="U1" s="6">
        <v>45839</v>
      </c>
      <c r="V1" s="6">
        <v>45846</v>
      </c>
      <c r="W1" s="2" t="s">
        <v>32</v>
      </c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</row>
    <row r="2" spans="1:41" ht="15.75" customHeight="1" x14ac:dyDescent="0.15">
      <c r="A2" s="9">
        <f>Lista!A2</f>
        <v>1</v>
      </c>
      <c r="B2" s="9">
        <f>Lista!B2</f>
        <v>31965501</v>
      </c>
      <c r="C2" s="9" t="str">
        <f>Lista!D2&amp;" "&amp;Lista!E2</f>
        <v>Simon Rafael</v>
      </c>
      <c r="D2" s="9" t="str">
        <f>Lista!D2&amp;" "&amp;Lista!C2</f>
        <v>Simon Ananian</v>
      </c>
      <c r="E2" s="9">
        <v>1</v>
      </c>
      <c r="F2" s="9"/>
      <c r="G2" s="9">
        <v>1</v>
      </c>
      <c r="H2" s="9"/>
      <c r="I2" s="9">
        <v>1</v>
      </c>
      <c r="J2" s="9">
        <v>2</v>
      </c>
      <c r="K2" s="9">
        <v>1</v>
      </c>
      <c r="L2" s="9">
        <v>1</v>
      </c>
      <c r="M2" s="9"/>
      <c r="N2" s="9">
        <v>4</v>
      </c>
      <c r="O2" s="9">
        <v>1</v>
      </c>
      <c r="P2" s="9">
        <v>3</v>
      </c>
      <c r="Q2" s="2"/>
      <c r="R2" s="9">
        <v>2</v>
      </c>
      <c r="S2" s="9">
        <v>5</v>
      </c>
      <c r="T2" s="9">
        <v>3</v>
      </c>
      <c r="U2" s="9">
        <v>4</v>
      </c>
      <c r="V2" s="9">
        <v>7</v>
      </c>
      <c r="W2" s="2">
        <f t="shared" ref="W2:W3" si="0">SUM(E2:V2)</f>
        <v>36</v>
      </c>
      <c r="X2" s="10">
        <f t="shared" ref="X2:X8" si="1">W2/(COUNTA($E$1:$W$1)-1)</f>
        <v>2</v>
      </c>
    </row>
    <row r="3" spans="1:41" ht="15.75" customHeight="1" x14ac:dyDescent="0.15">
      <c r="A3" s="9">
        <f>Lista!A3</f>
        <v>2</v>
      </c>
      <c r="B3" s="9">
        <f>Lista!B3</f>
        <v>30124773</v>
      </c>
      <c r="C3" s="9" t="str">
        <f>Lista!D3&amp;" "&amp;Lista!E3</f>
        <v>Luis Angel</v>
      </c>
      <c r="D3" s="9" t="str">
        <f>Lista!D3&amp;" "&amp;Lista!C3</f>
        <v>Luis Arcia</v>
      </c>
      <c r="E3" s="9">
        <v>1</v>
      </c>
      <c r="F3" s="9">
        <v>2</v>
      </c>
      <c r="G3" s="9">
        <v>1</v>
      </c>
      <c r="H3" s="9">
        <v>1</v>
      </c>
      <c r="I3" s="9">
        <v>1</v>
      </c>
      <c r="J3" s="9"/>
      <c r="K3" s="9"/>
      <c r="L3" s="9">
        <v>1</v>
      </c>
      <c r="M3" s="9"/>
      <c r="N3" s="9">
        <v>4</v>
      </c>
      <c r="O3" s="9">
        <v>1</v>
      </c>
      <c r="P3" s="9">
        <v>2</v>
      </c>
      <c r="Q3" s="9"/>
      <c r="R3" s="9">
        <v>3</v>
      </c>
      <c r="S3" s="9">
        <v>6</v>
      </c>
      <c r="T3" s="9">
        <v>1</v>
      </c>
      <c r="U3" s="9">
        <v>1</v>
      </c>
      <c r="V3" s="9">
        <v>2</v>
      </c>
      <c r="W3" s="2">
        <f t="shared" si="0"/>
        <v>27</v>
      </c>
      <c r="X3" s="10">
        <f t="shared" si="1"/>
        <v>1.5</v>
      </c>
    </row>
    <row r="4" spans="1:41" ht="15.75" customHeight="1" x14ac:dyDescent="0.15">
      <c r="A4" s="9">
        <f>Lista!A4</f>
        <v>3</v>
      </c>
      <c r="B4" s="9">
        <f>Lista!B4</f>
        <v>29947503</v>
      </c>
      <c r="C4" s="9" t="str">
        <f>Lista!D4&amp;" "&amp;Lista!E4</f>
        <v>Daniel Antonio</v>
      </c>
      <c r="D4" s="9" t="str">
        <f>Lista!D4&amp;" "&amp;Lista!C4</f>
        <v>Daniel Calderon</v>
      </c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2"/>
      <c r="Q4" s="2"/>
      <c r="R4" s="2"/>
      <c r="S4" s="2"/>
      <c r="T4" s="2"/>
      <c r="U4" s="2"/>
      <c r="V4" s="2"/>
      <c r="W4" s="2">
        <f t="shared" ref="W4:W7" si="2">SUM(E4:U4)</f>
        <v>0</v>
      </c>
      <c r="X4" s="10">
        <f t="shared" si="1"/>
        <v>0</v>
      </c>
    </row>
    <row r="5" spans="1:41" ht="15.75" customHeight="1" x14ac:dyDescent="0.15">
      <c r="A5" s="9">
        <f>Lista!A5</f>
        <v>4</v>
      </c>
      <c r="B5" s="9">
        <f>Lista!B5</f>
        <v>32491310</v>
      </c>
      <c r="C5" s="9" t="str">
        <f>Lista!D5&amp;" "&amp;Lista!E5</f>
        <v>Elohym Joham</v>
      </c>
      <c r="D5" s="9" t="str">
        <f>Lista!D5&amp;" "&amp;Lista!C5</f>
        <v>Elohym Casais</v>
      </c>
      <c r="E5" s="9">
        <v>1</v>
      </c>
      <c r="F5" s="9"/>
      <c r="G5" s="9">
        <v>1</v>
      </c>
      <c r="H5" s="9"/>
      <c r="I5" s="9">
        <v>1</v>
      </c>
      <c r="J5" s="9"/>
      <c r="K5" s="9"/>
      <c r="L5" s="9"/>
      <c r="M5" s="9"/>
      <c r="N5" s="9"/>
      <c r="O5" s="9"/>
      <c r="P5" s="2"/>
      <c r="Q5" s="2"/>
      <c r="R5" s="2"/>
      <c r="S5" s="2"/>
      <c r="T5" s="2"/>
      <c r="U5" s="2"/>
      <c r="V5" s="2"/>
      <c r="W5" s="2">
        <f t="shared" si="2"/>
        <v>3</v>
      </c>
      <c r="X5" s="10">
        <f t="shared" si="1"/>
        <v>0.16666666666666666</v>
      </c>
    </row>
    <row r="6" spans="1:41" ht="15.75" customHeight="1" x14ac:dyDescent="0.15">
      <c r="A6" s="9">
        <f>Lista!A6</f>
        <v>5</v>
      </c>
      <c r="B6" s="9">
        <f>Lista!B6</f>
        <v>30938650</v>
      </c>
      <c r="C6" s="9" t="str">
        <f>Lista!D6&amp;" "&amp;Lista!E6</f>
        <v>Adolfo Alexander</v>
      </c>
      <c r="D6" s="9" t="str">
        <f>Lista!D6&amp;" "&amp;Lista!C6</f>
        <v>Adolfo Castillo</v>
      </c>
      <c r="E6" s="9">
        <v>1</v>
      </c>
      <c r="F6" s="9">
        <v>1</v>
      </c>
      <c r="G6" s="9">
        <v>1</v>
      </c>
      <c r="H6" s="9"/>
      <c r="I6" s="9"/>
      <c r="J6" s="9"/>
      <c r="K6" s="9"/>
      <c r="L6" s="9"/>
      <c r="M6" s="9"/>
      <c r="N6" s="9"/>
      <c r="O6" s="9"/>
      <c r="P6" s="2"/>
      <c r="Q6" s="2"/>
      <c r="R6" s="2"/>
      <c r="S6" s="2"/>
      <c r="T6" s="2"/>
      <c r="U6" s="2"/>
      <c r="V6" s="2"/>
      <c r="W6" s="2">
        <f t="shared" si="2"/>
        <v>3</v>
      </c>
      <c r="X6" s="10">
        <f t="shared" si="1"/>
        <v>0.16666666666666666</v>
      </c>
    </row>
    <row r="7" spans="1:41" ht="15.75" customHeight="1" x14ac:dyDescent="0.15">
      <c r="A7" s="9">
        <f>Lista!A7</f>
        <v>6</v>
      </c>
      <c r="B7" s="9">
        <f>Lista!B7</f>
        <v>29756222</v>
      </c>
      <c r="C7" s="9" t="str">
        <f>Lista!D7&amp;" "&amp;Lista!E7</f>
        <v>Isaac Israel</v>
      </c>
      <c r="D7" s="9" t="str">
        <f>Lista!D7&amp;" "&amp;Lista!C7</f>
        <v>Isaac Charco</v>
      </c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2"/>
      <c r="Q7" s="9"/>
      <c r="R7" s="9"/>
      <c r="S7" s="2"/>
      <c r="T7" s="2"/>
      <c r="U7" s="2"/>
      <c r="V7" s="2"/>
      <c r="W7" s="2">
        <f t="shared" si="2"/>
        <v>0</v>
      </c>
      <c r="X7" s="10">
        <f t="shared" si="1"/>
        <v>0</v>
      </c>
    </row>
    <row r="8" spans="1:41" ht="15.75" customHeight="1" x14ac:dyDescent="0.15">
      <c r="A8" s="9">
        <f>Lista!A8</f>
        <v>7</v>
      </c>
      <c r="B8" s="9">
        <f>Lista!B8</f>
        <v>31979214</v>
      </c>
      <c r="C8" s="9" t="str">
        <f>Lista!D8&amp;" "&amp;Lista!E8</f>
        <v>Jabrieliz Virginia</v>
      </c>
      <c r="D8" s="9" t="str">
        <f>Lista!D8&amp;" "&amp;Lista!C8</f>
        <v>Jabrieliz Cuello</v>
      </c>
      <c r="E8" s="9">
        <v>1</v>
      </c>
      <c r="F8" s="9"/>
      <c r="G8" s="9"/>
      <c r="H8" s="9">
        <v>1</v>
      </c>
      <c r="I8" s="9">
        <v>1</v>
      </c>
      <c r="J8" s="9"/>
      <c r="K8" s="9">
        <v>1</v>
      </c>
      <c r="L8" s="9">
        <v>1</v>
      </c>
      <c r="M8" s="9"/>
      <c r="N8" s="9"/>
      <c r="O8" s="9">
        <v>1</v>
      </c>
      <c r="P8" s="2"/>
      <c r="Q8" s="9">
        <v>1</v>
      </c>
      <c r="R8" s="9">
        <v>1</v>
      </c>
      <c r="S8" s="2"/>
      <c r="T8" s="9">
        <v>1</v>
      </c>
      <c r="U8" s="2"/>
      <c r="V8" s="9">
        <v>2</v>
      </c>
      <c r="W8" s="2">
        <f>SUM(E8:V8)</f>
        <v>11</v>
      </c>
      <c r="X8" s="10">
        <f t="shared" si="1"/>
        <v>0.61111111111111116</v>
      </c>
    </row>
    <row r="9" spans="1:41" ht="15.75" customHeight="1" x14ac:dyDescent="0.15">
      <c r="A9" s="9">
        <f>Lista!A9</f>
        <v>8</v>
      </c>
      <c r="B9" s="9">
        <f>Lista!B9</f>
        <v>31046379</v>
      </c>
      <c r="C9" s="9" t="str">
        <f>Lista!D9&amp;" "&amp;Lista!E9</f>
        <v>Elizabeth Sarah Valentina</v>
      </c>
      <c r="D9" s="9" t="str">
        <f>Lista!D9&amp;" "&amp;Lista!C9</f>
        <v>Elizabeth De Michele</v>
      </c>
      <c r="E9" s="9"/>
      <c r="F9" s="9">
        <v>3</v>
      </c>
      <c r="G9" s="9">
        <v>1</v>
      </c>
      <c r="H9" s="9">
        <v>1</v>
      </c>
      <c r="I9" s="9">
        <v>1</v>
      </c>
      <c r="J9" s="9"/>
      <c r="K9" s="9">
        <v>1</v>
      </c>
      <c r="L9" s="9">
        <v>1</v>
      </c>
      <c r="M9" s="9"/>
      <c r="N9" s="11" t="s">
        <v>113</v>
      </c>
      <c r="O9" s="11" t="s">
        <v>113</v>
      </c>
      <c r="P9" s="11" t="s">
        <v>113</v>
      </c>
      <c r="Q9" s="11" t="s">
        <v>113</v>
      </c>
      <c r="R9" s="11" t="s">
        <v>113</v>
      </c>
      <c r="S9" s="2">
        <v>6</v>
      </c>
      <c r="T9" s="9">
        <v>2</v>
      </c>
      <c r="U9" s="9">
        <v>2</v>
      </c>
      <c r="V9" s="2"/>
      <c r="W9" s="2">
        <f t="shared" ref="W9:W15" si="3">SUM(E9:U9)</f>
        <v>18</v>
      </c>
      <c r="X9" s="10">
        <f>W9/(COUNTA($E$1:$W$1)-1-5)</f>
        <v>1.3846153846153846</v>
      </c>
    </row>
    <row r="10" spans="1:41" ht="15.75" customHeight="1" x14ac:dyDescent="0.15">
      <c r="A10" s="9">
        <f>Lista!A10</f>
        <v>9</v>
      </c>
      <c r="B10" s="9">
        <f>Lista!B10</f>
        <v>30751712</v>
      </c>
      <c r="C10" s="9" t="str">
        <f>Lista!D10&amp;" "&amp;Lista!E10</f>
        <v xml:space="preserve">Gianmarco </v>
      </c>
      <c r="D10" s="9" t="str">
        <f>Lista!D10&amp;" "&amp;Lista!C10</f>
        <v>Gianmarco Del Giudice</v>
      </c>
      <c r="E10" s="9">
        <v>1</v>
      </c>
      <c r="F10" s="9">
        <v>3</v>
      </c>
      <c r="G10" s="9">
        <v>1</v>
      </c>
      <c r="H10" s="9">
        <v>1</v>
      </c>
      <c r="I10" s="9">
        <v>3</v>
      </c>
      <c r="J10" s="9">
        <v>1</v>
      </c>
      <c r="K10" s="9">
        <v>1</v>
      </c>
      <c r="L10" s="9"/>
      <c r="M10" s="9"/>
      <c r="N10" s="9">
        <v>4</v>
      </c>
      <c r="O10" s="9"/>
      <c r="P10" s="2"/>
      <c r="Q10" s="2"/>
      <c r="R10" s="2"/>
      <c r="S10" s="9">
        <v>4</v>
      </c>
      <c r="T10" s="9"/>
      <c r="U10" s="9">
        <v>2</v>
      </c>
      <c r="V10" s="2"/>
      <c r="W10" s="2">
        <f t="shared" si="3"/>
        <v>21</v>
      </c>
      <c r="X10" s="10">
        <f t="shared" ref="X10:X20" si="4">W10/(COUNTA($E$1:$W$1)-1)</f>
        <v>1.1666666666666667</v>
      </c>
    </row>
    <row r="11" spans="1:41" ht="15.75" customHeight="1" x14ac:dyDescent="0.15">
      <c r="A11" s="9">
        <f>Lista!A11</f>
        <v>10</v>
      </c>
      <c r="B11" s="9">
        <f>Lista!B11</f>
        <v>29551895</v>
      </c>
      <c r="C11" s="9" t="str">
        <f>Lista!D11&amp;" "&amp;Lista!E11</f>
        <v>Santiago Ricarte</v>
      </c>
      <c r="D11" s="9" t="str">
        <f>Lista!D11&amp;" "&amp;Lista!C11</f>
        <v>Santiago Giner</v>
      </c>
      <c r="E11" s="9">
        <v>1</v>
      </c>
      <c r="F11" s="9">
        <v>3</v>
      </c>
      <c r="G11" s="9">
        <v>1</v>
      </c>
      <c r="H11" s="9">
        <v>1</v>
      </c>
      <c r="I11" s="9">
        <v>2</v>
      </c>
      <c r="J11" s="9">
        <v>2</v>
      </c>
      <c r="K11" s="9">
        <v>2</v>
      </c>
      <c r="L11" s="9">
        <v>1</v>
      </c>
      <c r="M11" s="9"/>
      <c r="N11" s="9"/>
      <c r="O11" s="9"/>
      <c r="P11" s="2"/>
      <c r="Q11" s="2"/>
      <c r="R11" s="2"/>
      <c r="S11" s="2"/>
      <c r="T11" s="9"/>
      <c r="U11" s="9"/>
      <c r="V11" s="2"/>
      <c r="W11" s="2">
        <f t="shared" si="3"/>
        <v>13</v>
      </c>
      <c r="X11" s="10">
        <f t="shared" si="4"/>
        <v>0.72222222222222221</v>
      </c>
    </row>
    <row r="12" spans="1:41" ht="15.75" customHeight="1" x14ac:dyDescent="0.15">
      <c r="A12" s="9">
        <f>Lista!A12</f>
        <v>11</v>
      </c>
      <c r="B12" s="9">
        <f>Lista!B12</f>
        <v>30906471</v>
      </c>
      <c r="C12" s="9" t="str">
        <f>Lista!D12&amp;" "&amp;Lista!E12</f>
        <v>Eduardo Andres</v>
      </c>
      <c r="D12" s="9" t="str">
        <f>Lista!D12&amp;" "&amp;Lista!C12</f>
        <v>Eduardo Gonzalez</v>
      </c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2"/>
      <c r="Q12" s="2"/>
      <c r="R12" s="2"/>
      <c r="S12" s="2"/>
      <c r="T12" s="9"/>
      <c r="U12" s="9"/>
      <c r="V12" s="2"/>
      <c r="W12" s="2">
        <f t="shared" si="3"/>
        <v>0</v>
      </c>
      <c r="X12" s="10">
        <f t="shared" si="4"/>
        <v>0</v>
      </c>
    </row>
    <row r="13" spans="1:41" ht="15.75" customHeight="1" x14ac:dyDescent="0.15">
      <c r="A13" s="9">
        <f>Lista!A13</f>
        <v>12</v>
      </c>
      <c r="B13" s="9">
        <f>Lista!B13</f>
        <v>31935772</v>
      </c>
      <c r="C13" s="9" t="str">
        <f>Lista!D13&amp;" "&amp;Lista!E13</f>
        <v>Antonio Alfredo</v>
      </c>
      <c r="D13" s="9" t="str">
        <f>Lista!D13&amp;" "&amp;Lista!C13</f>
        <v>Antonio Guzzo</v>
      </c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2"/>
      <c r="Q13" s="2"/>
      <c r="R13" s="2"/>
      <c r="S13" s="2"/>
      <c r="T13" s="9"/>
      <c r="U13" s="9"/>
      <c r="V13" s="2"/>
      <c r="W13" s="2">
        <f t="shared" si="3"/>
        <v>0</v>
      </c>
      <c r="X13" s="10">
        <f t="shared" si="4"/>
        <v>0</v>
      </c>
    </row>
    <row r="14" spans="1:41" ht="15.75" customHeight="1" x14ac:dyDescent="0.15">
      <c r="A14" s="9">
        <f>Lista!A14</f>
        <v>13</v>
      </c>
      <c r="B14" s="9">
        <f>Lista!B14</f>
        <v>30062942</v>
      </c>
      <c r="C14" s="9" t="str">
        <f>Lista!D14&amp;" "&amp;Lista!E14</f>
        <v>Gabriel Alejandro</v>
      </c>
      <c r="D14" s="9" t="str">
        <f>Lista!D14&amp;" "&amp;Lista!C14</f>
        <v>Gabriel Hernandez</v>
      </c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2"/>
      <c r="Q14" s="2"/>
      <c r="R14" s="2"/>
      <c r="S14" s="2"/>
      <c r="T14" s="9"/>
      <c r="U14" s="9"/>
      <c r="V14" s="2"/>
      <c r="W14" s="2">
        <f t="shared" si="3"/>
        <v>0</v>
      </c>
      <c r="X14" s="10">
        <f t="shared" si="4"/>
        <v>0</v>
      </c>
    </row>
    <row r="15" spans="1:41" ht="15.75" customHeight="1" x14ac:dyDescent="0.15">
      <c r="A15" s="9">
        <f>Lista!A15</f>
        <v>14</v>
      </c>
      <c r="B15" s="9">
        <f>Lista!B15</f>
        <v>26794618</v>
      </c>
      <c r="C15" s="9" t="str">
        <f>Lista!D15&amp;" "&amp;Lista!E15</f>
        <v>Kelvin Enrique</v>
      </c>
      <c r="D15" s="9" t="str">
        <f>Lista!D15&amp;" "&amp;Lista!C15</f>
        <v>Kelvin Hurtado</v>
      </c>
      <c r="E15" s="9"/>
      <c r="F15" s="9"/>
      <c r="G15" s="9"/>
      <c r="H15" s="9"/>
      <c r="I15" s="9">
        <v>1</v>
      </c>
      <c r="J15" s="9"/>
      <c r="K15" s="9"/>
      <c r="L15" s="9"/>
      <c r="M15" s="9"/>
      <c r="N15" s="9"/>
      <c r="O15" s="9">
        <v>1</v>
      </c>
      <c r="P15" s="2"/>
      <c r="Q15" s="2"/>
      <c r="R15" s="2"/>
      <c r="S15" s="2"/>
      <c r="T15" s="9"/>
      <c r="U15" s="9"/>
      <c r="V15" s="2"/>
      <c r="W15" s="2">
        <f t="shared" si="3"/>
        <v>2</v>
      </c>
      <c r="X15" s="10">
        <f t="shared" si="4"/>
        <v>0.1111111111111111</v>
      </c>
    </row>
    <row r="16" spans="1:41" ht="15.75" customHeight="1" x14ac:dyDescent="0.15">
      <c r="A16" s="9">
        <f>Lista!A16</f>
        <v>15</v>
      </c>
      <c r="B16" s="9">
        <f>Lista!B16</f>
        <v>29780609</v>
      </c>
      <c r="C16" s="9" t="str">
        <f>Lista!D16&amp;" "&amp;Lista!E16</f>
        <v>Alexandra Eugenia</v>
      </c>
      <c r="D16" s="9" t="str">
        <f>Lista!D16&amp;" "&amp;Lista!C16</f>
        <v>Alexandra Loynaz</v>
      </c>
      <c r="E16" s="9"/>
      <c r="F16" s="9">
        <v>3</v>
      </c>
      <c r="G16" s="9"/>
      <c r="H16" s="9">
        <v>1</v>
      </c>
      <c r="I16" s="9">
        <v>1</v>
      </c>
      <c r="J16" s="9">
        <v>2</v>
      </c>
      <c r="K16" s="9">
        <v>1</v>
      </c>
      <c r="L16" s="9"/>
      <c r="M16" s="9">
        <v>1</v>
      </c>
      <c r="N16" s="9">
        <v>2</v>
      </c>
      <c r="O16" s="9">
        <v>1</v>
      </c>
      <c r="P16" s="2"/>
      <c r="Q16" s="2"/>
      <c r="R16" s="2"/>
      <c r="S16" s="2"/>
      <c r="T16" s="9"/>
      <c r="U16" s="9">
        <v>2</v>
      </c>
      <c r="V16" s="9">
        <v>1</v>
      </c>
      <c r="W16" s="2">
        <f>SUM(E16:V16)</f>
        <v>15</v>
      </c>
      <c r="X16" s="10">
        <f t="shared" si="4"/>
        <v>0.83333333333333337</v>
      </c>
    </row>
    <row r="17" spans="1:24" ht="15.75" customHeight="1" x14ac:dyDescent="0.15">
      <c r="A17" s="9">
        <f>Lista!A17</f>
        <v>16</v>
      </c>
      <c r="B17" s="9">
        <f>Lista!B17</f>
        <v>31894531</v>
      </c>
      <c r="C17" s="9" t="str">
        <f>Lista!D17&amp;" "&amp;Lista!E17</f>
        <v>Corina Beatriz</v>
      </c>
      <c r="D17" s="9" t="str">
        <f>Lista!D17&amp;" "&amp;Lista!C17</f>
        <v>Corina Lynch</v>
      </c>
      <c r="E17" s="9">
        <v>1</v>
      </c>
      <c r="F17" s="9"/>
      <c r="G17" s="9"/>
      <c r="H17" s="9"/>
      <c r="I17" s="9"/>
      <c r="J17" s="9"/>
      <c r="K17" s="9"/>
      <c r="L17" s="9"/>
      <c r="M17" s="9"/>
      <c r="N17" s="9"/>
      <c r="O17" s="9">
        <v>1</v>
      </c>
      <c r="P17" s="2"/>
      <c r="Q17" s="2"/>
      <c r="R17" s="2"/>
      <c r="S17" s="2"/>
      <c r="T17" s="9">
        <v>1</v>
      </c>
      <c r="U17" s="2"/>
      <c r="V17" s="9"/>
      <c r="W17" s="2">
        <f t="shared" ref="W17:W32" si="5">SUM(E17:U17)</f>
        <v>3</v>
      </c>
      <c r="X17" s="10">
        <f t="shared" si="4"/>
        <v>0.16666666666666666</v>
      </c>
    </row>
    <row r="18" spans="1:24" ht="15.75" customHeight="1" x14ac:dyDescent="0.15">
      <c r="A18" s="9">
        <f>Lista!A18</f>
        <v>17</v>
      </c>
      <c r="B18" s="9">
        <f>Lista!B18</f>
        <v>25991576</v>
      </c>
      <c r="C18" s="9" t="str">
        <f>Lista!D18&amp;" "&amp;Lista!E18</f>
        <v>Alejandro Andres</v>
      </c>
      <c r="D18" s="9" t="str">
        <f>Lista!D18&amp;" "&amp;Lista!C18</f>
        <v>Alejandro Martens</v>
      </c>
      <c r="E18" s="9"/>
      <c r="F18" s="9"/>
      <c r="G18" s="9"/>
      <c r="H18" s="9"/>
      <c r="I18" s="9"/>
      <c r="J18" s="9"/>
      <c r="K18" s="9"/>
      <c r="L18" s="9">
        <v>1</v>
      </c>
      <c r="M18" s="9"/>
      <c r="N18" s="9"/>
      <c r="O18" s="9"/>
      <c r="P18" s="2"/>
      <c r="Q18" s="2"/>
      <c r="R18" s="2"/>
      <c r="S18" s="2"/>
      <c r="T18" s="2"/>
      <c r="U18" s="2"/>
      <c r="V18" s="2"/>
      <c r="W18" s="2">
        <f t="shared" si="5"/>
        <v>1</v>
      </c>
      <c r="X18" s="10">
        <f t="shared" si="4"/>
        <v>5.5555555555555552E-2</v>
      </c>
    </row>
    <row r="19" spans="1:24" ht="15.75" customHeight="1" x14ac:dyDescent="0.15">
      <c r="A19" s="9">
        <f>Lista!A19</f>
        <v>18</v>
      </c>
      <c r="B19" s="9">
        <f>Lista!B19</f>
        <v>31985260</v>
      </c>
      <c r="C19" s="9" t="str">
        <f>Lista!D19&amp;" "&amp;Lista!E19</f>
        <v>Nicolas Eduardo</v>
      </c>
      <c r="D19" s="9" t="str">
        <f>Lista!D19&amp;" "&amp;Lista!C19</f>
        <v>Nicolas Mendez</v>
      </c>
      <c r="E19" s="9">
        <v>2</v>
      </c>
      <c r="F19" s="9"/>
      <c r="G19" s="9"/>
      <c r="H19" s="9"/>
      <c r="I19" s="9">
        <v>1</v>
      </c>
      <c r="J19" s="9"/>
      <c r="K19" s="9"/>
      <c r="L19" s="9"/>
      <c r="M19" s="9"/>
      <c r="N19" s="9"/>
      <c r="O19" s="9"/>
      <c r="P19" s="2"/>
      <c r="Q19" s="2"/>
      <c r="R19" s="2"/>
      <c r="S19" s="2"/>
      <c r="T19" s="2"/>
      <c r="U19" s="2"/>
      <c r="V19" s="2"/>
      <c r="W19" s="2">
        <f t="shared" si="5"/>
        <v>3</v>
      </c>
      <c r="X19" s="10">
        <f t="shared" si="4"/>
        <v>0.16666666666666666</v>
      </c>
    </row>
    <row r="20" spans="1:24" ht="15.75" customHeight="1" x14ac:dyDescent="0.15">
      <c r="A20" s="9">
        <f>Lista!A20</f>
        <v>19</v>
      </c>
      <c r="B20" s="9">
        <f>Lista!B20</f>
        <v>29965751</v>
      </c>
      <c r="C20" s="9" t="str">
        <f>Lista!D20&amp;" "&amp;Lista!E20</f>
        <v>Sebastián Andrés</v>
      </c>
      <c r="D20" s="9" t="str">
        <f>Lista!D20&amp;" "&amp;Lista!C20</f>
        <v>Sebastián Méndez</v>
      </c>
      <c r="E20" s="9"/>
      <c r="F20" s="9"/>
      <c r="G20" s="9">
        <v>1</v>
      </c>
      <c r="H20" s="9">
        <v>1</v>
      </c>
      <c r="I20" s="9"/>
      <c r="J20" s="9"/>
      <c r="K20" s="9"/>
      <c r="L20" s="9"/>
      <c r="M20" s="9"/>
      <c r="N20" s="9"/>
      <c r="O20" s="9"/>
      <c r="P20" s="2"/>
      <c r="Q20" s="2"/>
      <c r="R20" s="2"/>
      <c r="S20" s="2"/>
      <c r="T20" s="2"/>
      <c r="U20" s="2"/>
      <c r="V20" s="2"/>
      <c r="W20" s="2">
        <f t="shared" si="5"/>
        <v>2</v>
      </c>
      <c r="X20" s="10">
        <f t="shared" si="4"/>
        <v>0.1111111111111111</v>
      </c>
    </row>
    <row r="21" spans="1:24" ht="15.75" customHeight="1" x14ac:dyDescent="0.15">
      <c r="A21" s="9">
        <f>Lista!A21</f>
        <v>20</v>
      </c>
      <c r="B21" s="9">
        <f>Lista!B21</f>
        <v>29678527</v>
      </c>
      <c r="C21" s="9" t="str">
        <f>Lista!D21&amp;" "&amp;Lista!E21</f>
        <v>Andrea Patricia</v>
      </c>
      <c r="D21" s="9" t="str">
        <f>Lista!D21&amp;" "&amp;Lista!C21</f>
        <v>Andrea Pareles</v>
      </c>
      <c r="E21" s="11" t="s">
        <v>113</v>
      </c>
      <c r="F21" s="11" t="s">
        <v>113</v>
      </c>
      <c r="G21" s="11" t="s">
        <v>113</v>
      </c>
      <c r="H21" s="9"/>
      <c r="I21" s="9"/>
      <c r="J21" s="9"/>
      <c r="K21" s="9"/>
      <c r="L21" s="9"/>
      <c r="M21" s="9"/>
      <c r="N21" s="9"/>
      <c r="O21" s="9"/>
      <c r="P21" s="2"/>
      <c r="Q21" s="2"/>
      <c r="R21" s="2"/>
      <c r="S21" s="2"/>
      <c r="T21" s="2"/>
      <c r="U21" s="2"/>
      <c r="V21" s="2"/>
      <c r="W21" s="2">
        <f t="shared" si="5"/>
        <v>0</v>
      </c>
      <c r="X21" s="10">
        <f>W21/(COUNTA($H$1:$W$1)-1)</f>
        <v>0</v>
      </c>
    </row>
    <row r="22" spans="1:24" ht="15.75" customHeight="1" x14ac:dyDescent="0.15">
      <c r="A22" s="9">
        <f>Lista!A22</f>
        <v>21</v>
      </c>
      <c r="B22" s="9">
        <f>Lista!B22</f>
        <v>31307375</v>
      </c>
      <c r="C22" s="9" t="str">
        <f>Lista!D22&amp;" "&amp;Lista!E22</f>
        <v>Gabriel Alejandro</v>
      </c>
      <c r="D22" s="9" t="str">
        <f>Lista!D22&amp;" "&amp;Lista!C22</f>
        <v>Gabriel Perez</v>
      </c>
      <c r="E22" s="9">
        <v>1</v>
      </c>
      <c r="F22" s="9"/>
      <c r="G22" s="9"/>
      <c r="H22" s="9"/>
      <c r="I22" s="9"/>
      <c r="J22" s="9"/>
      <c r="K22" s="9"/>
      <c r="L22" s="9"/>
      <c r="M22" s="9"/>
      <c r="N22" s="9"/>
      <c r="O22" s="9">
        <v>1</v>
      </c>
      <c r="P22" s="2"/>
      <c r="Q22" s="2"/>
      <c r="R22" s="2"/>
      <c r="S22" s="2"/>
      <c r="T22" s="2"/>
      <c r="U22" s="2"/>
      <c r="V22" s="2"/>
      <c r="W22" s="2">
        <f t="shared" si="5"/>
        <v>2</v>
      </c>
      <c r="X22" s="10">
        <f t="shared" ref="X22:X31" si="6">W22/(COUNTA($E$1:$W$1)-1)</f>
        <v>0.1111111111111111</v>
      </c>
    </row>
    <row r="23" spans="1:24" ht="15.75" customHeight="1" x14ac:dyDescent="0.15">
      <c r="A23" s="9">
        <f>Lista!A23</f>
        <v>22</v>
      </c>
      <c r="B23" s="9">
        <f>Lista!B23</f>
        <v>30845922</v>
      </c>
      <c r="C23" s="9" t="str">
        <f>Lista!D23&amp;" "&amp;Lista!E23</f>
        <v xml:space="preserve">Nicolas </v>
      </c>
      <c r="D23" s="9" t="str">
        <f>Lista!D23&amp;" "&amp;Lista!C23</f>
        <v>Nicolas Petit</v>
      </c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2"/>
      <c r="Q23" s="2"/>
      <c r="R23" s="2"/>
      <c r="S23" s="2"/>
      <c r="T23" s="2"/>
      <c r="U23" s="2"/>
      <c r="V23" s="2"/>
      <c r="W23" s="2">
        <f t="shared" si="5"/>
        <v>0</v>
      </c>
      <c r="X23" s="10">
        <f t="shared" si="6"/>
        <v>0</v>
      </c>
    </row>
    <row r="24" spans="1:24" ht="15.75" customHeight="1" x14ac:dyDescent="0.15">
      <c r="A24" s="9">
        <f>Lista!A24</f>
        <v>23</v>
      </c>
      <c r="B24" s="9">
        <f>Lista!B24</f>
        <v>30513257</v>
      </c>
      <c r="C24" s="9" t="str">
        <f>Lista!D24&amp;" "&amp;Lista!E24</f>
        <v>Alejandro Enrique</v>
      </c>
      <c r="D24" s="9" t="str">
        <f>Lista!D24&amp;" "&amp;Lista!C24</f>
        <v>Alejandro Quintero</v>
      </c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2"/>
      <c r="Q24" s="2"/>
      <c r="R24" s="2"/>
      <c r="S24" s="2"/>
      <c r="T24" s="2"/>
      <c r="U24" s="2"/>
      <c r="V24" s="2"/>
      <c r="W24" s="2">
        <f t="shared" si="5"/>
        <v>0</v>
      </c>
      <c r="X24" s="10">
        <f t="shared" si="6"/>
        <v>0</v>
      </c>
    </row>
    <row r="25" spans="1:24" ht="15.75" customHeight="1" x14ac:dyDescent="0.15">
      <c r="A25" s="9">
        <f>Lista!A25</f>
        <v>24</v>
      </c>
      <c r="B25" s="9">
        <f>Lista!B25</f>
        <v>30229939</v>
      </c>
      <c r="C25" s="9" t="str">
        <f>Lista!D25&amp;" "&amp;Lista!E25</f>
        <v>Jesus Gabriel</v>
      </c>
      <c r="D25" s="9" t="str">
        <f>Lista!D25&amp;" "&amp;Lista!C25</f>
        <v>Jesus Rodríguez</v>
      </c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2"/>
      <c r="Q25" s="2"/>
      <c r="R25" s="2"/>
      <c r="S25" s="9">
        <v>1</v>
      </c>
      <c r="T25" s="2"/>
      <c r="U25" s="2"/>
      <c r="V25" s="2"/>
      <c r="W25" s="2">
        <f t="shared" si="5"/>
        <v>1</v>
      </c>
      <c r="X25" s="10">
        <f t="shared" si="6"/>
        <v>5.5555555555555552E-2</v>
      </c>
    </row>
    <row r="26" spans="1:24" ht="15.75" customHeight="1" x14ac:dyDescent="0.15">
      <c r="A26" s="9">
        <f>Lista!A26</f>
        <v>25</v>
      </c>
      <c r="B26" s="9">
        <f>Lista!B26</f>
        <v>31255343</v>
      </c>
      <c r="C26" s="9" t="str">
        <f>Lista!D26&amp;" "&amp;Lista!E26</f>
        <v>Luciano Nicola</v>
      </c>
      <c r="D26" s="9" t="str">
        <f>Lista!D26&amp;" "&amp;Lista!C26</f>
        <v>Luciano Rojas</v>
      </c>
      <c r="E26" s="9">
        <v>1</v>
      </c>
      <c r="F26" s="9"/>
      <c r="G26" s="9"/>
      <c r="H26" s="9"/>
      <c r="I26" s="9"/>
      <c r="J26" s="9"/>
      <c r="K26" s="9"/>
      <c r="L26" s="9"/>
      <c r="M26" s="9"/>
      <c r="N26" s="9"/>
      <c r="O26" s="9"/>
      <c r="P26" s="2"/>
      <c r="Q26" s="2"/>
      <c r="R26" s="2"/>
      <c r="S26" s="2"/>
      <c r="T26" s="2"/>
      <c r="U26" s="2"/>
      <c r="V26" s="2"/>
      <c r="W26" s="2">
        <f t="shared" si="5"/>
        <v>1</v>
      </c>
      <c r="X26" s="10">
        <f t="shared" si="6"/>
        <v>5.5555555555555552E-2</v>
      </c>
    </row>
    <row r="27" spans="1:24" ht="15.75" customHeight="1" x14ac:dyDescent="0.15">
      <c r="A27" s="9">
        <f>Lista!A27</f>
        <v>26</v>
      </c>
      <c r="B27" s="9">
        <f>Lista!B27</f>
        <v>32121917</v>
      </c>
      <c r="C27" s="9" t="str">
        <f>Lista!D27&amp;" "&amp;Lista!E27</f>
        <v>César Alexander</v>
      </c>
      <c r="D27" s="9" t="str">
        <f>Lista!D27&amp;" "&amp;Lista!C27</f>
        <v>César Salimbeni</v>
      </c>
      <c r="E27" s="9">
        <v>1</v>
      </c>
      <c r="F27" s="9">
        <v>3</v>
      </c>
      <c r="G27" s="9">
        <v>1</v>
      </c>
      <c r="H27" s="9"/>
      <c r="I27" s="9"/>
      <c r="J27" s="9"/>
      <c r="K27" s="9">
        <v>1</v>
      </c>
      <c r="L27" s="9">
        <v>1</v>
      </c>
      <c r="M27" s="9"/>
      <c r="N27" s="9"/>
      <c r="O27" s="9"/>
      <c r="P27" s="2"/>
      <c r="Q27" s="2"/>
      <c r="R27" s="2"/>
      <c r="S27" s="2"/>
      <c r="T27" s="2"/>
      <c r="U27" s="2"/>
      <c r="V27" s="2"/>
      <c r="W27" s="2">
        <f t="shared" si="5"/>
        <v>7</v>
      </c>
      <c r="X27" s="10">
        <f t="shared" si="6"/>
        <v>0.3888888888888889</v>
      </c>
    </row>
    <row r="28" spans="1:24" ht="15.75" customHeight="1" x14ac:dyDescent="0.15">
      <c r="A28" s="9">
        <f>Lista!A28</f>
        <v>27</v>
      </c>
      <c r="B28" s="9">
        <f>Lista!B28</f>
        <v>29625956</v>
      </c>
      <c r="C28" s="9" t="str">
        <f>Lista!D28&amp;" "&amp;Lista!E28</f>
        <v>Jesús Alejandro</v>
      </c>
      <c r="D28" s="9" t="str">
        <f>Lista!D28&amp;" "&amp;Lista!C28</f>
        <v>Jesús Schneider</v>
      </c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2"/>
      <c r="Q28" s="2"/>
      <c r="R28" s="2"/>
      <c r="S28" s="2"/>
      <c r="T28" s="2"/>
      <c r="U28" s="2"/>
      <c r="V28" s="2"/>
      <c r="W28" s="2">
        <f t="shared" si="5"/>
        <v>0</v>
      </c>
      <c r="X28" s="10">
        <f t="shared" si="6"/>
        <v>0</v>
      </c>
    </row>
    <row r="29" spans="1:24" ht="15.75" customHeight="1" x14ac:dyDescent="0.15">
      <c r="A29" s="9">
        <f>Lista!A29</f>
        <v>28</v>
      </c>
      <c r="B29" s="9">
        <f>Lista!B29</f>
        <v>32122110</v>
      </c>
      <c r="C29" s="9" t="str">
        <f>Lista!D29&amp;" "&amp;Lista!E29</f>
        <v>Elva María</v>
      </c>
      <c r="D29" s="9" t="str">
        <f>Lista!D29&amp;" "&amp;Lista!C29</f>
        <v>Elva Silva</v>
      </c>
      <c r="E29" s="9">
        <v>1</v>
      </c>
      <c r="F29" s="9"/>
      <c r="G29" s="9"/>
      <c r="H29" s="9"/>
      <c r="I29" s="9"/>
      <c r="J29" s="9"/>
      <c r="K29" s="9"/>
      <c r="L29" s="9"/>
      <c r="M29" s="9"/>
      <c r="N29" s="9"/>
      <c r="O29" s="9"/>
      <c r="P29" s="2"/>
      <c r="Q29" s="2"/>
      <c r="R29" s="2"/>
      <c r="S29" s="2"/>
      <c r="T29" s="2"/>
      <c r="U29" s="2"/>
      <c r="V29" s="2"/>
      <c r="W29" s="2">
        <f t="shared" si="5"/>
        <v>1</v>
      </c>
      <c r="X29" s="10">
        <f t="shared" si="6"/>
        <v>5.5555555555555552E-2</v>
      </c>
    </row>
    <row r="30" spans="1:24" ht="15.75" customHeight="1" x14ac:dyDescent="0.15">
      <c r="A30" s="9">
        <f>Lista!A30</f>
        <v>29</v>
      </c>
      <c r="B30" s="9">
        <f>Lista!B30</f>
        <v>31101508</v>
      </c>
      <c r="C30" s="9" t="str">
        <f>Lista!D30&amp;" "&amp;Lista!E30</f>
        <v>Andrea Victoria</v>
      </c>
      <c r="D30" s="9" t="str">
        <f>Lista!D30&amp;" "&amp;Lista!C30</f>
        <v>Andrea Sánchez</v>
      </c>
      <c r="E30" s="9">
        <v>2</v>
      </c>
      <c r="F30" s="9"/>
      <c r="G30" s="9">
        <v>1</v>
      </c>
      <c r="H30" s="9"/>
      <c r="I30" s="9"/>
      <c r="J30" s="9"/>
      <c r="K30" s="9"/>
      <c r="L30" s="9"/>
      <c r="M30" s="9"/>
      <c r="N30" s="9"/>
      <c r="O30" s="9"/>
      <c r="P30" s="2"/>
      <c r="Q30" s="2"/>
      <c r="R30" s="2"/>
      <c r="S30" s="2"/>
      <c r="T30" s="9">
        <v>1</v>
      </c>
      <c r="U30" s="2"/>
      <c r="V30" s="2"/>
      <c r="W30" s="2">
        <f t="shared" si="5"/>
        <v>4</v>
      </c>
      <c r="X30" s="10">
        <f t="shared" si="6"/>
        <v>0.22222222222222221</v>
      </c>
    </row>
    <row r="31" spans="1:24" ht="15.75" customHeight="1" x14ac:dyDescent="0.15">
      <c r="A31" s="9">
        <f>Lista!A31</f>
        <v>30</v>
      </c>
      <c r="B31" s="9">
        <f>Lista!B31</f>
        <v>30715365</v>
      </c>
      <c r="C31" s="9" t="str">
        <f>Lista!D31&amp;" "&amp;Lista!E31</f>
        <v>Richard Alejandro</v>
      </c>
      <c r="D31" s="9" t="str">
        <f>Lista!D31&amp;" "&amp;Lista!C31</f>
        <v>Richard Yrady</v>
      </c>
      <c r="E31" s="9"/>
      <c r="F31" s="9">
        <v>2</v>
      </c>
      <c r="G31" s="9"/>
      <c r="H31" s="9"/>
      <c r="I31" s="9"/>
      <c r="J31" s="9"/>
      <c r="K31" s="9"/>
      <c r="L31" s="9"/>
      <c r="M31" s="9"/>
      <c r="N31" s="9">
        <v>3</v>
      </c>
      <c r="O31" s="9"/>
      <c r="P31" s="2"/>
      <c r="Q31" s="2"/>
      <c r="R31" s="2"/>
      <c r="S31" s="2"/>
      <c r="T31" s="2"/>
      <c r="U31" s="9">
        <v>2</v>
      </c>
      <c r="V31" s="2"/>
      <c r="W31" s="2">
        <f t="shared" si="5"/>
        <v>7</v>
      </c>
      <c r="X31" s="10">
        <f t="shared" si="6"/>
        <v>0.3888888888888889</v>
      </c>
    </row>
    <row r="32" spans="1:24" ht="15.75" customHeight="1" x14ac:dyDescent="0.15">
      <c r="A32" s="9"/>
      <c r="B32" s="9"/>
      <c r="C32" s="9"/>
      <c r="D32" s="2" t="s">
        <v>32</v>
      </c>
      <c r="E32" s="2">
        <f t="shared" ref="E32:U32" si="7">SUM(E2:E31)</f>
        <v>16</v>
      </c>
      <c r="F32" s="2">
        <f t="shared" si="7"/>
        <v>20</v>
      </c>
      <c r="G32" s="2">
        <f t="shared" si="7"/>
        <v>10</v>
      </c>
      <c r="H32" s="2">
        <f t="shared" si="7"/>
        <v>7</v>
      </c>
      <c r="I32" s="2">
        <f t="shared" si="7"/>
        <v>13</v>
      </c>
      <c r="J32" s="2">
        <f t="shared" si="7"/>
        <v>7</v>
      </c>
      <c r="K32" s="2">
        <f t="shared" si="7"/>
        <v>8</v>
      </c>
      <c r="L32" s="2">
        <f t="shared" si="7"/>
        <v>7</v>
      </c>
      <c r="M32" s="2">
        <f t="shared" si="7"/>
        <v>1</v>
      </c>
      <c r="N32" s="2">
        <f t="shared" si="7"/>
        <v>17</v>
      </c>
      <c r="O32" s="2">
        <f t="shared" si="7"/>
        <v>7</v>
      </c>
      <c r="P32" s="2">
        <f t="shared" si="7"/>
        <v>5</v>
      </c>
      <c r="Q32" s="2">
        <f t="shared" si="7"/>
        <v>1</v>
      </c>
      <c r="R32" s="2">
        <f t="shared" si="7"/>
        <v>6</v>
      </c>
      <c r="S32" s="2">
        <f t="shared" si="7"/>
        <v>22</v>
      </c>
      <c r="T32" s="2">
        <f t="shared" si="7"/>
        <v>9</v>
      </c>
      <c r="U32" s="2">
        <f t="shared" si="7"/>
        <v>13</v>
      </c>
      <c r="V32" s="2"/>
      <c r="W32" s="2">
        <f t="shared" si="5"/>
        <v>169</v>
      </c>
      <c r="X32" s="12">
        <f>AVERAGE(X2:X31)</f>
        <v>0.34800569800569797</v>
      </c>
    </row>
  </sheetData>
  <pageMargins left="0.7" right="0.7" top="0.75" bottom="0.75" header="0.3" footer="0.3"/>
  <legacy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C37"/>
  <sheetViews>
    <sheetView tabSelected="1" workbookViewId="0">
      <selection activeCell="E5" sqref="E5:E6"/>
    </sheetView>
  </sheetViews>
  <sheetFormatPr baseColWidth="10" defaultColWidth="8.83203125" defaultRowHeight="13" x14ac:dyDescent="0.15"/>
  <cols>
    <col min="1" max="5" width="16" customWidth="1"/>
    <col min="6" max="29" width="9" customWidth="1"/>
  </cols>
  <sheetData>
    <row r="1" spans="1:29" x14ac:dyDescent="0.15">
      <c r="A1" t="s">
        <v>114</v>
      </c>
      <c r="B1" s="17" t="s">
        <v>164</v>
      </c>
    </row>
    <row r="2" spans="1:29" x14ac:dyDescent="0.15">
      <c r="A2" t="s">
        <v>115</v>
      </c>
      <c r="B2" s="17" t="s">
        <v>165</v>
      </c>
    </row>
    <row r="3" spans="1:29" x14ac:dyDescent="0.15">
      <c r="A3" t="s">
        <v>116</v>
      </c>
      <c r="B3">
        <v>2</v>
      </c>
    </row>
    <row r="4" spans="1:29" x14ac:dyDescent="0.15">
      <c r="F4" s="18"/>
      <c r="G4" s="17"/>
      <c r="H4" s="18"/>
      <c r="I4" s="17"/>
    </row>
    <row r="5" spans="1:29" x14ac:dyDescent="0.15">
      <c r="A5" s="19" t="s">
        <v>117</v>
      </c>
      <c r="B5" s="19" t="s">
        <v>118</v>
      </c>
      <c r="C5" s="19" t="s">
        <v>119</v>
      </c>
      <c r="D5" s="19" t="s">
        <v>120</v>
      </c>
      <c r="E5" s="22" t="s">
        <v>166</v>
      </c>
      <c r="F5" s="19" t="s">
        <v>121</v>
      </c>
      <c r="G5" s="19"/>
      <c r="H5" s="19" t="s">
        <v>122</v>
      </c>
      <c r="I5" s="19"/>
      <c r="J5" s="19" t="s">
        <v>123</v>
      </c>
      <c r="K5" s="19"/>
      <c r="L5" s="19" t="s">
        <v>124</v>
      </c>
      <c r="M5" s="19"/>
      <c r="N5" s="19" t="s">
        <v>125</v>
      </c>
      <c r="O5" s="19"/>
      <c r="P5" s="19" t="s">
        <v>126</v>
      </c>
      <c r="Q5" s="19"/>
      <c r="R5" s="19" t="s">
        <v>127</v>
      </c>
      <c r="S5" s="19"/>
      <c r="T5" s="19" t="s">
        <v>128</v>
      </c>
      <c r="U5" s="19"/>
      <c r="V5" s="19" t="s">
        <v>129</v>
      </c>
      <c r="W5" s="19"/>
      <c r="X5" s="19" t="s">
        <v>130</v>
      </c>
      <c r="Y5" s="19"/>
      <c r="Z5" s="19" t="s">
        <v>131</v>
      </c>
      <c r="AA5" s="19"/>
      <c r="AB5" s="19" t="s">
        <v>132</v>
      </c>
      <c r="AC5" s="19"/>
    </row>
    <row r="6" spans="1:29" x14ac:dyDescent="0.15">
      <c r="A6" s="19"/>
      <c r="B6" s="19"/>
      <c r="C6" s="19"/>
      <c r="D6" s="19"/>
      <c r="E6" s="21"/>
      <c r="F6" s="17" t="s">
        <v>162</v>
      </c>
      <c r="G6" s="17" t="s">
        <v>163</v>
      </c>
      <c r="H6" s="17" t="s">
        <v>162</v>
      </c>
      <c r="I6" s="17" t="s">
        <v>163</v>
      </c>
      <c r="J6" s="17" t="s">
        <v>162</v>
      </c>
      <c r="K6" s="17" t="s">
        <v>163</v>
      </c>
      <c r="L6" s="17" t="s">
        <v>162</v>
      </c>
      <c r="M6" s="17" t="s">
        <v>163</v>
      </c>
      <c r="N6" s="17" t="s">
        <v>162</v>
      </c>
      <c r="O6" s="17" t="s">
        <v>163</v>
      </c>
      <c r="P6" s="17" t="s">
        <v>162</v>
      </c>
      <c r="Q6" s="17" t="s">
        <v>163</v>
      </c>
      <c r="R6" s="17" t="s">
        <v>162</v>
      </c>
      <c r="S6" s="17" t="s">
        <v>163</v>
      </c>
      <c r="T6" s="17" t="s">
        <v>162</v>
      </c>
      <c r="U6" s="17" t="s">
        <v>163</v>
      </c>
      <c r="V6" s="17" t="s">
        <v>162</v>
      </c>
      <c r="W6" s="17" t="s">
        <v>163</v>
      </c>
      <c r="X6" s="17" t="s">
        <v>162</v>
      </c>
      <c r="Y6" s="17" t="s">
        <v>163</v>
      </c>
      <c r="Z6" s="17" t="s">
        <v>162</v>
      </c>
      <c r="AA6" s="17" t="s">
        <v>163</v>
      </c>
      <c r="AB6" s="17" t="s">
        <v>162</v>
      </c>
      <c r="AC6" s="17" t="s">
        <v>163</v>
      </c>
    </row>
    <row r="7" spans="1:29" x14ac:dyDescent="0.15">
      <c r="A7" s="3">
        <v>1</v>
      </c>
      <c r="B7" t="s">
        <v>133</v>
      </c>
      <c r="C7" s="3" t="s">
        <v>6</v>
      </c>
      <c r="D7" s="3">
        <v>31965501</v>
      </c>
      <c r="E7" s="3" t="inlineStr">
        <is>
          <t>20241110179</t>
        </is>
      </c>
      <c r="F7" s="13">
        <v>1</v>
      </c>
      <c r="G7" s="13"/>
      <c r="H7" s="13">
        <v>1</v>
      </c>
      <c r="I7" s="13"/>
      <c r="J7" s="13"/>
      <c r="K7" s="13">
        <v>1</v>
      </c>
      <c r="L7" s="13">
        <v>2</v>
      </c>
      <c r="M7" s="13">
        <v>1</v>
      </c>
      <c r="N7" s="13">
        <v>1</v>
      </c>
      <c r="O7" s="13"/>
      <c r="P7" s="13"/>
      <c r="Q7" s="13">
        <v>4</v>
      </c>
      <c r="R7" s="13">
        <v>1</v>
      </c>
      <c r="S7" s="13"/>
      <c r="T7" s="13">
        <v>3</v>
      </c>
      <c r="U7" s="14"/>
      <c r="V7" s="13">
        <v>2</v>
      </c>
      <c r="W7" s="13">
        <v>5</v>
      </c>
      <c r="Y7" s="13">
        <v>3</v>
      </c>
      <c r="Z7" s="13">
        <v>4</v>
      </c>
      <c r="AB7" s="13">
        <v>7</v>
      </c>
    </row>
    <row r="8" spans="1:29" x14ac:dyDescent="0.15">
      <c r="A8" s="4">
        <v>2</v>
      </c>
      <c r="B8" t="s">
        <v>134</v>
      </c>
      <c r="C8" s="4" t="s">
        <v>10</v>
      </c>
      <c r="D8" s="4">
        <v>30124773</v>
      </c>
      <c r="E8" s="4" t="inlineStr">
        <is>
          <t>20241110566</t>
        </is>
      </c>
      <c r="F8" s="3">
        <v>1</v>
      </c>
      <c r="G8" s="3">
        <v>2</v>
      </c>
      <c r="H8" s="3">
        <v>1</v>
      </c>
      <c r="I8" s="3"/>
      <c r="J8" s="3">
        <v>1</v>
      </c>
      <c r="K8" s="3">
        <v>1</v>
      </c>
      <c r="L8" s="3"/>
      <c r="M8" s="3"/>
      <c r="N8" s="3">
        <v>1</v>
      </c>
      <c r="O8" s="3"/>
      <c r="P8" s="3"/>
      <c r="Q8" s="3">
        <v>4</v>
      </c>
      <c r="R8" s="3">
        <v>1</v>
      </c>
      <c r="S8" s="3"/>
      <c r="T8" s="3">
        <v>2</v>
      </c>
      <c r="U8" s="3"/>
      <c r="V8" s="3">
        <v>3</v>
      </c>
      <c r="W8" s="3">
        <v>6</v>
      </c>
      <c r="Y8" s="3">
        <v>1</v>
      </c>
      <c r="Z8" s="3">
        <v>1</v>
      </c>
      <c r="AB8" s="3">
        <v>2</v>
      </c>
    </row>
    <row r="9" spans="1:29" x14ac:dyDescent="0.15">
      <c r="A9" s="3">
        <v>3</v>
      </c>
      <c r="B9" t="s">
        <v>135</v>
      </c>
      <c r="C9" s="3" t="s">
        <v>16</v>
      </c>
      <c r="D9" s="3">
        <v>29947503</v>
      </c>
      <c r="E9" s="3" t="inlineStr">
        <is>
          <t>20221110165</t>
        </is>
      </c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4"/>
      <c r="T9" s="14"/>
      <c r="U9" s="14"/>
      <c r="V9" s="14"/>
      <c r="W9" s="14"/>
      <c r="Y9" s="14"/>
      <c r="Z9" s="14"/>
      <c r="AB9" s="14"/>
    </row>
    <row r="10" spans="1:29" x14ac:dyDescent="0.15">
      <c r="A10" s="4">
        <v>4</v>
      </c>
      <c r="B10" t="s">
        <v>136</v>
      </c>
      <c r="C10" s="4" t="s">
        <v>20</v>
      </c>
      <c r="D10" s="4">
        <v>32491310</v>
      </c>
      <c r="E10" s="4" t="inlineStr">
        <is>
          <t>20251110101</t>
        </is>
      </c>
      <c r="F10" s="3">
        <v>1</v>
      </c>
      <c r="G10" s="3"/>
      <c r="H10" s="3">
        <v>1</v>
      </c>
      <c r="I10" s="3"/>
      <c r="J10" s="3"/>
      <c r="K10" s="3">
        <v>1</v>
      </c>
      <c r="L10" s="3"/>
      <c r="M10" s="3"/>
      <c r="N10" s="3"/>
      <c r="O10" s="3"/>
      <c r="P10" s="3"/>
      <c r="Q10" s="3"/>
      <c r="R10" s="3"/>
      <c r="S10" s="15"/>
      <c r="T10" s="15"/>
      <c r="U10" s="15"/>
      <c r="V10" s="15"/>
      <c r="W10" s="15"/>
      <c r="Y10" s="15"/>
      <c r="Z10" s="15"/>
      <c r="AB10" s="15"/>
    </row>
    <row r="11" spans="1:29" x14ac:dyDescent="0.15">
      <c r="A11" s="3">
        <v>5</v>
      </c>
      <c r="B11" t="s">
        <v>137</v>
      </c>
      <c r="C11" s="3" t="s">
        <v>24</v>
      </c>
      <c r="D11" s="3">
        <v>30938650</v>
      </c>
      <c r="E11" s="3" t="inlineStr">
        <is>
          <t>20241110201</t>
        </is>
      </c>
      <c r="F11" s="13">
        <v>1</v>
      </c>
      <c r="G11" s="13">
        <v>1</v>
      </c>
      <c r="H11" s="13">
        <v>1</v>
      </c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4"/>
      <c r="T11" s="14"/>
      <c r="U11" s="14"/>
      <c r="V11" s="14"/>
      <c r="W11" s="14"/>
      <c r="Y11" s="14"/>
      <c r="Z11" s="14"/>
      <c r="AB11" s="14"/>
    </row>
    <row r="12" spans="1:29" x14ac:dyDescent="0.15">
      <c r="A12" s="4">
        <v>6</v>
      </c>
      <c r="B12" t="s">
        <v>138</v>
      </c>
      <c r="C12" s="4" t="s">
        <v>28</v>
      </c>
      <c r="D12" s="4">
        <v>29756222</v>
      </c>
      <c r="E12" s="4" t="inlineStr">
        <is>
          <t>20241110585</t>
        </is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15"/>
      <c r="U12" s="3"/>
      <c r="V12" s="3"/>
      <c r="W12" s="15"/>
      <c r="Y12" s="15"/>
      <c r="Z12" s="15"/>
      <c r="AB12" s="15"/>
    </row>
    <row r="13" spans="1:29" x14ac:dyDescent="0.15">
      <c r="A13" s="3">
        <v>7</v>
      </c>
      <c r="B13" t="s">
        <v>139</v>
      </c>
      <c r="C13" s="3" t="s">
        <v>33</v>
      </c>
      <c r="D13" s="3">
        <v>31979214</v>
      </c>
      <c r="E13" s="3" t="inlineStr">
        <is>
          <t>20241110143</t>
        </is>
      </c>
      <c r="F13" s="13">
        <v>1</v>
      </c>
      <c r="G13" s="13"/>
      <c r="H13" s="13"/>
      <c r="I13" s="13"/>
      <c r="J13" s="13">
        <v>1</v>
      </c>
      <c r="K13" s="13">
        <v>1</v>
      </c>
      <c r="L13" s="13"/>
      <c r="M13" s="13">
        <v>1</v>
      </c>
      <c r="N13" s="13">
        <v>1</v>
      </c>
      <c r="O13" s="13"/>
      <c r="P13" s="13"/>
      <c r="Q13" s="13"/>
      <c r="R13" s="13">
        <v>1</v>
      </c>
      <c r="S13" s="13"/>
      <c r="T13" s="14"/>
      <c r="U13" s="13">
        <v>1</v>
      </c>
      <c r="V13" s="13">
        <v>1</v>
      </c>
      <c r="W13" s="14"/>
      <c r="Y13" s="13">
        <v>1</v>
      </c>
      <c r="Z13" s="14"/>
      <c r="AB13" s="13">
        <v>2</v>
      </c>
    </row>
    <row r="14" spans="1:29" x14ac:dyDescent="0.15">
      <c r="A14" s="4">
        <v>8</v>
      </c>
      <c r="B14" t="s">
        <v>140</v>
      </c>
      <c r="C14" s="4" t="s">
        <v>37</v>
      </c>
      <c r="D14" s="4">
        <v>31046379</v>
      </c>
      <c r="E14" s="4" t="inlineStr">
        <is>
          <t>20251110257</t>
        </is>
      </c>
      <c r="F14" s="3"/>
      <c r="G14" s="3">
        <v>3</v>
      </c>
      <c r="H14" s="3">
        <v>1</v>
      </c>
      <c r="I14" s="3"/>
      <c r="J14" s="3">
        <v>1</v>
      </c>
      <c r="K14" s="3">
        <v>1</v>
      </c>
      <c r="L14" s="3"/>
      <c r="M14" s="3">
        <v>1</v>
      </c>
      <c r="N14" s="3">
        <v>1</v>
      </c>
      <c r="O14" s="3"/>
      <c r="P14" s="16"/>
      <c r="Q14" s="16" t="s">
        <v>113</v>
      </c>
      <c r="R14" s="16" t="s">
        <v>113</v>
      </c>
      <c r="S14" s="16"/>
      <c r="T14" s="16" t="s">
        <v>113</v>
      </c>
      <c r="U14" s="16" t="s">
        <v>113</v>
      </c>
      <c r="V14" s="16" t="s">
        <v>113</v>
      </c>
      <c r="W14" s="15">
        <v>6</v>
      </c>
      <c r="Y14" s="3">
        <v>2</v>
      </c>
      <c r="Z14" s="3">
        <v>2</v>
      </c>
      <c r="AB14" s="15"/>
    </row>
    <row r="15" spans="1:29" x14ac:dyDescent="0.15">
      <c r="A15" s="3">
        <v>9</v>
      </c>
      <c r="B15" t="s">
        <v>141</v>
      </c>
      <c r="C15" s="3" t="s">
        <v>41</v>
      </c>
      <c r="D15" s="3">
        <v>30751712</v>
      </c>
      <c r="E15" s="3" t="inlineStr">
        <is>
          <t>20241110184</t>
        </is>
      </c>
      <c r="F15" s="13">
        <v>1</v>
      </c>
      <c r="G15" s="13">
        <v>3</v>
      </c>
      <c r="H15" s="13">
        <v>1</v>
      </c>
      <c r="I15" s="13"/>
      <c r="J15" s="13">
        <v>1</v>
      </c>
      <c r="K15" s="13">
        <v>3</v>
      </c>
      <c r="L15" s="13">
        <v>1</v>
      </c>
      <c r="M15" s="13">
        <v>1</v>
      </c>
      <c r="N15" s="13"/>
      <c r="O15" s="13"/>
      <c r="P15" s="13"/>
      <c r="Q15" s="13">
        <v>4</v>
      </c>
      <c r="R15" s="13"/>
      <c r="S15" s="14"/>
      <c r="T15" s="14"/>
      <c r="U15" s="14"/>
      <c r="V15" s="14"/>
      <c r="W15" s="13">
        <v>4</v>
      </c>
      <c r="Y15" s="13"/>
      <c r="Z15" s="13">
        <v>2</v>
      </c>
      <c r="AB15" s="14"/>
    </row>
    <row r="16" spans="1:29" x14ac:dyDescent="0.15">
      <c r="A16" s="4">
        <v>10</v>
      </c>
      <c r="B16" t="s">
        <v>142</v>
      </c>
      <c r="C16" s="4" t="s">
        <v>44</v>
      </c>
      <c r="D16" s="4">
        <v>29551895</v>
      </c>
      <c r="E16" s="4" t="inlineStr">
        <is>
          <t>20251120106</t>
        </is>
      </c>
      <c r="F16" s="3">
        <v>1</v>
      </c>
      <c r="G16" s="3">
        <v>3</v>
      </c>
      <c r="H16" s="3">
        <v>1</v>
      </c>
      <c r="I16" s="3"/>
      <c r="J16" s="3">
        <v>1</v>
      </c>
      <c r="K16" s="3">
        <v>2</v>
      </c>
      <c r="L16" s="3">
        <v>2</v>
      </c>
      <c r="M16" s="3">
        <v>2</v>
      </c>
      <c r="N16" s="3">
        <v>1</v>
      </c>
      <c r="O16" s="3"/>
      <c r="P16" s="3"/>
      <c r="Q16" s="3"/>
      <c r="R16" s="3"/>
      <c r="S16" s="15"/>
      <c r="T16" s="15"/>
      <c r="U16" s="15"/>
      <c r="V16" s="15"/>
      <c r="W16" s="15"/>
      <c r="Y16" s="3"/>
      <c r="Z16" s="3"/>
      <c r="AB16" s="15"/>
    </row>
    <row r="17" spans="1:28" x14ac:dyDescent="0.15">
      <c r="A17" s="3">
        <v>11</v>
      </c>
      <c r="B17" t="s">
        <v>143</v>
      </c>
      <c r="C17" s="3" t="s">
        <v>48</v>
      </c>
      <c r="D17" s="3">
        <v>30906471</v>
      </c>
      <c r="E17" s="3" t="inlineStr">
        <is>
          <t>20231130036</t>
        </is>
      </c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4"/>
      <c r="T17" s="14"/>
      <c r="U17" s="14"/>
      <c r="V17" s="14"/>
      <c r="W17" s="14"/>
      <c r="Y17" s="13"/>
      <c r="Z17" s="13"/>
      <c r="AB17" s="14"/>
    </row>
    <row r="18" spans="1:28" x14ac:dyDescent="0.15">
      <c r="A18" s="4">
        <v>12</v>
      </c>
      <c r="B18" t="s">
        <v>144</v>
      </c>
      <c r="C18" s="4" t="s">
        <v>52</v>
      </c>
      <c r="D18" s="4">
        <v>31935772</v>
      </c>
      <c r="E18" s="4" t="inlineStr">
        <is>
          <t>20241130203</t>
        </is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15"/>
      <c r="T18" s="15"/>
      <c r="U18" s="15"/>
      <c r="V18" s="15"/>
      <c r="W18" s="15"/>
      <c r="Y18" s="3"/>
      <c r="Z18" s="3"/>
      <c r="AB18" s="15"/>
    </row>
    <row r="19" spans="1:28" x14ac:dyDescent="0.15">
      <c r="A19" s="3">
        <v>13</v>
      </c>
      <c r="B19" t="s">
        <v>145</v>
      </c>
      <c r="C19" s="3" t="s">
        <v>55</v>
      </c>
      <c r="D19" s="3">
        <v>30062942</v>
      </c>
      <c r="E19" s="3" t="inlineStr">
        <is>
          <t>20221110720</t>
        </is>
      </c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4"/>
      <c r="T19" s="14"/>
      <c r="U19" s="14"/>
      <c r="V19" s="14"/>
      <c r="W19" s="14"/>
      <c r="Y19" s="13"/>
      <c r="Z19" s="13"/>
      <c r="AB19" s="14"/>
    </row>
    <row r="20" spans="1:28" x14ac:dyDescent="0.15">
      <c r="A20" s="4">
        <v>14</v>
      </c>
      <c r="B20" t="s">
        <v>146</v>
      </c>
      <c r="C20" s="4" t="s">
        <v>59</v>
      </c>
      <c r="D20" s="4">
        <v>26794618</v>
      </c>
      <c r="E20" s="4" t="inlineStr">
        <is>
          <t>20171130051</t>
        </is>
      </c>
      <c r="F20" s="3"/>
      <c r="G20" s="3"/>
      <c r="H20" s="3"/>
      <c r="I20" s="3"/>
      <c r="J20" s="3"/>
      <c r="K20" s="3">
        <v>1</v>
      </c>
      <c r="L20" s="3"/>
      <c r="M20" s="3"/>
      <c r="N20" s="3"/>
      <c r="O20" s="3"/>
      <c r="P20" s="3"/>
      <c r="Q20" s="3"/>
      <c r="R20" s="3">
        <v>1</v>
      </c>
      <c r="S20" s="15"/>
      <c r="T20" s="15"/>
      <c r="U20" s="15"/>
      <c r="V20" s="15"/>
      <c r="W20" s="15"/>
      <c r="Y20" s="3"/>
      <c r="Z20" s="3"/>
      <c r="AB20" s="15"/>
    </row>
    <row r="21" spans="1:28" x14ac:dyDescent="0.15">
      <c r="A21" s="3">
        <v>15</v>
      </c>
      <c r="B21" t="s">
        <v>147</v>
      </c>
      <c r="C21" s="3" t="s">
        <v>63</v>
      </c>
      <c r="D21" s="3">
        <v>29780609</v>
      </c>
      <c r="E21" s="3" t="inlineStr">
        <is>
          <t>20221110132</t>
        </is>
      </c>
      <c r="F21" s="13"/>
      <c r="G21" s="13">
        <v>3</v>
      </c>
      <c r="H21" s="13"/>
      <c r="I21" s="13"/>
      <c r="J21" s="13">
        <v>1</v>
      </c>
      <c r="K21" s="13">
        <v>1</v>
      </c>
      <c r="L21" s="13">
        <v>2</v>
      </c>
      <c r="M21" s="13">
        <v>1</v>
      </c>
      <c r="N21" s="13"/>
      <c r="O21" s="13">
        <v>1</v>
      </c>
      <c r="P21" s="13"/>
      <c r="Q21" s="13">
        <v>2</v>
      </c>
      <c r="R21" s="13">
        <v>1</v>
      </c>
      <c r="S21" s="14"/>
      <c r="T21" s="14"/>
      <c r="U21" s="14"/>
      <c r="V21" s="14"/>
      <c r="W21" s="14"/>
      <c r="Y21" s="13"/>
      <c r="Z21" s="13">
        <v>2</v>
      </c>
      <c r="AB21" s="13">
        <v>1</v>
      </c>
    </row>
    <row r="22" spans="1:28" x14ac:dyDescent="0.15">
      <c r="A22" s="4">
        <v>16</v>
      </c>
      <c r="B22" t="s">
        <v>148</v>
      </c>
      <c r="C22" s="4" t="s">
        <v>67</v>
      </c>
      <c r="D22" s="4">
        <v>31894531</v>
      </c>
      <c r="E22" s="4" t="inlineStr">
        <is>
          <t>20241110199</t>
        </is>
      </c>
      <c r="F22" s="3">
        <v>1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>
        <v>1</v>
      </c>
      <c r="S22" s="15"/>
      <c r="T22" s="15"/>
      <c r="U22" s="15"/>
      <c r="V22" s="15"/>
      <c r="W22" s="15"/>
      <c r="Y22" s="3">
        <v>1</v>
      </c>
      <c r="Z22" s="15"/>
      <c r="AB22" s="3"/>
    </row>
    <row r="23" spans="1:28" x14ac:dyDescent="0.15">
      <c r="A23" s="3">
        <v>17</v>
      </c>
      <c r="B23" t="s">
        <v>149</v>
      </c>
      <c r="C23" s="3" t="s">
        <v>71</v>
      </c>
      <c r="D23" s="3">
        <v>25991576</v>
      </c>
      <c r="E23" s="3" t="inlineStr">
        <is>
          <t>20201120131</t>
        </is>
      </c>
      <c r="F23" s="13"/>
      <c r="G23" s="13"/>
      <c r="H23" s="13"/>
      <c r="I23" s="13"/>
      <c r="J23" s="13"/>
      <c r="K23" s="13"/>
      <c r="L23" s="13"/>
      <c r="M23" s="13"/>
      <c r="N23" s="13">
        <v>1</v>
      </c>
      <c r="O23" s="13"/>
      <c r="P23" s="13"/>
      <c r="Q23" s="13"/>
      <c r="R23" s="13"/>
      <c r="S23" s="14"/>
      <c r="T23" s="14"/>
      <c r="U23" s="14"/>
      <c r="V23" s="14"/>
      <c r="W23" s="14"/>
      <c r="Y23" s="14"/>
      <c r="Z23" s="14"/>
      <c r="AB23" s="14"/>
    </row>
    <row r="24" spans="1:28" x14ac:dyDescent="0.15">
      <c r="A24" s="4">
        <v>18</v>
      </c>
      <c r="B24" t="s">
        <v>150</v>
      </c>
      <c r="C24" s="4" t="s">
        <v>73</v>
      </c>
      <c r="D24" s="4">
        <v>31985260</v>
      </c>
      <c r="E24" s="4" t="inlineStr">
        <is>
          <t>20251110299</t>
        </is>
      </c>
      <c r="F24" s="3">
        <v>2</v>
      </c>
      <c r="G24" s="3"/>
      <c r="H24" s="3"/>
      <c r="I24" s="3"/>
      <c r="J24" s="3"/>
      <c r="K24" s="3">
        <v>1</v>
      </c>
      <c r="L24" s="3"/>
      <c r="M24" s="3"/>
      <c r="N24" s="3"/>
      <c r="O24" s="3"/>
      <c r="P24" s="3"/>
      <c r="Q24" s="3"/>
      <c r="R24" s="3"/>
      <c r="S24" s="15"/>
      <c r="T24" s="15"/>
      <c r="U24" s="15"/>
      <c r="V24" s="15"/>
      <c r="W24" s="15"/>
      <c r="Y24" s="15"/>
      <c r="Z24" s="15"/>
      <c r="AB24" s="15"/>
    </row>
    <row r="25" spans="1:28" x14ac:dyDescent="0.15">
      <c r="A25" s="3">
        <v>19</v>
      </c>
      <c r="B25" t="s">
        <v>151</v>
      </c>
      <c r="C25" s="3" t="s">
        <v>76</v>
      </c>
      <c r="D25" s="3">
        <v>29965751</v>
      </c>
      <c r="E25" s="3" t="inlineStr">
        <is>
          <t>20221110370</t>
        </is>
      </c>
      <c r="F25" s="13"/>
      <c r="G25" s="13"/>
      <c r="H25" s="13">
        <v>1</v>
      </c>
      <c r="I25" s="13"/>
      <c r="J25" s="13">
        <v>1</v>
      </c>
      <c r="K25" s="13"/>
      <c r="L25" s="13"/>
      <c r="M25" s="13"/>
      <c r="N25" s="13"/>
      <c r="O25" s="13"/>
      <c r="P25" s="13"/>
      <c r="Q25" s="13"/>
      <c r="R25" s="13"/>
      <c r="S25" s="14"/>
      <c r="T25" s="14"/>
      <c r="U25" s="14"/>
      <c r="V25" s="14"/>
      <c r="W25" s="14"/>
      <c r="Y25" s="14"/>
      <c r="Z25" s="14"/>
      <c r="AB25" s="14"/>
    </row>
    <row r="26" spans="1:28" x14ac:dyDescent="0.15">
      <c r="A26" s="4">
        <v>20</v>
      </c>
      <c r="B26" t="s">
        <v>152</v>
      </c>
      <c r="C26" s="4" t="s">
        <v>80</v>
      </c>
      <c r="D26" s="4">
        <v>29678527</v>
      </c>
      <c r="E26" s="4" t="inlineStr">
        <is>
          <t>20231120197</t>
        </is>
      </c>
      <c r="F26" s="16" t="s">
        <v>113</v>
      </c>
      <c r="G26" s="16" t="s">
        <v>113</v>
      </c>
      <c r="H26" s="16" t="s">
        <v>113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15"/>
      <c r="T26" s="15"/>
      <c r="U26" s="15"/>
      <c r="V26" s="15"/>
      <c r="W26" s="15"/>
      <c r="Y26" s="15"/>
      <c r="Z26" s="15"/>
      <c r="AB26" s="15"/>
    </row>
    <row r="27" spans="1:28" x14ac:dyDescent="0.15">
      <c r="A27" s="3">
        <v>21</v>
      </c>
      <c r="B27" t="s">
        <v>145</v>
      </c>
      <c r="C27" s="3" t="s">
        <v>84</v>
      </c>
      <c r="D27" s="3">
        <v>31307375</v>
      </c>
      <c r="E27" s="3" t="inlineStr">
        <is>
          <t>20241110243</t>
        </is>
      </c>
      <c r="F27" s="13">
        <v>1</v>
      </c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>
        <v>1</v>
      </c>
      <c r="S27" s="14"/>
      <c r="T27" s="14"/>
      <c r="U27" s="14"/>
      <c r="V27" s="14"/>
      <c r="W27" s="14"/>
      <c r="Y27" s="14"/>
      <c r="Z27" s="14"/>
      <c r="AB27" s="14"/>
    </row>
    <row r="28" spans="1:28" x14ac:dyDescent="0.15">
      <c r="A28" s="4">
        <v>22</v>
      </c>
      <c r="B28" t="s">
        <v>153</v>
      </c>
      <c r="C28" s="4" t="s">
        <v>86</v>
      </c>
      <c r="D28" s="4">
        <v>30845922</v>
      </c>
      <c r="E28" s="4" t="inlineStr">
        <is>
          <t>20241110174</t>
        </is>
      </c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15"/>
      <c r="T28" s="15"/>
      <c r="U28" s="15"/>
      <c r="V28" s="15"/>
      <c r="W28" s="15"/>
      <c r="Y28" s="15"/>
      <c r="Z28" s="15"/>
      <c r="AB28" s="15"/>
    </row>
    <row r="29" spans="1:28" x14ac:dyDescent="0.15">
      <c r="A29" s="3">
        <v>23</v>
      </c>
      <c r="B29" t="s">
        <v>154</v>
      </c>
      <c r="C29" s="3" t="s">
        <v>88</v>
      </c>
      <c r="D29" s="3">
        <v>30513257</v>
      </c>
      <c r="E29" s="3" t="inlineStr">
        <is>
          <t>20231110474</t>
        </is>
      </c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4"/>
      <c r="T29" s="14"/>
      <c r="U29" s="14"/>
      <c r="V29" s="14"/>
      <c r="W29" s="14"/>
      <c r="Y29" s="14"/>
      <c r="Z29" s="14"/>
      <c r="AB29" s="14"/>
    </row>
    <row r="30" spans="1:28" x14ac:dyDescent="0.15">
      <c r="A30" s="4">
        <v>24</v>
      </c>
      <c r="B30" t="s">
        <v>155</v>
      </c>
      <c r="C30" s="4" t="s">
        <v>90</v>
      </c>
      <c r="D30" s="4">
        <v>30229939</v>
      </c>
      <c r="E30" s="4" t="inlineStr">
        <is>
          <t>20221120020</t>
        </is>
      </c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15"/>
      <c r="T30" s="15"/>
      <c r="U30" s="15"/>
      <c r="V30" s="15"/>
      <c r="W30" s="3">
        <v>1</v>
      </c>
      <c r="Y30" s="15"/>
      <c r="Z30" s="15"/>
      <c r="AB30" s="15"/>
    </row>
    <row r="31" spans="1:28" x14ac:dyDescent="0.15">
      <c r="A31" s="3">
        <v>25</v>
      </c>
      <c r="B31" t="s">
        <v>156</v>
      </c>
      <c r="C31" s="3" t="s">
        <v>93</v>
      </c>
      <c r="D31" s="3">
        <v>31255343</v>
      </c>
      <c r="E31" s="3" t="inlineStr">
        <is>
          <t>20241110234</t>
        </is>
      </c>
      <c r="F31" s="13">
        <v>1</v>
      </c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4"/>
      <c r="T31" s="14"/>
      <c r="U31" s="14"/>
      <c r="V31" s="14"/>
      <c r="W31" s="14"/>
      <c r="Y31" s="14"/>
      <c r="Z31" s="14"/>
      <c r="AB31" s="14"/>
    </row>
    <row r="32" spans="1:28" x14ac:dyDescent="0.15">
      <c r="A32" s="4">
        <v>26</v>
      </c>
      <c r="B32" t="s">
        <v>157</v>
      </c>
      <c r="C32" s="4" t="s">
        <v>97</v>
      </c>
      <c r="D32" s="4">
        <v>32121917</v>
      </c>
      <c r="E32" s="4" t="inlineStr">
        <is>
          <t>20251110018</t>
        </is>
      </c>
      <c r="F32" s="3">
        <v>1</v>
      </c>
      <c r="G32" s="3">
        <v>3</v>
      </c>
      <c r="H32" s="3">
        <v>1</v>
      </c>
      <c r="I32" s="3"/>
      <c r="J32" s="3"/>
      <c r="K32" s="3"/>
      <c r="L32" s="3"/>
      <c r="M32" s="3">
        <v>1</v>
      </c>
      <c r="N32" s="3">
        <v>1</v>
      </c>
      <c r="O32" s="3"/>
      <c r="P32" s="3"/>
      <c r="Q32" s="3"/>
      <c r="R32" s="3"/>
      <c r="S32" s="15"/>
      <c r="T32" s="15"/>
      <c r="U32" s="15"/>
      <c r="V32" s="15"/>
      <c r="W32" s="15"/>
      <c r="Y32" s="15"/>
      <c r="Z32" s="15"/>
      <c r="AB32" s="15"/>
    </row>
    <row r="33" spans="1:28" x14ac:dyDescent="0.15">
      <c r="A33" s="3">
        <v>27</v>
      </c>
      <c r="B33" t="s">
        <v>158</v>
      </c>
      <c r="C33" s="3" t="s">
        <v>100</v>
      </c>
      <c r="D33" s="3">
        <v>29625956</v>
      </c>
      <c r="E33" s="3" t="inlineStr">
        <is>
          <t>20211110328</t>
        </is>
      </c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4"/>
      <c r="T33" s="14"/>
      <c r="U33" s="14"/>
      <c r="V33" s="14"/>
      <c r="W33" s="14"/>
      <c r="Y33" s="14"/>
      <c r="Z33" s="14"/>
      <c r="AB33" s="14"/>
    </row>
    <row r="34" spans="1:28" x14ac:dyDescent="0.15">
      <c r="A34" s="4">
        <v>28</v>
      </c>
      <c r="B34" t="s">
        <v>159</v>
      </c>
      <c r="C34" s="4" t="s">
        <v>103</v>
      </c>
      <c r="D34" s="4">
        <v>32122110</v>
      </c>
      <c r="E34" s="4" t="inlineStr">
        <is>
          <t>20251110023</t>
        </is>
      </c>
      <c r="F34" s="3">
        <v>1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15"/>
      <c r="T34" s="15"/>
      <c r="U34" s="15"/>
      <c r="V34" s="15"/>
      <c r="W34" s="15"/>
      <c r="Y34" s="15"/>
      <c r="Z34" s="15"/>
      <c r="AB34" s="15"/>
    </row>
    <row r="35" spans="1:28" x14ac:dyDescent="0.15">
      <c r="A35" s="3">
        <v>29</v>
      </c>
      <c r="B35" t="s">
        <v>160</v>
      </c>
      <c r="C35" s="3" t="s">
        <v>107</v>
      </c>
      <c r="D35" s="3">
        <v>31101508</v>
      </c>
      <c r="E35" s="3" t="inlineStr">
        <is>
          <t>20241120018</t>
        </is>
      </c>
      <c r="F35" s="13">
        <v>2</v>
      </c>
      <c r="G35" s="13"/>
      <c r="H35" s="13">
        <v>1</v>
      </c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4"/>
      <c r="T35" s="14"/>
      <c r="U35" s="14"/>
      <c r="V35" s="14"/>
      <c r="W35" s="14"/>
      <c r="Y35" s="13">
        <v>1</v>
      </c>
      <c r="Z35" s="14"/>
      <c r="AB35" s="14"/>
    </row>
    <row r="36" spans="1:28" x14ac:dyDescent="0.15">
      <c r="A36" s="4">
        <v>30</v>
      </c>
      <c r="B36" t="s">
        <v>161</v>
      </c>
      <c r="C36" s="4" t="s">
        <v>110</v>
      </c>
      <c r="D36" s="4">
        <v>30715365</v>
      </c>
      <c r="E36" s="4" t="inlineStr">
        <is>
          <t>20241110066</t>
        </is>
      </c>
      <c r="F36" s="3"/>
      <c r="G36" s="3">
        <v>2</v>
      </c>
      <c r="H36" s="3"/>
      <c r="I36" s="3"/>
      <c r="J36" s="3"/>
      <c r="K36" s="3"/>
      <c r="L36" s="3"/>
      <c r="M36" s="3"/>
      <c r="N36" s="3"/>
      <c r="O36" s="3"/>
      <c r="P36" s="3"/>
      <c r="Q36" s="3">
        <v>3</v>
      </c>
      <c r="R36" s="3"/>
      <c r="S36" s="15"/>
      <c r="T36" s="15"/>
      <c r="U36" s="15"/>
      <c r="V36" s="15"/>
      <c r="W36" s="15"/>
      <c r="Y36" s="15"/>
      <c r="Z36" s="3">
        <v>2</v>
      </c>
      <c r="AB36" s="15"/>
    </row>
    <row r="37" spans="1:28" x14ac:dyDescent="0.15">
      <c r="F37" s="2"/>
      <c r="G37" s="2"/>
      <c r="H37" s="2"/>
      <c r="I37" s="2"/>
      <c r="J37" s="2"/>
      <c r="K37" s="2"/>
      <c r="L37" s="2"/>
      <c r="M37" s="2"/>
      <c r="N37" s="2"/>
      <c r="O37" s="2"/>
    </row>
  </sheetData>
  <mergeCells count="17">
    <mergeCell ref="A5:A6"/>
    <mergeCell ref="B5:B6"/>
    <mergeCell ref="C5:C6"/>
    <mergeCell ref="D5:D6"/>
    <mergeCell ref="F5:G5"/>
    <mergeCell ref="E5:E6"/>
    <mergeCell ref="H5:I5"/>
    <mergeCell ref="J5:K5"/>
    <mergeCell ref="L5:M5"/>
    <mergeCell ref="N5:O5"/>
    <mergeCell ref="P5:Q5"/>
    <mergeCell ref="AB5:AC5"/>
    <mergeCell ref="R5:S5"/>
    <mergeCell ref="T5:U5"/>
    <mergeCell ref="V5:W5"/>
    <mergeCell ref="X5:Y5"/>
    <mergeCell ref="Z5:AA5"/>
  </mergeCells>
  <phoneticPr fontId="6" type="noConversion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Lista</vt:lpstr>
      <vt:lpstr>Partic</vt:lpstr>
      <vt:lpstr>Estandar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Nelson Carrillo</cp:lastModifiedBy>
  <dcterms:modified xsi:type="dcterms:W3CDTF">2026-08-31T05:02:52Z</dcterms:modified>
</cp:coreProperties>
</file>