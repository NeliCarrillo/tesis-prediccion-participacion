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Estructura de Datos/2526-2/"/>
    </mc:Choice>
  </mc:AlternateContent>
  <xr:revisionPtr revIDLastSave="0" documentId="13_ncr:1_{3382A3E8-F32C-514E-8B9D-3E03F5740EE5}" xr6:coauthVersionLast="47" xr6:coauthVersionMax="47" xr10:uidLastSave="{00000000-0000-0000-0000-000000000000}"/>
  <bookViews>
    <workbookView xWindow="0" yWindow="600" windowWidth="28800" windowHeight="15980" activeTab="1" xr2:uid="{00000000-000D-0000-FFFF-FFFF00000000}"/>
  </bookViews>
  <sheets>
    <sheet name="ESTRUCTURAS-DE DATOS" sheetId="1" r:id="rId1"/>
    <sheet name="Estand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W20" i="1" s="1"/>
  <c r="V19" i="1"/>
  <c r="W19" i="1" s="1"/>
  <c r="V18" i="1"/>
  <c r="W18" i="1" s="1"/>
  <c r="W17" i="1"/>
  <c r="V17" i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V8" i="1"/>
  <c r="W8" i="1" s="1"/>
  <c r="V7" i="1"/>
  <c r="W7" i="1" s="1"/>
  <c r="V6" i="1"/>
  <c r="W6" i="1" s="1"/>
  <c r="V5" i="1"/>
  <c r="W5" i="1" s="1"/>
  <c r="V4" i="1"/>
  <c r="W4" i="1" s="1"/>
  <c r="V3" i="1"/>
  <c r="W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000-000002000000}">
      <text>
        <r>
          <rPr>
            <sz val="10"/>
            <color rgb="FF000000"/>
            <rFont val="Arial"/>
            <family val="2"/>
          </rPr>
          <t>2 intervenciones</t>
        </r>
      </text>
    </comment>
    <comment ref="C4" authorId="0" shapeId="0" xr:uid="{00000000-0006-0000-0000-000010000000}">
      <text>
        <r>
          <rPr>
            <sz val="10"/>
            <color rgb="FF000000"/>
            <rFont val="Arial"/>
            <family val="2"/>
          </rPr>
          <t>2 intervenciones</t>
        </r>
      </text>
    </comment>
    <comment ref="K4" authorId="0" shapeId="0" xr:uid="{00000000-0006-0000-0000-000015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L4" authorId="0" shapeId="0" xr:uid="{00000000-0006-0000-0000-000017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U4" authorId="0" shapeId="0" xr:uid="{00000000-0006-0000-0000-00001D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D5" authorId="0" shapeId="0" xr:uid="{00000000-0006-0000-0000-00001F000000}">
      <text>
        <r>
          <rPr>
            <sz val="10"/>
            <color rgb="FF000000"/>
            <rFont val="Arial"/>
            <family val="2"/>
            <scheme val="minor"/>
          </rPr>
          <t>8 intervenciones</t>
        </r>
      </text>
    </comment>
    <comment ref="E5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4 intervenciones</t>
        </r>
      </text>
    </comment>
    <comment ref="G5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pizzarra + 2 intervenciones</t>
        </r>
      </text>
    </comment>
    <comment ref="I5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pizzarra + 3 intervenciones</t>
        </r>
      </text>
    </comment>
    <comment ref="J5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4 intervenciones</t>
        </r>
      </text>
    </comment>
    <comment ref="K5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pizzarra + 2 intervenciones</t>
        </r>
      </text>
    </comment>
    <comment ref="N5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pizzarra + intervención</t>
        </r>
      </text>
    </comment>
    <comment ref="R5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  <comment ref="T5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  <comment ref="U5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E6" authorId="0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>Pizarra + intervención</t>
        </r>
      </text>
    </comment>
    <comment ref="K6" authorId="0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L6" authorId="0" shapeId="0" xr:uid="{00000000-0006-0000-0000-000014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S6" authorId="0" shapeId="0" xr:uid="{00000000-0006-0000-0000-00001B000000}">
      <text>
        <r>
          <rPr>
            <sz val="10"/>
            <color rgb="FF000000"/>
            <rFont val="Arial"/>
            <family val="2"/>
            <scheme val="minor"/>
          </rPr>
          <t>Pizarra + intervención</t>
        </r>
      </text>
    </comment>
    <comment ref="U6" authorId="0" shapeId="0" xr:uid="{00000000-0006-0000-0000-00001C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L8" authorId="0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R8" authorId="0" shapeId="0" xr:uid="{00000000-0006-0000-0000-00001A000000}">
      <text>
        <r>
          <rPr>
            <sz val="10"/>
            <color rgb="FF000000"/>
            <rFont val="Arial"/>
            <family val="2"/>
            <scheme val="minor"/>
          </rPr>
          <t>5 intervenciones</t>
        </r>
      </text>
    </comment>
    <comment ref="L9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  <comment ref="S12" authorId="0" shapeId="0" xr:uid="{00000000-0006-0000-0000-000016000000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  <comment ref="T12" authorId="0" shapeId="0" xr:uid="{00000000-0006-0000-0000-000018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U12" authorId="0" shapeId="0" xr:uid="{00000000-0006-0000-0000-000019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J13" authorId="0" shapeId="0" xr:uid="{00000000-0006-0000-0000-00001E000000}">
      <text>
        <r>
          <rPr>
            <sz val="10"/>
            <color rgb="FF000000"/>
            <rFont val="Arial"/>
            <family val="2"/>
            <scheme val="minor"/>
          </rPr>
          <t>3 intervenciones</t>
        </r>
      </text>
    </comment>
    <comment ref="R13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S13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E14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S17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7" authorId="0" shapeId="0" xr:uid="{EFF6B67A-3EA1-DF4A-9B38-45B3E7A815A7}">
      <text>
        <r>
          <rPr>
            <sz val="10"/>
            <color rgb="FF000000"/>
            <rFont val="Arial"/>
            <family val="2"/>
          </rPr>
          <t>2 intervenciones</t>
        </r>
      </text>
    </comment>
    <comment ref="F8" authorId="0" shapeId="0" xr:uid="{8AF044AF-E47D-8B40-9656-616C666C77E5}">
      <text>
        <r>
          <rPr>
            <sz val="10"/>
            <color rgb="FF000000"/>
            <rFont val="Arial"/>
            <family val="2"/>
          </rPr>
          <t>2 intervenciones</t>
        </r>
      </text>
    </comment>
    <comment ref="O8" authorId="0" shapeId="0" xr:uid="{EAD118CD-11AE-A94B-9B45-607AF1E180E2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Q8" authorId="0" shapeId="0" xr:uid="{FC4395AA-3345-5C46-AF99-28E5DD59A749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AB8" authorId="0" shapeId="0" xr:uid="{C81C0957-4AA8-2C44-9B2A-21632B0FC1B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G9" authorId="0" shapeId="0" xr:uid="{2DA2560A-D047-314B-87CD-D1AF1417209B}">
      <text>
        <r>
          <rPr>
            <sz val="10"/>
            <color rgb="FF000000"/>
            <rFont val="Arial"/>
            <family val="2"/>
            <scheme val="minor"/>
          </rPr>
          <t>8 intervenciones</t>
        </r>
      </text>
    </comment>
    <comment ref="H9" authorId="0" shapeId="0" xr:uid="{2A92D54C-2237-B647-AE25-A2ABE361121C}">
      <text>
        <r>
          <rPr>
            <sz val="10"/>
            <color rgb="FF000000"/>
            <rFont val="Arial"/>
            <family val="2"/>
            <scheme val="minor"/>
          </rPr>
          <t>4 intervenciones</t>
        </r>
      </text>
    </comment>
    <comment ref="K9" authorId="0" shapeId="0" xr:uid="{717E4CFF-DDBA-2F4F-9190-18A3F2F4112F}">
      <text>
        <r>
          <rPr>
            <sz val="10"/>
            <color rgb="FF000000"/>
            <rFont val="Arial"/>
            <family val="2"/>
            <scheme val="minor"/>
          </rPr>
          <t>pizzarra + 2 intervenciones</t>
        </r>
      </text>
    </comment>
    <comment ref="M9" authorId="0" shapeId="0" xr:uid="{BCEF6DC5-CE6A-7248-8945-DFEB52F1BA33}">
      <text>
        <r>
          <rPr>
            <sz val="10"/>
            <color rgb="FF000000"/>
            <rFont val="Arial"/>
            <family val="2"/>
            <scheme val="minor"/>
          </rPr>
          <t>pizzarra + 3 intervenciones</t>
        </r>
      </text>
    </comment>
    <comment ref="N9" authorId="0" shapeId="0" xr:uid="{56AE115F-A126-084F-B077-07EA5D947906}">
      <text>
        <r>
          <rPr>
            <sz val="10"/>
            <color rgb="FF000000"/>
            <rFont val="Arial"/>
            <family val="2"/>
            <scheme val="minor"/>
          </rPr>
          <t>4 intervenciones</t>
        </r>
      </text>
    </comment>
    <comment ref="O9" authorId="0" shapeId="0" xr:uid="{339FBB8E-E07D-B840-98EC-C80B64B927CB}">
      <text>
        <r>
          <rPr>
            <sz val="10"/>
            <color rgb="FF000000"/>
            <rFont val="Arial"/>
            <family val="2"/>
            <scheme val="minor"/>
          </rPr>
          <t>pizzarra + 2 intervenciones</t>
        </r>
      </text>
    </comment>
    <comment ref="T9" authorId="0" shapeId="0" xr:uid="{46EE61CB-8DEA-B34D-B46C-61C9F3B2F7D8}">
      <text>
        <r>
          <rPr>
            <sz val="10"/>
            <color rgb="FF000000"/>
            <rFont val="Arial"/>
            <family val="2"/>
            <scheme val="minor"/>
          </rPr>
          <t>pizzarra + intervención</t>
        </r>
      </text>
    </comment>
    <comment ref="X9" authorId="0" shapeId="0" xr:uid="{96252001-53A7-2D47-B105-8621CFC439F9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  <comment ref="Z9" authorId="0" shapeId="0" xr:uid="{452F243B-B589-6148-A36E-B2917CE3CD92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  <comment ref="AB9" authorId="0" shapeId="0" xr:uid="{5A7E6893-A99C-1343-AB58-35F3E469ABE8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H10" authorId="0" shapeId="0" xr:uid="{09655BB5-F296-2F40-97E2-A5805C2282FE}">
      <text>
        <r>
          <rPr>
            <sz val="10"/>
            <color rgb="FF000000"/>
            <rFont val="Arial"/>
            <family val="2"/>
            <scheme val="minor"/>
          </rPr>
          <t>Pizarra + intervención</t>
        </r>
      </text>
    </comment>
    <comment ref="O10" authorId="0" shapeId="0" xr:uid="{E8E8D432-E538-5D48-8012-954B776EFCCC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Q10" authorId="0" shapeId="0" xr:uid="{C49A1688-FB91-0D49-A045-1CCA5B9F9536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Y10" authorId="0" shapeId="0" xr:uid="{C7E224C5-EB8B-684D-A9EC-6AB3218ED082}">
      <text>
        <r>
          <rPr>
            <sz val="10"/>
            <color rgb="FF000000"/>
            <rFont val="Arial"/>
            <family val="2"/>
            <scheme val="minor"/>
          </rPr>
          <t>Pizarra + intervención</t>
        </r>
      </text>
    </comment>
    <comment ref="AB10" authorId="0" shapeId="0" xr:uid="{C74A0A0E-D3D4-BA45-B13D-E5BFE7DCDB4A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Q12" authorId="0" shapeId="0" xr:uid="{71A6A668-7BDA-B347-8211-B950F8A3A6AE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X12" authorId="0" shapeId="0" xr:uid="{2ADA8ABC-7E55-B845-AE66-5F59FB241FC4}">
      <text>
        <r>
          <rPr>
            <sz val="10"/>
            <color rgb="FF000000"/>
            <rFont val="Arial"/>
            <family val="2"/>
            <scheme val="minor"/>
          </rPr>
          <t>5 intervenciones</t>
        </r>
      </text>
    </comment>
    <comment ref="Q13" authorId="0" shapeId="0" xr:uid="{13CDD3FB-F2A8-464E-A2B9-060761789508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  <comment ref="Y16" authorId="0" shapeId="0" xr:uid="{28C333F1-90A8-AF42-9BE0-ED0158DAE426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  <comment ref="Z16" authorId="0" shapeId="0" xr:uid="{6761C6F8-75CF-214B-97F0-E2144C456141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AB16" authorId="0" shapeId="0" xr:uid="{BDE3B640-8BA9-214C-8612-584B112C3C84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N17" authorId="0" shapeId="0" xr:uid="{32153822-2D42-6944-8CA0-1E058EEC094D}">
      <text>
        <r>
          <rPr>
            <sz val="10"/>
            <color rgb="FF000000"/>
            <rFont val="Arial"/>
            <family val="2"/>
            <scheme val="minor"/>
          </rPr>
          <t>3 intervenciones</t>
        </r>
      </text>
    </comment>
    <comment ref="X17" authorId="0" shapeId="0" xr:uid="{5E86B897-0A10-EC40-BC49-7630CC24D132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Y17" authorId="0" shapeId="0" xr:uid="{0A475759-5A7A-994C-AE85-AF0207770C7A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H18" authorId="0" shapeId="0" xr:uid="{A07C86AC-DCC8-9749-82C5-C7322F0E4744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Y21" authorId="0" shapeId="0" xr:uid="{DC873673-D92E-BD47-8E3B-833323746739}">
      <text>
        <r>
          <rPr>
            <sz val="10"/>
            <color rgb="FF000000"/>
            <rFont val="Arial"/>
            <family val="2"/>
            <scheme val="minor"/>
          </rPr>
          <t>2 Pizarras</t>
        </r>
      </text>
    </comment>
  </commentList>
</comments>
</file>

<file path=xl/sharedStrings.xml><?xml version="1.0" encoding="utf-8"?>
<sst xmlns="http://schemas.openxmlformats.org/spreadsheetml/2006/main" count="126" uniqueCount="102">
  <si>
    <r>
      <rPr>
        <sz val="11"/>
        <color theme="1"/>
        <rFont val="Arial"/>
        <family val="2"/>
      </rPr>
      <t xml:space="preserve">Participaciones </t>
    </r>
    <r>
      <rPr>
        <b/>
        <sz val="11"/>
        <color rgb="FFFF0000"/>
        <rFont val="Arial"/>
        <family val="2"/>
      </rPr>
      <t>ESTRUCTURAS DE DATOS</t>
    </r>
    <r>
      <rPr>
        <sz val="11"/>
        <color theme="1"/>
        <rFont val="Arial"/>
        <family val="2"/>
      </rPr>
      <t xml:space="preserve"> - Enero-Marzo 2026</t>
    </r>
  </si>
  <si>
    <t>Cédula de Identidad</t>
  </si>
  <si>
    <t>Nombres y Apellidos</t>
  </si>
  <si>
    <t>Lun Sem 1</t>
  </si>
  <si>
    <t>Mie Sem 1</t>
  </si>
  <si>
    <t>Lun Sem 2</t>
  </si>
  <si>
    <t>Lun Sem 3</t>
  </si>
  <si>
    <t>Mie Sem 3</t>
  </si>
  <si>
    <t>Lun Sem 4</t>
  </si>
  <si>
    <t>Mie Sem 4</t>
  </si>
  <si>
    <t>Lun Sem 5</t>
  </si>
  <si>
    <t>Mie Sem 5</t>
  </si>
  <si>
    <t>Mie Sem 6</t>
  </si>
  <si>
    <t>Mie Sem 7</t>
  </si>
  <si>
    <t>Lun Sem 8</t>
  </si>
  <si>
    <t>Mie Sem 8</t>
  </si>
  <si>
    <t>Lun Sem 9</t>
  </si>
  <si>
    <t>Mie Sem 9</t>
  </si>
  <si>
    <t>Lun Sem 10</t>
  </si>
  <si>
    <t>Mie Sem 10</t>
  </si>
  <si>
    <t>Lun Sem 11</t>
  </si>
  <si>
    <t>Lun Sem 12</t>
  </si>
  <si>
    <t>TOTAL</t>
  </si>
  <si>
    <t>%</t>
  </si>
  <si>
    <t>Sebastian Alfonzo</t>
  </si>
  <si>
    <t>Daniel Angulo</t>
  </si>
  <si>
    <t xml:space="preserve"> </t>
  </si>
  <si>
    <t>Valentina Cabrera</t>
  </si>
  <si>
    <t>Juan Pablo Rojas</t>
  </si>
  <si>
    <t>Giancarlo Paolino</t>
  </si>
  <si>
    <t>Sebastian Velasquez</t>
  </si>
  <si>
    <t>Gabriel Cedeño</t>
  </si>
  <si>
    <t>Carlos Padrón</t>
  </si>
  <si>
    <t>Antonio Barriola</t>
  </si>
  <si>
    <t>Adrian Martinez</t>
  </si>
  <si>
    <t>Gianfranco Camporeale</t>
  </si>
  <si>
    <t>Ugarte Alirio</t>
  </si>
  <si>
    <t>Jose Quintero</t>
  </si>
  <si>
    <t>David Mayora</t>
  </si>
  <si>
    <t>Juan Blanco</t>
  </si>
  <si>
    <t>Samuel Vergel</t>
  </si>
  <si>
    <t>Andrés Fung</t>
  </si>
  <si>
    <t>Oscar Ezeiza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</si>
  <si>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</si>
  <si>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</si>
  <si>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</si>
  <si>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</si>
  <si>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</si>
  <si>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</si>
  <si>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</si>
  <si>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</si>
  <si>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</si>
  <si>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</si>
  <si>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</si>
  <si>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</si>
  <si>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</si>
  <si>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</si>
  <si>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</si>
  <si>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</si>
  <si>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</si>
  <si>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</si>
  <si>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</si>
  <si>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lunes</t>
  </si>
  <si>
    <t>miercoles</t>
  </si>
  <si>
    <t>Estructuras de Datos</t>
  </si>
  <si>
    <t>2526-2</t>
  </si>
  <si>
    <t>Sebastian</t>
  </si>
  <si>
    <t>Alfonzo</t>
  </si>
  <si>
    <t>Daniel</t>
  </si>
  <si>
    <t>Angulo</t>
  </si>
  <si>
    <t>Valentina</t>
  </si>
  <si>
    <t>Cabrera</t>
  </si>
  <si>
    <t>Juan Pablo</t>
  </si>
  <si>
    <t>Rojas</t>
  </si>
  <si>
    <t>Giancarlo</t>
  </si>
  <si>
    <t>Paolino</t>
  </si>
  <si>
    <t>Velasquez</t>
  </si>
  <si>
    <t>Gabriel</t>
  </si>
  <si>
    <t>Cedeño</t>
  </si>
  <si>
    <t>Carlos</t>
  </si>
  <si>
    <t>Padrón</t>
  </si>
  <si>
    <t>Antonio</t>
  </si>
  <si>
    <t>Barriola</t>
  </si>
  <si>
    <t>Adrian</t>
  </si>
  <si>
    <t>Martinez</t>
  </si>
  <si>
    <t>Gianfranco</t>
  </si>
  <si>
    <t>Camporeale</t>
  </si>
  <si>
    <t>Ugarte</t>
  </si>
  <si>
    <t>Alirio</t>
  </si>
  <si>
    <t>Jose</t>
  </si>
  <si>
    <t>Quintero</t>
  </si>
  <si>
    <t>David</t>
  </si>
  <si>
    <t>Mayora</t>
  </si>
  <si>
    <t>Juan</t>
  </si>
  <si>
    <t>Blanco</t>
  </si>
  <si>
    <t>Samuel</t>
  </si>
  <si>
    <t>Vergel</t>
  </si>
  <si>
    <t>Andrés</t>
  </si>
  <si>
    <t>Fung</t>
  </si>
  <si>
    <t>Oscar</t>
  </si>
  <si>
    <t>Ezeiza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</si>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</sst>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ptos Narrow"/>
    </font>
    <font>
      <b/>
      <sz val="12"/>
      <color theme="1"/>
      <name val="Aptos Narrow"/>
    </font>
    <font>
      <b/>
      <sz val="11"/>
      <color theme="1"/>
      <name val="Aptos Narrow"/>
    </font>
    <font>
      <b/>
      <sz val="11"/>
      <color rgb="FFFF0000"/>
      <name val="Arial"/>
      <family val="2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/>
    <xf numFmtId="0" fontId="2" fillId="2" borderId="0" xfId="0" applyFont="1" applyFill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1" fillId="0" borderId="4" xfId="0" applyFont="1" applyBorder="1"/>
    <xf numFmtId="0" fontId="4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4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center" wrapText="1"/>
    </xf>
    <xf numFmtId="0" fontId="5" fillId="0" borderId="0" xfId="0" applyFont="1"/>
    <xf numFmtId="0" fontId="7" fillId="0" borderId="0" xfId="0" applyFont="1"/>
    <xf numFmtId="0" fontId="0" fillId="5" borderId="0" xfId="0" applyFill="1"/>
    <xf numFmtId="0" fontId="0" fillId="4" borderId="0" xfId="0" applyFill="1"/>
    <xf numFmtId="0" fontId="1" fillId="5" borderId="4" xfId="0" applyFont="1" applyFill="1" applyBorder="1"/>
    <xf numFmtId="0" fontId="1" fillId="4" borderId="4" xfId="0" applyFont="1" applyFill="1" applyBorder="1"/>
    <xf numFmtId="0" fontId="2" fillId="5" borderId="4" xfId="0" applyFont="1" applyFill="1" applyBorder="1"/>
    <xf numFmtId="0" fontId="2" fillId="4" borderId="4" xfId="0" applyFont="1" applyFill="1" applyBorder="1"/>
    <xf numFmtId="0" fontId="0" fillId="0" borderId="0" xfId="0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ESTRUCTURAS-DE 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W20">
  <tableColumns count="23">
    <tableColumn id="1" xr3:uid="{00000000-0010-0000-0000-000001000000}" name="Cédula de Identidad"/>
    <tableColumn id="2" xr3:uid="{00000000-0010-0000-0000-000002000000}" name="Nombres y Apellidos"/>
    <tableColumn id="3" xr3:uid="{00000000-0010-0000-0000-000003000000}" name="Lun Sem 1"/>
    <tableColumn id="4" xr3:uid="{00000000-0010-0000-0000-000004000000}" name="Mie Sem 1"/>
    <tableColumn id="5" xr3:uid="{00000000-0010-0000-0000-000005000000}" name="Lun Sem 2"/>
    <tableColumn id="6" xr3:uid="{00000000-0010-0000-0000-000006000000}" name="Lun Sem 3"/>
    <tableColumn id="7" xr3:uid="{00000000-0010-0000-0000-000007000000}" name="Mie Sem 3"/>
    <tableColumn id="8" xr3:uid="{00000000-0010-0000-0000-000008000000}" name="Lun Sem 4"/>
    <tableColumn id="9" xr3:uid="{00000000-0010-0000-0000-000009000000}" name="Mie Sem 4"/>
    <tableColumn id="10" xr3:uid="{00000000-0010-0000-0000-00000A000000}" name="Lun Sem 5"/>
    <tableColumn id="11" xr3:uid="{00000000-0010-0000-0000-00000B000000}" name="Mie Sem 5"/>
    <tableColumn id="12" xr3:uid="{00000000-0010-0000-0000-00000C000000}" name="Mie Sem 6"/>
    <tableColumn id="13" xr3:uid="{00000000-0010-0000-0000-00000D000000}" name="Mie Sem 7"/>
    <tableColumn id="14" xr3:uid="{00000000-0010-0000-0000-00000E000000}" name="Lun Sem 8"/>
    <tableColumn id="15" xr3:uid="{00000000-0010-0000-0000-00000F000000}" name="Mie Sem 8"/>
    <tableColumn id="16" xr3:uid="{00000000-0010-0000-0000-000010000000}" name="Lun Sem 9"/>
    <tableColumn id="17" xr3:uid="{00000000-0010-0000-0000-000011000000}" name="Mie Sem 9"/>
    <tableColumn id="18" xr3:uid="{00000000-0010-0000-0000-000012000000}" name="Lun Sem 10"/>
    <tableColumn id="19" xr3:uid="{00000000-0010-0000-0000-000013000000}" name="Mie Sem 10"/>
    <tableColumn id="20" xr3:uid="{00000000-0010-0000-0000-000014000000}" name="Lun Sem 11"/>
    <tableColumn id="21" xr3:uid="{00000000-0010-0000-0000-000015000000}" name="Lun Sem 12"/>
    <tableColumn id="22" xr3:uid="{00000000-0010-0000-0000-000016000000}" name="TOTAL"/>
    <tableColumn id="23" xr3:uid="{00000000-0010-0000-0000-000017000000}" name="%"/>
  </tableColumns>
  <tableStyleInfo name="ESTRUCTURAS-DE 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W1000"/>
  <sheetViews>
    <sheetView workbookViewId="0">
      <pane xSplit="2" topLeftCell="H1" activePane="topRight" state="frozen"/>
      <selection pane="topRight" activeCell="U3" sqref="U3:U20"/>
    </sheetView>
  </sheetViews>
  <sheetFormatPr baseColWidth="10" defaultColWidth="12.6640625" defaultRowHeight="15.75" customHeight="1" x14ac:dyDescent="0.15"/>
  <cols>
    <col min="1" max="1" width="16.6640625" customWidth="1"/>
    <col min="2" max="2" width="23.1640625" customWidth="1"/>
    <col min="3" max="6" width="9.83203125" customWidth="1"/>
    <col min="7" max="7" width="9.6640625" customWidth="1"/>
    <col min="8" max="8" width="9.83203125" customWidth="1"/>
    <col min="9" max="9" width="9.6640625" customWidth="1"/>
    <col min="10" max="10" width="9.83203125" customWidth="1"/>
    <col min="11" max="13" width="9.6640625" customWidth="1"/>
    <col min="14" max="16" width="9.83203125" customWidth="1"/>
    <col min="17" max="17" width="9.6640625" customWidth="1"/>
    <col min="18" max="18" width="10.83203125" customWidth="1"/>
    <col min="19" max="20" width="10.6640625" customWidth="1"/>
    <col min="21" max="21" width="10.83203125" customWidth="1"/>
    <col min="22" max="22" width="8.6640625" customWidth="1"/>
  </cols>
  <sheetData>
    <row r="1" spans="1:23" ht="15" x14ac:dyDescent="0.2">
      <c r="A1" s="1" t="s">
        <v>0</v>
      </c>
    </row>
    <row r="2" spans="1:23" ht="1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5" t="s">
        <v>21</v>
      </c>
      <c r="V2" s="6" t="s">
        <v>22</v>
      </c>
      <c r="W2" s="7" t="s">
        <v>23</v>
      </c>
    </row>
    <row r="3" spans="1:23" ht="16" x14ac:dyDescent="0.2">
      <c r="A3" s="8">
        <v>28410856</v>
      </c>
      <c r="B3" s="9" t="s">
        <v>24</v>
      </c>
      <c r="C3" s="10"/>
      <c r="D3" s="10"/>
      <c r="E3" s="10">
        <v>2</v>
      </c>
      <c r="F3" s="10"/>
      <c r="G3" s="10">
        <v>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>
        <f>SUM('ESTRUCTURAS-DE DATOS'!$C3:$U3)</f>
        <v>3</v>
      </c>
      <c r="W3" s="12">
        <f t="shared" ref="W3:W20" si="0">V3/17</f>
        <v>0.17647058823529413</v>
      </c>
    </row>
    <row r="4" spans="1:23" ht="16" x14ac:dyDescent="0.2">
      <c r="A4" s="8">
        <v>30911705</v>
      </c>
      <c r="B4" s="9" t="s">
        <v>25</v>
      </c>
      <c r="C4" s="10">
        <v>2</v>
      </c>
      <c r="D4" s="10"/>
      <c r="E4" s="10"/>
      <c r="F4" s="13">
        <v>1</v>
      </c>
      <c r="G4" s="10"/>
      <c r="H4" s="10"/>
      <c r="I4" s="10" t="s">
        <v>26</v>
      </c>
      <c r="J4" s="10"/>
      <c r="K4" s="10">
        <v>2</v>
      </c>
      <c r="L4" s="10">
        <v>2</v>
      </c>
      <c r="M4" s="10"/>
      <c r="N4" s="10"/>
      <c r="O4" s="10"/>
      <c r="P4" s="10"/>
      <c r="Q4" s="10"/>
      <c r="R4" s="10"/>
      <c r="S4" s="10"/>
      <c r="T4" s="10"/>
      <c r="U4" s="10">
        <v>2</v>
      </c>
      <c r="V4" s="11">
        <f>SUM('ESTRUCTURAS-DE DATOS'!$C4:$U4)</f>
        <v>9</v>
      </c>
      <c r="W4" s="12">
        <f t="shared" si="0"/>
        <v>0.52941176470588236</v>
      </c>
    </row>
    <row r="5" spans="1:23" ht="16" x14ac:dyDescent="0.2">
      <c r="A5" s="8">
        <v>30394726</v>
      </c>
      <c r="B5" s="9" t="s">
        <v>27</v>
      </c>
      <c r="C5" s="10"/>
      <c r="D5" s="13">
        <v>8</v>
      </c>
      <c r="E5" s="10">
        <v>4</v>
      </c>
      <c r="F5" s="13"/>
      <c r="G5" s="13">
        <v>4</v>
      </c>
      <c r="H5" s="13">
        <v>1</v>
      </c>
      <c r="I5" s="13">
        <v>5</v>
      </c>
      <c r="J5" s="13">
        <v>4</v>
      </c>
      <c r="K5" s="13">
        <v>4</v>
      </c>
      <c r="L5" s="10"/>
      <c r="M5" s="10">
        <v>1</v>
      </c>
      <c r="N5" s="13">
        <v>3</v>
      </c>
      <c r="O5" s="13">
        <v>1</v>
      </c>
      <c r="P5" s="10"/>
      <c r="Q5" s="10"/>
      <c r="R5" s="13">
        <v>4</v>
      </c>
      <c r="S5" s="13"/>
      <c r="T5" s="13">
        <v>4</v>
      </c>
      <c r="U5" s="13">
        <v>1</v>
      </c>
      <c r="V5" s="11">
        <f>SUM('ESTRUCTURAS-DE DATOS'!$C5:$U5)</f>
        <v>44</v>
      </c>
      <c r="W5" s="12">
        <f t="shared" si="0"/>
        <v>2.5882352941176472</v>
      </c>
    </row>
    <row r="6" spans="1:23" ht="16" x14ac:dyDescent="0.2">
      <c r="A6" s="8">
        <v>32333927</v>
      </c>
      <c r="B6" s="9" t="s">
        <v>28</v>
      </c>
      <c r="C6" s="10"/>
      <c r="D6" s="13">
        <v>1</v>
      </c>
      <c r="E6" s="13">
        <v>3</v>
      </c>
      <c r="F6" s="13">
        <v>1</v>
      </c>
      <c r="G6" s="10"/>
      <c r="H6" s="10"/>
      <c r="I6" s="10"/>
      <c r="J6" s="10"/>
      <c r="K6" s="10">
        <v>2</v>
      </c>
      <c r="L6" s="10">
        <v>2</v>
      </c>
      <c r="M6" s="10"/>
      <c r="N6" s="10"/>
      <c r="O6" s="10"/>
      <c r="P6" s="10"/>
      <c r="Q6" s="10">
        <v>1</v>
      </c>
      <c r="S6" s="10">
        <v>2</v>
      </c>
      <c r="T6" s="10"/>
      <c r="U6" s="10">
        <v>2</v>
      </c>
      <c r="V6" s="11">
        <f>SUM('ESTRUCTURAS-DE DATOS'!$C6:$U6)</f>
        <v>14</v>
      </c>
      <c r="W6" s="12">
        <f t="shared" si="0"/>
        <v>0.82352941176470584</v>
      </c>
    </row>
    <row r="7" spans="1:23" ht="16" x14ac:dyDescent="0.2">
      <c r="A7" s="8">
        <v>31464995</v>
      </c>
      <c r="B7" s="9" t="s">
        <v>29</v>
      </c>
      <c r="C7" s="13"/>
      <c r="D7" s="13"/>
      <c r="E7" s="13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>
        <f>SUM('ESTRUCTURAS-DE DATOS'!$C7:$U7)</f>
        <v>0</v>
      </c>
      <c r="W7" s="12">
        <f t="shared" si="0"/>
        <v>0</v>
      </c>
    </row>
    <row r="8" spans="1:23" ht="16" x14ac:dyDescent="0.2">
      <c r="A8" s="8">
        <v>31042821</v>
      </c>
      <c r="B8" s="9" t="s">
        <v>30</v>
      </c>
      <c r="C8" s="13"/>
      <c r="D8" s="13"/>
      <c r="E8" s="13"/>
      <c r="F8" s="13"/>
      <c r="G8" s="13"/>
      <c r="H8" s="10"/>
      <c r="I8" s="10"/>
      <c r="J8" s="13"/>
      <c r="K8" s="13"/>
      <c r="L8" s="10">
        <v>2</v>
      </c>
      <c r="M8" s="10"/>
      <c r="N8" s="10"/>
      <c r="O8" s="10"/>
      <c r="P8" s="10">
        <v>1</v>
      </c>
      <c r="R8" s="10">
        <v>5</v>
      </c>
      <c r="S8" s="10"/>
      <c r="T8" s="10"/>
      <c r="U8" s="10"/>
      <c r="V8" s="11">
        <f>SUM('ESTRUCTURAS-DE DATOS'!$C8:$U8)</f>
        <v>8</v>
      </c>
      <c r="W8" s="12">
        <f t="shared" si="0"/>
        <v>0.47058823529411764</v>
      </c>
    </row>
    <row r="9" spans="1:23" ht="16" x14ac:dyDescent="0.2">
      <c r="A9" s="8">
        <v>29724329</v>
      </c>
      <c r="B9" s="9" t="s">
        <v>31</v>
      </c>
      <c r="C9" s="10"/>
      <c r="D9" s="10"/>
      <c r="E9" s="10"/>
      <c r="F9" s="13"/>
      <c r="G9" s="13"/>
      <c r="H9" s="10"/>
      <c r="I9" s="10"/>
      <c r="J9" s="13"/>
      <c r="K9" s="13"/>
      <c r="L9" s="13">
        <v>4</v>
      </c>
      <c r="M9" s="10"/>
      <c r="N9" s="10"/>
      <c r="O9" s="10"/>
      <c r="P9" s="10"/>
      <c r="Q9" s="10"/>
      <c r="R9" s="10"/>
      <c r="S9" s="10"/>
      <c r="T9" s="10"/>
      <c r="U9" s="10"/>
      <c r="V9" s="11">
        <f>SUM('ESTRUCTURAS-DE DATOS'!$C9:$U9)</f>
        <v>4</v>
      </c>
      <c r="W9" s="12">
        <f t="shared" si="0"/>
        <v>0.23529411764705882</v>
      </c>
    </row>
    <row r="10" spans="1:23" ht="16" x14ac:dyDescent="0.2">
      <c r="A10" s="8">
        <v>31785756</v>
      </c>
      <c r="B10" s="9" t="s">
        <v>32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>
        <f>SUM('ESTRUCTURAS-DE DATOS'!$C10:$U10)</f>
        <v>0</v>
      </c>
      <c r="W10" s="12">
        <f t="shared" si="0"/>
        <v>0</v>
      </c>
    </row>
    <row r="11" spans="1:23" ht="16" x14ac:dyDescent="0.2">
      <c r="A11" s="8">
        <v>31985434</v>
      </c>
      <c r="B11" s="9" t="s">
        <v>33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>
        <f>SUM('ESTRUCTURAS-DE DATOS'!$C11:$U11)</f>
        <v>0</v>
      </c>
      <c r="W11" s="12">
        <f t="shared" si="0"/>
        <v>0</v>
      </c>
    </row>
    <row r="12" spans="1:23" ht="15.75" customHeight="1" x14ac:dyDescent="0.2">
      <c r="A12" s="8">
        <v>31758845</v>
      </c>
      <c r="B12" s="9" t="s">
        <v>34</v>
      </c>
      <c r="C12" s="13"/>
      <c r="D12" s="13"/>
      <c r="E12" s="13"/>
      <c r="F12" s="13"/>
      <c r="G12" s="13"/>
      <c r="H12" s="10"/>
      <c r="I12" s="10"/>
      <c r="J12" s="13"/>
      <c r="K12" s="13"/>
      <c r="L12" s="13"/>
      <c r="M12" s="10"/>
      <c r="N12" s="10"/>
      <c r="O12" s="10"/>
      <c r="P12" s="10"/>
      <c r="Q12" s="10">
        <v>1</v>
      </c>
      <c r="R12" s="10"/>
      <c r="S12" s="13">
        <v>4</v>
      </c>
      <c r="T12" s="10">
        <v>2</v>
      </c>
      <c r="U12" s="10">
        <v>2</v>
      </c>
      <c r="V12" s="11">
        <f>SUM('ESTRUCTURAS-DE DATOS'!$C12:$U12)</f>
        <v>9</v>
      </c>
      <c r="W12" s="12">
        <f t="shared" si="0"/>
        <v>0.52941176470588236</v>
      </c>
    </row>
    <row r="13" spans="1:23" ht="15.75" customHeight="1" x14ac:dyDescent="0.2">
      <c r="A13" s="8">
        <v>31377369</v>
      </c>
      <c r="B13" s="9" t="s">
        <v>35</v>
      </c>
      <c r="C13" s="10"/>
      <c r="D13" s="10"/>
      <c r="E13" s="10"/>
      <c r="F13" s="10"/>
      <c r="G13" s="10"/>
      <c r="H13" s="10"/>
      <c r="I13" s="10"/>
      <c r="J13" s="13">
        <v>3</v>
      </c>
      <c r="K13" s="10">
        <v>1</v>
      </c>
      <c r="L13" s="10"/>
      <c r="M13" s="10"/>
      <c r="N13" s="10"/>
      <c r="O13" s="10"/>
      <c r="P13" s="10"/>
      <c r="Q13" s="13">
        <v>1</v>
      </c>
      <c r="R13" s="10">
        <v>2</v>
      </c>
      <c r="S13" s="10">
        <v>2</v>
      </c>
      <c r="T13" s="10"/>
      <c r="U13" s="10"/>
      <c r="V13" s="11">
        <f>SUM('ESTRUCTURAS-DE DATOS'!$C13:$U13)</f>
        <v>9</v>
      </c>
      <c r="W13" s="12">
        <f t="shared" si="0"/>
        <v>0.52941176470588236</v>
      </c>
    </row>
    <row r="14" spans="1:23" ht="15.75" customHeight="1" x14ac:dyDescent="0.2">
      <c r="A14" s="8">
        <v>32377039</v>
      </c>
      <c r="B14" s="9" t="s">
        <v>36</v>
      </c>
      <c r="C14" s="10"/>
      <c r="D14" s="10"/>
      <c r="E14" s="10">
        <v>2</v>
      </c>
      <c r="F14" s="13">
        <v>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>
        <f>SUM('ESTRUCTURAS-DE DATOS'!$C14:$U14)</f>
        <v>3</v>
      </c>
      <c r="W14" s="12">
        <f t="shared" si="0"/>
        <v>0.17647058823529413</v>
      </c>
    </row>
    <row r="15" spans="1:23" ht="17.25" customHeight="1" x14ac:dyDescent="0.2">
      <c r="A15" s="8">
        <v>32124905</v>
      </c>
      <c r="B15" s="9" t="s">
        <v>37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>
        <f>SUM('ESTRUCTURAS-DE DATOS'!$C15:$U15)</f>
        <v>0</v>
      </c>
      <c r="W15" s="12">
        <f t="shared" si="0"/>
        <v>0</v>
      </c>
    </row>
    <row r="16" spans="1:23" ht="15.75" customHeight="1" x14ac:dyDescent="0.2">
      <c r="A16" s="8">
        <v>24843496</v>
      </c>
      <c r="B16" s="9" t="s">
        <v>38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>
        <f>SUM('ESTRUCTURAS-DE DATOS'!$C16:$U16)</f>
        <v>0</v>
      </c>
      <c r="W16" s="12">
        <f t="shared" si="0"/>
        <v>0</v>
      </c>
    </row>
    <row r="17" spans="1:23" ht="15.75" customHeight="1" x14ac:dyDescent="0.2">
      <c r="A17" s="8">
        <v>30538925</v>
      </c>
      <c r="B17" s="9" t="s">
        <v>39</v>
      </c>
      <c r="C17" s="10"/>
      <c r="D17" s="10"/>
      <c r="E17" s="10">
        <v>1</v>
      </c>
      <c r="F17" s="10">
        <v>1</v>
      </c>
      <c r="H17" s="10"/>
      <c r="I17" s="10"/>
      <c r="J17" s="13">
        <v>1</v>
      </c>
      <c r="K17" s="10"/>
      <c r="L17" s="10"/>
      <c r="M17" s="10"/>
      <c r="N17" s="10"/>
      <c r="O17" s="10"/>
      <c r="P17" s="10"/>
      <c r="Q17" s="10"/>
      <c r="R17" s="10"/>
      <c r="S17" s="13">
        <v>4</v>
      </c>
      <c r="T17" s="10"/>
      <c r="U17" s="10"/>
      <c r="V17" s="11">
        <f>SUM('ESTRUCTURAS-DE DATOS'!$C17:$U17)</f>
        <v>7</v>
      </c>
      <c r="W17" s="12">
        <f t="shared" si="0"/>
        <v>0.41176470588235292</v>
      </c>
    </row>
    <row r="18" spans="1:23" ht="15.75" customHeight="1" x14ac:dyDescent="0.2">
      <c r="A18" s="8">
        <v>31707262</v>
      </c>
      <c r="B18" s="9" t="s">
        <v>40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>
        <f>SUM('ESTRUCTURAS-DE DATOS'!$C18:$U18)</f>
        <v>0</v>
      </c>
      <c r="W18" s="12">
        <f t="shared" si="0"/>
        <v>0</v>
      </c>
    </row>
    <row r="19" spans="1:23" ht="15.75" customHeight="1" x14ac:dyDescent="0.2">
      <c r="A19" s="8">
        <v>31307971</v>
      </c>
      <c r="B19" s="9" t="s">
        <v>41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>
        <f>SUM('ESTRUCTURAS-DE DATOS'!$C19:$U19)</f>
        <v>0</v>
      </c>
      <c r="W19" s="12">
        <f t="shared" si="0"/>
        <v>0</v>
      </c>
    </row>
    <row r="20" spans="1:23" ht="15.75" customHeight="1" x14ac:dyDescent="0.2">
      <c r="A20" s="8">
        <v>31707260</v>
      </c>
      <c r="B20" s="9" t="s">
        <v>42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>
        <v>1</v>
      </c>
      <c r="P20" s="10">
        <v>1</v>
      </c>
      <c r="R20" s="10"/>
      <c r="S20" s="10"/>
      <c r="T20" s="10"/>
      <c r="U20" s="10"/>
      <c r="V20" s="11">
        <f>SUM('ESTRUCTURAS-DE DATOS'!$C20:$U20)</f>
        <v>2</v>
      </c>
      <c r="W20" s="12">
        <f t="shared" si="0"/>
        <v>0.11764705882352941</v>
      </c>
    </row>
    <row r="21" spans="1:23" ht="28.5" customHeight="1" x14ac:dyDescent="0.1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23" ht="28.5" customHeight="1" x14ac:dyDescent="0.15">
      <c r="A22" s="15"/>
      <c r="B22" s="16"/>
      <c r="C22" s="16"/>
      <c r="D22" s="17"/>
      <c r="E22" s="17"/>
      <c r="F22" s="17"/>
      <c r="G22" s="17"/>
      <c r="H22" s="17"/>
      <c r="I22" s="17"/>
      <c r="J22" s="16"/>
      <c r="K22" s="16"/>
      <c r="L22" s="17"/>
      <c r="M22" s="17"/>
      <c r="N22" s="17"/>
      <c r="O22" s="15"/>
      <c r="P22" s="15"/>
      <c r="Q22" s="15"/>
    </row>
    <row r="23" spans="1:23" ht="28.5" customHeight="1" x14ac:dyDescent="0.15">
      <c r="A23" s="15"/>
      <c r="B23" s="16"/>
      <c r="C23" s="17"/>
      <c r="D23" s="16"/>
      <c r="E23" s="16"/>
      <c r="F23" s="16"/>
      <c r="G23" s="16"/>
      <c r="H23" s="17"/>
      <c r="I23" s="17"/>
      <c r="J23" s="17"/>
      <c r="K23" s="17"/>
      <c r="L23" s="16"/>
      <c r="M23" s="16"/>
      <c r="N23" s="17"/>
      <c r="O23" s="15"/>
      <c r="P23" s="15"/>
      <c r="Q23" s="15"/>
    </row>
    <row r="24" spans="1:23" ht="28.5" customHeight="1" x14ac:dyDescent="0.15">
      <c r="A24" s="15"/>
      <c r="B24" s="17"/>
      <c r="C24" s="16"/>
      <c r="D24" s="16"/>
      <c r="E24" s="16"/>
      <c r="F24" s="16"/>
      <c r="G24" s="16"/>
      <c r="H24" s="17"/>
      <c r="I24" s="17"/>
      <c r="J24" s="17"/>
      <c r="K24" s="17"/>
      <c r="L24" s="16"/>
      <c r="M24" s="16"/>
      <c r="N24" s="17"/>
      <c r="O24" s="15"/>
      <c r="P24" s="15"/>
      <c r="Q24" s="15"/>
    </row>
    <row r="25" spans="1:23" ht="28.5" customHeight="1" x14ac:dyDescent="0.15">
      <c r="A25" s="15"/>
      <c r="B25" s="16"/>
      <c r="C25" s="17"/>
      <c r="D25" s="17"/>
      <c r="E25" s="17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5"/>
      <c r="Q25" s="15"/>
    </row>
    <row r="26" spans="1:23" ht="28.5" customHeight="1" x14ac:dyDescent="0.15">
      <c r="A26" s="15"/>
      <c r="B26" s="16"/>
      <c r="C26" s="17"/>
      <c r="D26" s="17"/>
      <c r="E26" s="17"/>
      <c r="F26" s="16"/>
      <c r="G26" s="16"/>
      <c r="H26" s="16"/>
      <c r="I26" s="16"/>
      <c r="J26" s="16"/>
      <c r="K26" s="16"/>
      <c r="L26" s="16"/>
      <c r="M26" s="16"/>
      <c r="N26" s="16"/>
      <c r="O26" s="15"/>
      <c r="P26" s="15"/>
      <c r="Q26" s="15"/>
    </row>
    <row r="27" spans="1:23" ht="28.5" customHeight="1" x14ac:dyDescent="0.15">
      <c r="A27" s="15"/>
      <c r="B27" s="16"/>
      <c r="C27" s="16"/>
      <c r="D27" s="16"/>
      <c r="E27" s="16"/>
      <c r="F27" s="16"/>
      <c r="G27" s="16"/>
      <c r="H27" s="16"/>
      <c r="I27" s="16"/>
      <c r="J27" s="17"/>
      <c r="K27" s="17"/>
      <c r="L27" s="16"/>
      <c r="M27" s="16"/>
      <c r="N27" s="16"/>
      <c r="O27" s="15"/>
      <c r="P27" s="15"/>
      <c r="Q27" s="15"/>
    </row>
    <row r="28" spans="1:23" ht="28.5" customHeight="1" x14ac:dyDescent="0.15">
      <c r="A28" s="15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5"/>
      <c r="P28" s="15"/>
      <c r="Q28" s="15"/>
    </row>
    <row r="29" spans="1:23" ht="28.5" customHeight="1" x14ac:dyDescent="0.15">
      <c r="A29" s="15"/>
      <c r="B29" s="16"/>
      <c r="C29" s="16"/>
      <c r="D29" s="16"/>
      <c r="E29" s="16"/>
      <c r="F29" s="16"/>
      <c r="G29" s="16"/>
      <c r="H29" s="16"/>
      <c r="I29" s="16"/>
      <c r="J29" s="17"/>
      <c r="K29" s="17"/>
      <c r="L29" s="16"/>
      <c r="M29" s="16"/>
      <c r="N29" s="16"/>
      <c r="O29" s="15"/>
      <c r="P29" s="15"/>
      <c r="Q29" s="15"/>
    </row>
    <row r="30" spans="1:23" ht="28.5" customHeight="1" x14ac:dyDescent="0.1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5"/>
      <c r="P30" s="15"/>
      <c r="Q30" s="15"/>
    </row>
    <row r="31" spans="1:23" ht="28.5" customHeight="1" x14ac:dyDescent="0.15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/>
      <c r="O31" s="15"/>
      <c r="P31" s="15"/>
      <c r="Q31" s="15"/>
    </row>
    <row r="32" spans="1:23" ht="28.5" customHeight="1" x14ac:dyDescent="0.15"/>
    <row r="33" spans="1:18" ht="28.5" customHeight="1" x14ac:dyDescent="0.2">
      <c r="A33" s="18"/>
    </row>
    <row r="34" spans="1:18" ht="28.5" customHeight="1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 ht="28.5" customHeight="1" x14ac:dyDescent="0.15">
      <c r="A35" s="15"/>
      <c r="B35" s="17"/>
      <c r="C35" s="16"/>
      <c r="D35" s="17"/>
      <c r="E35" s="17"/>
      <c r="F35" s="17"/>
      <c r="G35" s="17"/>
      <c r="H35" s="17"/>
      <c r="I35" s="17"/>
      <c r="J35" s="16"/>
      <c r="K35" s="16"/>
      <c r="L35" s="17"/>
      <c r="M35" s="17"/>
      <c r="N35" s="17"/>
      <c r="O35" s="17"/>
      <c r="P35" s="17"/>
      <c r="Q35" s="17"/>
      <c r="R35" s="15"/>
    </row>
    <row r="36" spans="1:18" ht="28.5" customHeight="1" x14ac:dyDescent="0.15">
      <c r="A36" s="15"/>
      <c r="B36" s="17"/>
      <c r="C36" s="17"/>
      <c r="D36" s="16"/>
      <c r="E36" s="16"/>
      <c r="F36" s="17"/>
      <c r="G36" s="17"/>
      <c r="H36" s="17"/>
      <c r="I36" s="17"/>
      <c r="J36" s="16"/>
      <c r="K36" s="16"/>
      <c r="L36" s="17"/>
      <c r="M36" s="17"/>
      <c r="N36" s="17"/>
      <c r="O36" s="16"/>
      <c r="P36" s="16"/>
      <c r="Q36" s="16"/>
      <c r="R36" s="15"/>
    </row>
    <row r="37" spans="1:18" ht="28.5" customHeight="1" x14ac:dyDescent="0.15">
      <c r="A37" s="15"/>
      <c r="B37" s="17"/>
      <c r="C37" s="16"/>
      <c r="D37" s="16"/>
      <c r="E37" s="16"/>
      <c r="F37" s="17"/>
      <c r="G37" s="17"/>
      <c r="H37" s="17"/>
      <c r="I37" s="17"/>
      <c r="J37" s="16"/>
      <c r="K37" s="16"/>
      <c r="L37" s="17"/>
      <c r="M37" s="16"/>
      <c r="N37" s="17"/>
      <c r="O37" s="17"/>
      <c r="P37" s="17"/>
      <c r="Q37" s="17"/>
      <c r="R37" s="15"/>
    </row>
    <row r="38" spans="1:18" ht="28.5" customHeight="1" x14ac:dyDescent="0.15">
      <c r="A38" s="15"/>
      <c r="B38" s="16"/>
      <c r="C38" s="16"/>
      <c r="D38" s="16"/>
      <c r="E38" s="16"/>
      <c r="F38" s="17"/>
      <c r="G38" s="17"/>
      <c r="H38" s="17"/>
      <c r="I38" s="17"/>
      <c r="J38" s="16"/>
      <c r="K38" s="16"/>
      <c r="L38" s="17"/>
      <c r="M38" s="16"/>
      <c r="N38" s="17"/>
      <c r="O38" s="16"/>
      <c r="P38" s="16"/>
      <c r="Q38" s="16"/>
      <c r="R38" s="15"/>
    </row>
    <row r="39" spans="1:18" ht="28.5" customHeight="1" x14ac:dyDescent="0.15">
      <c r="A39" s="15"/>
      <c r="B39" s="16"/>
      <c r="C39" s="16"/>
      <c r="D39" s="16"/>
      <c r="E39" s="16"/>
      <c r="F39" s="17"/>
      <c r="G39" s="17"/>
      <c r="H39" s="16"/>
      <c r="I39" s="16"/>
      <c r="J39" s="16"/>
      <c r="K39" s="16"/>
      <c r="L39" s="17"/>
      <c r="M39" s="17"/>
      <c r="N39" s="17"/>
      <c r="O39" s="16"/>
      <c r="P39" s="16"/>
      <c r="Q39" s="16"/>
      <c r="R39" s="15"/>
    </row>
    <row r="40" spans="1:18" ht="28.5" customHeight="1" x14ac:dyDescent="0.15">
      <c r="A40" s="15"/>
      <c r="B40" s="17"/>
      <c r="C40" s="17"/>
      <c r="D40" s="16"/>
      <c r="E40" s="16"/>
      <c r="F40" s="16"/>
      <c r="G40" s="16"/>
      <c r="H40" s="17"/>
      <c r="I40" s="17"/>
      <c r="J40" s="16"/>
      <c r="K40" s="16"/>
      <c r="L40" s="16"/>
      <c r="M40" s="16"/>
      <c r="N40" s="16"/>
      <c r="O40" s="16"/>
      <c r="P40" s="16"/>
      <c r="Q40" s="16"/>
      <c r="R40" s="15"/>
    </row>
    <row r="41" spans="1:18" ht="28.5" customHeight="1" x14ac:dyDescent="0.15">
      <c r="A41" s="15"/>
      <c r="B41" s="16"/>
      <c r="C41" s="17"/>
      <c r="D41" s="16"/>
      <c r="E41" s="16"/>
      <c r="F41" s="16"/>
      <c r="G41" s="16"/>
      <c r="H41" s="16"/>
      <c r="I41" s="16"/>
      <c r="J41" s="17"/>
      <c r="K41" s="17"/>
      <c r="L41" s="16"/>
      <c r="M41" s="16"/>
      <c r="N41" s="16"/>
      <c r="O41" s="17"/>
      <c r="P41" s="17"/>
      <c r="Q41" s="17"/>
      <c r="R41" s="15"/>
    </row>
    <row r="42" spans="1:18" ht="28.5" customHeight="1" x14ac:dyDescent="0.15">
      <c r="A42" s="15"/>
      <c r="B42" s="16"/>
      <c r="C42" s="17"/>
      <c r="D42" s="16"/>
      <c r="E42" s="16"/>
      <c r="F42" s="17"/>
      <c r="G42" s="1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5"/>
    </row>
    <row r="43" spans="1:18" ht="28.5" customHeight="1" x14ac:dyDescent="0.15">
      <c r="A43" s="15"/>
      <c r="B43" s="16"/>
      <c r="C43" s="16"/>
      <c r="D43" s="16"/>
      <c r="E43" s="16"/>
      <c r="F43" s="16"/>
      <c r="G43" s="16"/>
      <c r="H43" s="17"/>
      <c r="I43" s="17"/>
      <c r="J43" s="16"/>
      <c r="K43" s="16"/>
      <c r="L43" s="16"/>
      <c r="M43" s="16"/>
      <c r="N43" s="17"/>
      <c r="O43" s="16"/>
      <c r="P43" s="16"/>
      <c r="Q43" s="16"/>
      <c r="R43" s="15"/>
    </row>
    <row r="44" spans="1:18" ht="28.5" customHeight="1" x14ac:dyDescent="0.15">
      <c r="A44" s="15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5"/>
    </row>
    <row r="45" spans="1:18" ht="28.5" customHeight="1" x14ac:dyDescent="0.15">
      <c r="A45" s="15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5"/>
    </row>
    <row r="46" spans="1:18" ht="28.5" customHeight="1" x14ac:dyDescent="0.15">
      <c r="A46" s="15"/>
      <c r="B46" s="16"/>
      <c r="C46" s="16"/>
      <c r="D46" s="17"/>
      <c r="E46" s="17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5"/>
    </row>
    <row r="47" spans="1:18" ht="28.5" customHeight="1" x14ac:dyDescent="0.15">
      <c r="A47" s="15"/>
      <c r="B47" s="16"/>
      <c r="C47" s="16"/>
      <c r="D47" s="16"/>
      <c r="E47" s="16"/>
      <c r="F47" s="17"/>
      <c r="G47" s="1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5"/>
    </row>
    <row r="48" spans="1:18" ht="15.75" customHeight="1" x14ac:dyDescent="0.15">
      <c r="A48" s="15"/>
      <c r="B48" s="16"/>
      <c r="C48" s="16"/>
      <c r="D48" s="16"/>
      <c r="E48" s="16"/>
      <c r="F48" s="17"/>
      <c r="G48" s="17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</row>
    <row r="49" spans="1:18" ht="15.75" customHeight="1" x14ac:dyDescent="0.15">
      <c r="A49" s="15"/>
      <c r="B49" s="16"/>
      <c r="C49" s="16"/>
      <c r="D49" s="16"/>
      <c r="E49" s="16"/>
      <c r="F49" s="17"/>
      <c r="G49" s="17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5"/>
    </row>
    <row r="50" spans="1:18" ht="45.75" customHeight="1" x14ac:dyDescent="0.15">
      <c r="A50" s="15"/>
      <c r="B50" s="16"/>
      <c r="C50" s="16"/>
      <c r="D50" s="16"/>
      <c r="E50" s="16"/>
      <c r="F50" s="17"/>
      <c r="G50" s="17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5"/>
    </row>
    <row r="51" spans="1:18" ht="15.75" customHeight="1" x14ac:dyDescent="0.15">
      <c r="A51" s="15"/>
      <c r="B51" s="16"/>
      <c r="C51" s="16"/>
      <c r="D51" s="16"/>
      <c r="E51" s="16"/>
      <c r="F51" s="16"/>
      <c r="G51" s="16"/>
      <c r="H51" s="16"/>
      <c r="I51" s="16"/>
      <c r="J51" s="17"/>
      <c r="K51" s="17"/>
      <c r="L51" s="16"/>
      <c r="M51" s="16"/>
      <c r="N51" s="16"/>
      <c r="O51" s="16"/>
      <c r="P51" s="16"/>
      <c r="Q51" s="16"/>
      <c r="R51" s="15"/>
    </row>
    <row r="52" spans="1:18" ht="15.75" customHeight="1" x14ac:dyDescent="0.15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/>
      <c r="O52" s="16"/>
      <c r="P52" s="16"/>
      <c r="Q52" s="16"/>
      <c r="R52" s="15"/>
    </row>
    <row r="53" spans="1:18" ht="15.75" customHeight="1" x14ac:dyDescent="0.15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7"/>
      <c r="O53" s="16"/>
      <c r="P53" s="16"/>
      <c r="Q53" s="16"/>
      <c r="R53" s="15"/>
    </row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"/>
  <sheetViews>
    <sheetView tabSelected="1" workbookViewId="0">
      <selection activeCell="E5" sqref="E5:E6"/>
    </sheetView>
  </sheetViews>
  <sheetFormatPr baseColWidth="10" defaultColWidth="8.83203125" defaultRowHeight="13" x14ac:dyDescent="0.15"/>
  <cols>
    <col min="1" max="5" width="16" customWidth="1"/>
    <col min="6" max="29" width="9" customWidth="1"/>
  </cols>
  <sheetData>
    <row r="1" spans="1:29" x14ac:dyDescent="0.15">
      <c r="A1" t="s">
        <v>43</v>
      </c>
      <c r="B1" t="s">
        <v>64</v>
      </c>
    </row>
    <row r="2" spans="1:29" x14ac:dyDescent="0.15">
      <c r="A2" t="s">
        <v>44</v>
      </c>
      <c r="B2" t="s">
        <v>65</v>
      </c>
    </row>
    <row r="3" spans="1:29" x14ac:dyDescent="0.15">
      <c r="A3" t="s">
        <v>45</v>
      </c>
      <c r="B3">
        <v>2</v>
      </c>
    </row>
    <row r="5" spans="1:29" x14ac:dyDescent="0.15">
      <c r="A5" s="26" t="s">
        <v>46</v>
      </c>
      <c r="B5" s="26" t="s">
        <v>47</v>
      </c>
      <c r="C5" s="26" t="s">
        <v>48</v>
      </c>
      <c r="D5" s="26" t="s">
        <v>49</v>
      </c>
      <c r="E5" s="28" t="s">
        <v>101</v>
      </c>
      <c r="F5" s="26" t="s">
        <v>50</v>
      </c>
      <c r="G5" s="26"/>
      <c r="H5" s="26" t="s">
        <v>51</v>
      </c>
      <c r="I5" s="26"/>
      <c r="J5" s="26" t="s">
        <v>52</v>
      </c>
      <c r="K5" s="26"/>
      <c r="L5" s="26" t="s">
        <v>53</v>
      </c>
      <c r="M5" s="26"/>
      <c r="N5" s="26" t="s">
        <v>54</v>
      </c>
      <c r="O5" s="26"/>
      <c r="P5" s="26" t="s">
        <v>55</v>
      </c>
      <c r="Q5" s="26"/>
      <c r="R5" s="26" t="s">
        <v>56</v>
      </c>
      <c r="S5" s="26"/>
      <c r="T5" s="26" t="s">
        <v>57</v>
      </c>
      <c r="U5" s="26"/>
      <c r="V5" s="26" t="s">
        <v>58</v>
      </c>
      <c r="W5" s="26"/>
      <c r="X5" s="26" t="s">
        <v>59</v>
      </c>
      <c r="Y5" s="26"/>
      <c r="Z5" s="26" t="s">
        <v>60</v>
      </c>
      <c r="AA5" s="26"/>
      <c r="AB5" s="26" t="s">
        <v>61</v>
      </c>
      <c r="AC5" s="26"/>
    </row>
    <row r="6" spans="1:29" x14ac:dyDescent="0.15">
      <c r="A6" s="26"/>
      <c r="B6" s="26"/>
      <c r="C6" s="26"/>
      <c r="D6" s="26"/>
      <c r="E6" s="27"/>
      <c r="F6" s="19" t="s">
        <v>62</v>
      </c>
      <c r="G6" s="19" t="s">
        <v>63</v>
      </c>
      <c r="H6" s="19" t="s">
        <v>62</v>
      </c>
      <c r="I6" s="19" t="s">
        <v>63</v>
      </c>
      <c r="J6" s="19" t="s">
        <v>62</v>
      </c>
      <c r="K6" s="19" t="s">
        <v>63</v>
      </c>
      <c r="L6" s="19" t="s">
        <v>62</v>
      </c>
      <c r="M6" s="19" t="s">
        <v>63</v>
      </c>
      <c r="N6" s="19" t="s">
        <v>62</v>
      </c>
      <c r="O6" s="19" t="s">
        <v>63</v>
      </c>
      <c r="P6" s="19" t="s">
        <v>62</v>
      </c>
      <c r="Q6" s="19" t="s">
        <v>63</v>
      </c>
      <c r="R6" s="19" t="s">
        <v>62</v>
      </c>
      <c r="S6" s="19" t="s">
        <v>63</v>
      </c>
      <c r="T6" s="19" t="s">
        <v>62</v>
      </c>
      <c r="U6" s="19" t="s">
        <v>63</v>
      </c>
      <c r="V6" s="19" t="s">
        <v>62</v>
      </c>
      <c r="W6" s="19" t="s">
        <v>63</v>
      </c>
      <c r="X6" s="19" t="s">
        <v>62</v>
      </c>
      <c r="Y6" s="19" t="s">
        <v>63</v>
      </c>
      <c r="Z6" s="19" t="s">
        <v>62</v>
      </c>
      <c r="AA6" s="19" t="s">
        <v>63</v>
      </c>
      <c r="AB6" s="19" t="s">
        <v>62</v>
      </c>
      <c r="AC6" s="19" t="s">
        <v>63</v>
      </c>
    </row>
    <row r="7" spans="1:29" ht="15" x14ac:dyDescent="0.2">
      <c r="A7">
        <v>1</v>
      </c>
      <c r="B7" t="s">
        <v>66</v>
      </c>
      <c r="C7" t="s">
        <v>67</v>
      </c>
      <c r="D7">
        <v>28410856</v>
      </c>
      <c r="E7" t="inlineStr">
        <is>
          <t>20241120090</t>
        </is>
      </c>
      <c r="F7" s="22"/>
      <c r="G7" s="22"/>
      <c r="H7" s="22">
        <v>2</v>
      </c>
      <c r="J7" s="22"/>
      <c r="K7" s="22">
        <v>1</v>
      </c>
      <c r="L7" s="22"/>
      <c r="M7" s="22"/>
      <c r="N7" s="22"/>
      <c r="O7" s="22"/>
      <c r="Q7" s="22"/>
      <c r="S7" s="22"/>
      <c r="T7" s="22"/>
      <c r="U7" s="22"/>
      <c r="V7" s="22"/>
      <c r="W7" s="22"/>
      <c r="X7" s="22"/>
      <c r="Y7" s="22"/>
      <c r="Z7" s="22"/>
      <c r="AB7" s="22"/>
    </row>
    <row r="8" spans="1:29" ht="15" x14ac:dyDescent="0.2">
      <c r="A8">
        <v>2</v>
      </c>
      <c r="B8" t="s">
        <v>68</v>
      </c>
      <c r="C8" t="s">
        <v>69</v>
      </c>
      <c r="D8">
        <v>30911705</v>
      </c>
      <c r="E8" t="inlineStr">
        <is>
          <t>20241110589</t>
        </is>
      </c>
      <c r="F8" s="23">
        <v>2</v>
      </c>
      <c r="G8" s="23"/>
      <c r="H8" s="23"/>
      <c r="J8" s="25">
        <v>1</v>
      </c>
      <c r="K8" s="23"/>
      <c r="L8" s="23"/>
      <c r="M8" s="23" t="s">
        <v>26</v>
      </c>
      <c r="N8" s="23"/>
      <c r="O8" s="23">
        <v>2</v>
      </c>
      <c r="Q8" s="23">
        <v>2</v>
      </c>
      <c r="S8" s="23"/>
      <c r="T8" s="23"/>
      <c r="U8" s="23"/>
      <c r="V8" s="23"/>
      <c r="W8" s="23"/>
      <c r="X8" s="23"/>
      <c r="Y8" s="23"/>
      <c r="Z8" s="23"/>
      <c r="AB8" s="23">
        <v>2</v>
      </c>
    </row>
    <row r="9" spans="1:29" ht="15" x14ac:dyDescent="0.2">
      <c r="A9">
        <v>3</v>
      </c>
      <c r="B9" t="s">
        <v>70</v>
      </c>
      <c r="C9" t="s">
        <v>71</v>
      </c>
      <c r="D9">
        <v>30394726</v>
      </c>
      <c r="F9" s="22"/>
      <c r="G9" s="24">
        <v>8</v>
      </c>
      <c r="H9" s="22">
        <v>4</v>
      </c>
      <c r="J9" s="24"/>
      <c r="K9" s="24">
        <v>4</v>
      </c>
      <c r="L9" s="24">
        <v>1</v>
      </c>
      <c r="M9" s="24">
        <v>5</v>
      </c>
      <c r="N9" s="24">
        <v>4</v>
      </c>
      <c r="O9" s="24">
        <v>4</v>
      </c>
      <c r="Q9" s="22"/>
      <c r="S9" s="22">
        <v>1</v>
      </c>
      <c r="T9" s="24">
        <v>3</v>
      </c>
      <c r="U9" s="24">
        <v>1</v>
      </c>
      <c r="V9" s="22"/>
      <c r="W9" s="22"/>
      <c r="X9" s="24">
        <v>4</v>
      </c>
      <c r="Y9" s="24"/>
      <c r="Z9" s="24">
        <v>4</v>
      </c>
      <c r="AB9" s="24">
        <v>1</v>
      </c>
    </row>
    <row r="10" spans="1:29" ht="15" x14ac:dyDescent="0.2">
      <c r="A10">
        <v>4</v>
      </c>
      <c r="B10" t="s">
        <v>72</v>
      </c>
      <c r="C10" t="s">
        <v>73</v>
      </c>
      <c r="D10">
        <v>32333927</v>
      </c>
      <c r="E10" t="inlineStr">
        <is>
          <t>20251120107</t>
        </is>
      </c>
      <c r="F10" s="23"/>
      <c r="G10" s="25">
        <v>1</v>
      </c>
      <c r="H10" s="25">
        <v>3</v>
      </c>
      <c r="J10" s="25">
        <v>1</v>
      </c>
      <c r="K10" s="23"/>
      <c r="L10" s="23"/>
      <c r="M10" s="23"/>
      <c r="N10" s="23"/>
      <c r="O10" s="23">
        <v>2</v>
      </c>
      <c r="Q10" s="23">
        <v>2</v>
      </c>
      <c r="S10" s="23"/>
      <c r="T10" s="23"/>
      <c r="U10" s="23"/>
      <c r="V10" s="23"/>
      <c r="W10" s="23">
        <v>1</v>
      </c>
      <c r="X10" s="21"/>
      <c r="Y10" s="23">
        <v>2</v>
      </c>
      <c r="Z10" s="23"/>
      <c r="AB10" s="23">
        <v>2</v>
      </c>
    </row>
    <row r="11" spans="1:29" ht="15" x14ac:dyDescent="0.2">
      <c r="A11">
        <v>5</v>
      </c>
      <c r="B11" t="s">
        <v>74</v>
      </c>
      <c r="C11" t="s">
        <v>75</v>
      </c>
      <c r="D11">
        <v>31464995</v>
      </c>
      <c r="E11" t="inlineStr">
        <is>
          <t>20251110145</t>
        </is>
      </c>
      <c r="F11" s="24"/>
      <c r="G11" s="24"/>
      <c r="H11" s="24"/>
      <c r="J11" s="22"/>
      <c r="K11" s="22"/>
      <c r="L11" s="22"/>
      <c r="M11" s="22"/>
      <c r="N11" s="22"/>
      <c r="O11" s="22"/>
      <c r="Q11" s="22"/>
      <c r="S11" s="22"/>
      <c r="T11" s="22"/>
      <c r="U11" s="22"/>
      <c r="V11" s="22"/>
      <c r="W11" s="22"/>
      <c r="X11" s="22"/>
      <c r="Y11" s="22"/>
      <c r="Z11" s="22"/>
      <c r="AB11" s="22"/>
    </row>
    <row r="12" spans="1:29" ht="15" x14ac:dyDescent="0.2">
      <c r="A12">
        <v>6</v>
      </c>
      <c r="B12" t="s">
        <v>66</v>
      </c>
      <c r="C12" t="s">
        <v>76</v>
      </c>
      <c r="D12">
        <v>31042821</v>
      </c>
      <c r="F12" s="25"/>
      <c r="G12" s="25"/>
      <c r="H12" s="25"/>
      <c r="J12" s="25"/>
      <c r="K12" s="25"/>
      <c r="L12" s="23"/>
      <c r="M12" s="23"/>
      <c r="N12" s="25"/>
      <c r="O12" s="25"/>
      <c r="Q12" s="23">
        <v>2</v>
      </c>
      <c r="S12" s="23"/>
      <c r="T12" s="23"/>
      <c r="U12" s="23"/>
      <c r="V12" s="23">
        <v>1</v>
      </c>
      <c r="W12" s="21"/>
      <c r="X12" s="23">
        <v>5</v>
      </c>
      <c r="Y12" s="23"/>
      <c r="Z12" s="23"/>
      <c r="AB12" s="23"/>
    </row>
    <row r="13" spans="1:29" ht="15" x14ac:dyDescent="0.2">
      <c r="A13">
        <v>7</v>
      </c>
      <c r="B13" t="s">
        <v>77</v>
      </c>
      <c r="C13" t="s">
        <v>78</v>
      </c>
      <c r="D13">
        <v>29724329</v>
      </c>
      <c r="E13" t="inlineStr">
        <is>
          <t>20221110604</t>
        </is>
      </c>
      <c r="F13" s="22"/>
      <c r="G13" s="22"/>
      <c r="H13" s="22"/>
      <c r="J13" s="24"/>
      <c r="K13" s="24"/>
      <c r="L13" s="22"/>
      <c r="M13" s="22"/>
      <c r="N13" s="24"/>
      <c r="O13" s="24"/>
      <c r="Q13" s="24">
        <v>4</v>
      </c>
      <c r="S13" s="22"/>
      <c r="T13" s="22"/>
      <c r="U13" s="22"/>
      <c r="V13" s="22"/>
      <c r="W13" s="22"/>
      <c r="X13" s="22"/>
      <c r="Y13" s="22"/>
      <c r="Z13" s="22"/>
      <c r="AB13" s="22"/>
    </row>
    <row r="14" spans="1:29" ht="15" x14ac:dyDescent="0.2">
      <c r="A14">
        <v>8</v>
      </c>
      <c r="B14" t="s">
        <v>79</v>
      </c>
      <c r="C14" t="s">
        <v>80</v>
      </c>
      <c r="D14">
        <v>31785756</v>
      </c>
      <c r="E14" t="inlineStr">
        <is>
          <t>20241130167</t>
        </is>
      </c>
      <c r="F14" s="23"/>
      <c r="G14" s="23"/>
      <c r="H14" s="23"/>
      <c r="J14" s="23"/>
      <c r="K14" s="23"/>
      <c r="L14" s="23"/>
      <c r="M14" s="23"/>
      <c r="N14" s="23"/>
      <c r="O14" s="23"/>
      <c r="Q14" s="23"/>
      <c r="S14" s="23"/>
      <c r="T14" s="23"/>
      <c r="U14" s="23"/>
      <c r="V14" s="23"/>
      <c r="W14" s="23"/>
      <c r="X14" s="23"/>
      <c r="Y14" s="23"/>
      <c r="Z14" s="23"/>
      <c r="AB14" s="23"/>
    </row>
    <row r="15" spans="1:29" ht="15" x14ac:dyDescent="0.2">
      <c r="A15">
        <v>9</v>
      </c>
      <c r="B15" t="s">
        <v>81</v>
      </c>
      <c r="C15" t="s">
        <v>82</v>
      </c>
      <c r="D15">
        <v>31985434</v>
      </c>
      <c r="E15" t="inlineStr">
        <is>
          <t>20251110305</t>
        </is>
      </c>
      <c r="F15" s="22"/>
      <c r="G15" s="22"/>
      <c r="H15" s="22"/>
      <c r="J15" s="22"/>
      <c r="K15" s="22"/>
      <c r="L15" s="22"/>
      <c r="M15" s="22"/>
      <c r="N15" s="22"/>
      <c r="O15" s="22"/>
      <c r="Q15" s="22"/>
      <c r="S15" s="22"/>
      <c r="T15" s="22"/>
      <c r="U15" s="22"/>
      <c r="V15" s="22"/>
      <c r="W15" s="22"/>
      <c r="X15" s="22"/>
      <c r="Y15" s="22"/>
      <c r="Z15" s="22"/>
      <c r="AB15" s="22"/>
    </row>
    <row r="16" spans="1:29" ht="15" x14ac:dyDescent="0.2">
      <c r="A16">
        <v>10</v>
      </c>
      <c r="B16" t="s">
        <v>83</v>
      </c>
      <c r="C16" t="s">
        <v>84</v>
      </c>
      <c r="D16">
        <v>31758845</v>
      </c>
      <c r="F16" s="25"/>
      <c r="G16" s="25"/>
      <c r="H16" s="25"/>
      <c r="J16" s="25"/>
      <c r="K16" s="25"/>
      <c r="L16" s="23"/>
      <c r="M16" s="23"/>
      <c r="N16" s="25"/>
      <c r="O16" s="25"/>
      <c r="Q16" s="25"/>
      <c r="S16" s="23"/>
      <c r="T16" s="23"/>
      <c r="U16" s="23"/>
      <c r="V16" s="23"/>
      <c r="W16" s="23">
        <v>1</v>
      </c>
      <c r="X16" s="23"/>
      <c r="Y16" s="25">
        <v>4</v>
      </c>
      <c r="Z16" s="23">
        <v>2</v>
      </c>
      <c r="AB16" s="23">
        <v>2</v>
      </c>
    </row>
    <row r="17" spans="1:28" ht="15" x14ac:dyDescent="0.2">
      <c r="A17">
        <v>11</v>
      </c>
      <c r="B17" t="s">
        <v>85</v>
      </c>
      <c r="C17" t="s">
        <v>86</v>
      </c>
      <c r="D17">
        <v>31377369</v>
      </c>
      <c r="F17" s="22"/>
      <c r="G17" s="22"/>
      <c r="H17" s="22"/>
      <c r="J17" s="22"/>
      <c r="K17" s="22"/>
      <c r="L17" s="22"/>
      <c r="M17" s="22"/>
      <c r="N17" s="24">
        <v>3</v>
      </c>
      <c r="O17" s="22">
        <v>1</v>
      </c>
      <c r="Q17" s="22"/>
      <c r="S17" s="22"/>
      <c r="T17" s="22"/>
      <c r="U17" s="22"/>
      <c r="V17" s="22"/>
      <c r="W17" s="24">
        <v>1</v>
      </c>
      <c r="X17" s="22">
        <v>2</v>
      </c>
      <c r="Y17" s="22">
        <v>2</v>
      </c>
      <c r="Z17" s="22"/>
      <c r="AB17" s="22"/>
    </row>
    <row r="18" spans="1:28" ht="15" x14ac:dyDescent="0.2">
      <c r="A18">
        <v>12</v>
      </c>
      <c r="B18" t="inlineStr">
        <is>
          <t>Alirio</t>
        </is>
      </c>
      <c r="C18" t="inlineStr">
        <is>
          <t>Ugarte</t>
        </is>
      </c>
      <c r="D18">
        <v>32377039</v>
      </c>
      <c r="F18" s="23"/>
      <c r="G18" s="23"/>
      <c r="H18" s="23">
        <v>2</v>
      </c>
      <c r="J18" s="25">
        <v>1</v>
      </c>
      <c r="K18" s="23"/>
      <c r="L18" s="23"/>
      <c r="M18" s="23"/>
      <c r="N18" s="23"/>
      <c r="O18" s="23"/>
      <c r="Q18" s="23"/>
      <c r="S18" s="23"/>
      <c r="T18" s="23"/>
      <c r="U18" s="23"/>
      <c r="V18" s="23"/>
      <c r="W18" s="23"/>
      <c r="X18" s="23"/>
      <c r="Y18" s="23"/>
      <c r="Z18" s="23"/>
      <c r="AB18" s="23"/>
    </row>
    <row r="19" spans="1:28" ht="15" x14ac:dyDescent="0.2">
      <c r="A19">
        <v>13</v>
      </c>
      <c r="B19" t="s">
        <v>89</v>
      </c>
      <c r="C19" t="s">
        <v>90</v>
      </c>
      <c r="D19">
        <v>32124905</v>
      </c>
      <c r="E19" t="inlineStr">
        <is>
          <t>20251130008</t>
        </is>
      </c>
      <c r="F19" s="22"/>
      <c r="G19" s="22"/>
      <c r="H19" s="22"/>
      <c r="J19" s="22"/>
      <c r="K19" s="22"/>
      <c r="L19" s="22"/>
      <c r="M19" s="22"/>
      <c r="N19" s="22"/>
      <c r="O19" s="22"/>
      <c r="Q19" s="22"/>
      <c r="S19" s="22"/>
      <c r="T19" s="22"/>
      <c r="U19" s="22"/>
      <c r="V19" s="22"/>
      <c r="W19" s="22"/>
      <c r="X19" s="22"/>
      <c r="Y19" s="22"/>
      <c r="Z19" s="22"/>
      <c r="AB19" s="22"/>
    </row>
    <row r="20" spans="1:28" ht="15" x14ac:dyDescent="0.2">
      <c r="A20">
        <v>14</v>
      </c>
      <c r="B20" t="s">
        <v>91</v>
      </c>
      <c r="C20" t="s">
        <v>92</v>
      </c>
      <c r="D20">
        <v>24843496</v>
      </c>
      <c r="E20" t="inlineStr">
        <is>
          <t>20221120086</t>
        </is>
      </c>
      <c r="F20" s="23"/>
      <c r="G20" s="23"/>
      <c r="H20" s="23"/>
      <c r="J20" s="23"/>
      <c r="K20" s="23"/>
      <c r="L20" s="23"/>
      <c r="M20" s="23"/>
      <c r="N20" s="23"/>
      <c r="O20" s="23"/>
      <c r="Q20" s="23"/>
      <c r="S20" s="23"/>
      <c r="T20" s="23"/>
      <c r="U20" s="23"/>
      <c r="V20" s="23"/>
      <c r="W20" s="23"/>
      <c r="X20" s="23"/>
      <c r="Y20" s="23"/>
      <c r="Z20" s="23"/>
      <c r="AB20" s="23"/>
    </row>
    <row r="21" spans="1:28" ht="15" x14ac:dyDescent="0.2">
      <c r="A21">
        <v>15</v>
      </c>
      <c r="B21" t="s">
        <v>93</v>
      </c>
      <c r="C21" t="s">
        <v>94</v>
      </c>
      <c r="D21">
        <v>30538925</v>
      </c>
      <c r="E21" t="inlineStr">
        <is>
          <t>20251120012</t>
        </is>
      </c>
      <c r="F21" s="22"/>
      <c r="G21" s="22"/>
      <c r="H21" s="22">
        <v>1</v>
      </c>
      <c r="J21" s="22">
        <v>1</v>
      </c>
      <c r="K21" s="20"/>
      <c r="L21" s="22"/>
      <c r="M21" s="22"/>
      <c r="N21" s="24">
        <v>1</v>
      </c>
      <c r="O21" s="22"/>
      <c r="Q21" s="22"/>
      <c r="S21" s="22"/>
      <c r="T21" s="22"/>
      <c r="U21" s="22"/>
      <c r="V21" s="22"/>
      <c r="W21" s="22"/>
      <c r="X21" s="22"/>
      <c r="Y21" s="24">
        <v>4</v>
      </c>
      <c r="Z21" s="22"/>
      <c r="AB21" s="22"/>
    </row>
    <row r="22" spans="1:28" ht="15" x14ac:dyDescent="0.2">
      <c r="A22">
        <v>16</v>
      </c>
      <c r="B22" t="s">
        <v>95</v>
      </c>
      <c r="C22" t="s">
        <v>96</v>
      </c>
      <c r="D22">
        <v>31707262</v>
      </c>
      <c r="E22" t="inlineStr">
        <is>
          <t>20251110309</t>
        </is>
      </c>
      <c r="F22" s="23"/>
      <c r="G22" s="23"/>
      <c r="H22" s="23"/>
      <c r="J22" s="23"/>
      <c r="K22" s="23"/>
      <c r="L22" s="23"/>
      <c r="M22" s="23"/>
      <c r="N22" s="23"/>
      <c r="O22" s="23"/>
      <c r="Q22" s="23"/>
      <c r="S22" s="23"/>
      <c r="T22" s="23"/>
      <c r="U22" s="23"/>
      <c r="V22" s="23"/>
      <c r="W22" s="23"/>
      <c r="X22" s="23"/>
      <c r="Y22" s="23"/>
      <c r="Z22" s="23"/>
      <c r="AB22" s="23"/>
    </row>
    <row r="23" spans="1:28" ht="15" x14ac:dyDescent="0.2">
      <c r="A23">
        <v>17</v>
      </c>
      <c r="B23" t="s">
        <v>97</v>
      </c>
      <c r="C23" t="s">
        <v>98</v>
      </c>
      <c r="D23">
        <v>31307971</v>
      </c>
      <c r="E23" t="inlineStr">
        <is>
          <t>20241110377</t>
        </is>
      </c>
      <c r="F23" s="22"/>
      <c r="G23" s="22"/>
      <c r="H23" s="22"/>
      <c r="J23" s="22"/>
      <c r="K23" s="22"/>
      <c r="L23" s="22"/>
      <c r="M23" s="22"/>
      <c r="N23" s="22"/>
      <c r="O23" s="22"/>
      <c r="Q23" s="22"/>
      <c r="S23" s="22"/>
      <c r="T23" s="22"/>
      <c r="U23" s="22"/>
      <c r="V23" s="22"/>
      <c r="W23" s="22"/>
      <c r="X23" s="22"/>
      <c r="Y23" s="22"/>
      <c r="Z23" s="22"/>
      <c r="AB23" s="22"/>
    </row>
    <row r="24" spans="1:28" ht="15" x14ac:dyDescent="0.2">
      <c r="A24">
        <v>18</v>
      </c>
      <c r="B24" t="s">
        <v>99</v>
      </c>
      <c r="C24" t="s">
        <v>100</v>
      </c>
      <c r="D24">
        <v>31707260</v>
      </c>
      <c r="F24" s="23"/>
      <c r="G24" s="23"/>
      <c r="H24" s="23"/>
      <c r="J24" s="23"/>
      <c r="K24" s="23"/>
      <c r="L24" s="23"/>
      <c r="M24" s="23"/>
      <c r="N24" s="23"/>
      <c r="O24" s="23"/>
      <c r="Q24" s="23"/>
      <c r="S24" s="23"/>
      <c r="T24" s="23"/>
      <c r="U24" s="25">
        <v>1</v>
      </c>
      <c r="V24" s="23">
        <v>1</v>
      </c>
      <c r="W24" s="21"/>
      <c r="X24" s="23"/>
      <c r="Y24" s="23"/>
      <c r="Z24" s="23"/>
      <c r="AB24" s="23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ESTRUCTURAS-DE DATOS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2026-08-31T05:03:31Z</dcterms:modified>
</cp:coreProperties>
</file>