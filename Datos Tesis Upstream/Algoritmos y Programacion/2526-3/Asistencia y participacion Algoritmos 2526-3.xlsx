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526-3/"/>
    </mc:Choice>
  </mc:AlternateContent>
  <xr:revisionPtr revIDLastSave="0" documentId="13_ncr:1_{611A5D81-6184-3744-8959-0531414272B2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sec 1" sheetId="1" r:id="rId1"/>
    <sheet name="sec 3" sheetId="2" r:id="rId2"/>
    <sheet name="sec 6" sheetId="3" r:id="rId3"/>
    <sheet name="Estand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4" i="3" l="1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L34" i="3" s="1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AM33" i="3" s="1"/>
  <c r="K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N2" i="3"/>
  <c r="Q2" i="3" s="1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AL34" i="2" s="1"/>
  <c r="K34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AM33" i="2" s="1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N2" i="2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N34" i="1" s="1"/>
  <c r="AK33" i="1"/>
  <c r="AL33" i="1" s="1"/>
  <c r="AM33" i="1" s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AN32" i="1"/>
  <c r="AL32" i="1"/>
  <c r="AN31" i="1"/>
  <c r="AL31" i="1"/>
  <c r="AN30" i="1"/>
  <c r="AL30" i="1"/>
  <c r="AN29" i="1"/>
  <c r="AL29" i="1"/>
  <c r="AN28" i="1"/>
  <c r="AL28" i="1"/>
  <c r="AN27" i="1"/>
  <c r="AL27" i="1"/>
  <c r="AN26" i="1"/>
  <c r="AL26" i="1"/>
  <c r="AN25" i="1"/>
  <c r="AL25" i="1"/>
  <c r="AN24" i="1"/>
  <c r="AL24" i="1"/>
  <c r="AN23" i="1"/>
  <c r="AL23" i="1"/>
  <c r="AN22" i="1"/>
  <c r="AL22" i="1"/>
  <c r="AN21" i="1"/>
  <c r="AL21" i="1"/>
  <c r="AN20" i="1"/>
  <c r="AL20" i="1"/>
  <c r="AN19" i="1"/>
  <c r="AL19" i="1"/>
  <c r="AN18" i="1"/>
  <c r="AL18" i="1"/>
  <c r="AN17" i="1"/>
  <c r="AL17" i="1"/>
  <c r="AN16" i="1"/>
  <c r="AL16" i="1"/>
  <c r="AN15" i="1"/>
  <c r="AL15" i="1"/>
  <c r="AN14" i="1"/>
  <c r="AL14" i="1"/>
  <c r="AN13" i="1"/>
  <c r="AL13" i="1"/>
  <c r="AN12" i="1"/>
  <c r="AL12" i="1"/>
  <c r="AN11" i="1"/>
  <c r="AL11" i="1"/>
  <c r="AN10" i="1"/>
  <c r="AL10" i="1"/>
  <c r="AN9" i="1"/>
  <c r="AL9" i="1"/>
  <c r="AN8" i="1"/>
  <c r="AL8" i="1"/>
  <c r="AN7" i="1"/>
  <c r="AL7" i="1"/>
  <c r="AN6" i="1"/>
  <c r="AL6" i="1"/>
  <c r="AN5" i="1"/>
  <c r="AL5" i="1"/>
  <c r="AN4" i="1"/>
  <c r="AL4" i="1"/>
  <c r="AN3" i="1"/>
  <c r="AL3" i="1"/>
  <c r="N2" i="1"/>
  <c r="R2" i="3" l="1"/>
  <c r="T2" i="3"/>
  <c r="O2" i="1"/>
  <c r="Q2" i="1"/>
  <c r="Q2" i="2"/>
  <c r="O2" i="2"/>
  <c r="O2" i="3"/>
  <c r="W2" i="3" l="1"/>
  <c r="Y2" i="3" s="1"/>
  <c r="AA2" i="3" s="1"/>
  <c r="U2" i="3"/>
  <c r="T2" i="2"/>
  <c r="R2" i="2"/>
  <c r="R2" i="1"/>
  <c r="T2" i="1"/>
  <c r="U2" i="2" l="1"/>
  <c r="W2" i="2"/>
  <c r="Y2" i="2" s="1"/>
  <c r="AA2" i="2" s="1"/>
  <c r="W2" i="1"/>
  <c r="Y2" i="1" s="1"/>
  <c r="AA2" i="1" s="1"/>
  <c r="U2" i="1"/>
  <c r="AD2" i="3"/>
  <c r="AB2" i="3"/>
  <c r="AM21" i="3" l="1"/>
  <c r="AE2" i="3"/>
  <c r="AG2" i="3"/>
  <c r="AI2" i="3" s="1"/>
  <c r="AJ2" i="3" s="1"/>
  <c r="AM22" i="3" s="1"/>
  <c r="AM24" i="3"/>
  <c r="AM3" i="3"/>
  <c r="AD2" i="2"/>
  <c r="AB2" i="2"/>
  <c r="AM17" i="3"/>
  <c r="AM4" i="3"/>
  <c r="AB2" i="1"/>
  <c r="AD2" i="1"/>
  <c r="AM19" i="3"/>
  <c r="AM31" i="3"/>
  <c r="AM29" i="3"/>
  <c r="AM11" i="3"/>
  <c r="AM25" i="3" l="1"/>
  <c r="AE2" i="2"/>
  <c r="AM15" i="2" s="1"/>
  <c r="AG2" i="2"/>
  <c r="AI2" i="2" s="1"/>
  <c r="AJ2" i="2" s="1"/>
  <c r="AM16" i="3"/>
  <c r="AM26" i="3"/>
  <c r="AM7" i="3"/>
  <c r="AM27" i="3"/>
  <c r="AM20" i="3"/>
  <c r="AM15" i="3"/>
  <c r="AM5" i="3"/>
  <c r="AM30" i="3"/>
  <c r="AO27" i="1"/>
  <c r="AM32" i="3"/>
  <c r="AM20" i="2"/>
  <c r="AM28" i="3"/>
  <c r="AM10" i="3"/>
  <c r="AM6" i="3"/>
  <c r="AE2" i="1"/>
  <c r="AG2" i="1"/>
  <c r="AI2" i="1" s="1"/>
  <c r="AJ2" i="1" s="1"/>
  <c r="AM18" i="3"/>
  <c r="AM9" i="3"/>
  <c r="AM34" i="3"/>
  <c r="AM12" i="3"/>
  <c r="AM13" i="3"/>
  <c r="AM14" i="3"/>
  <c r="AM8" i="3"/>
  <c r="AM23" i="3"/>
  <c r="AM21" i="2" l="1"/>
  <c r="AM9" i="2"/>
  <c r="AM6" i="2"/>
  <c r="AM28" i="2"/>
  <c r="AM18" i="2"/>
  <c r="AM22" i="2"/>
  <c r="AM13" i="2"/>
  <c r="AM29" i="2"/>
  <c r="AM4" i="2"/>
  <c r="AM16" i="2"/>
  <c r="AM5" i="2"/>
  <c r="AM25" i="2"/>
  <c r="AM8" i="2"/>
  <c r="AM17" i="2"/>
  <c r="AM12" i="2"/>
  <c r="AM27" i="2"/>
  <c r="AM26" i="2"/>
  <c r="AM24" i="2"/>
  <c r="AM32" i="2"/>
  <c r="AO11" i="1"/>
  <c r="AM8" i="1"/>
  <c r="AO32" i="1"/>
  <c r="AO22" i="1"/>
  <c r="AO18" i="1"/>
  <c r="AM14" i="1"/>
  <c r="AO20" i="1"/>
  <c r="AO4" i="1"/>
  <c r="AO15" i="1"/>
  <c r="AO28" i="1"/>
  <c r="AM10" i="1"/>
  <c r="AM28" i="1"/>
  <c r="AO9" i="1"/>
  <c r="AO23" i="1"/>
  <c r="AO8" i="1"/>
  <c r="AM30" i="1"/>
  <c r="AO3" i="1"/>
  <c r="AM24" i="1"/>
  <c r="AM18" i="1"/>
  <c r="AM26" i="1"/>
  <c r="AO7" i="1"/>
  <c r="AO25" i="1"/>
  <c r="AO5" i="1"/>
  <c r="AO19" i="1"/>
  <c r="AO29" i="1"/>
  <c r="AM29" i="1"/>
  <c r="AM32" i="1"/>
  <c r="AO10" i="1"/>
  <c r="AO31" i="1"/>
  <c r="AM15" i="1"/>
  <c r="AM3" i="1"/>
  <c r="AM23" i="1"/>
  <c r="AM7" i="1"/>
  <c r="AM5" i="1"/>
  <c r="AO24" i="1"/>
  <c r="AM30" i="2"/>
  <c r="AM31" i="2"/>
  <c r="AM6" i="1"/>
  <c r="AO21" i="1"/>
  <c r="AM12" i="1"/>
  <c r="AO30" i="1"/>
  <c r="AM21" i="1"/>
  <c r="AO14" i="1"/>
  <c r="AM19" i="1"/>
  <c r="AM20" i="1"/>
  <c r="AM7" i="2"/>
  <c r="AM19" i="2"/>
  <c r="AM22" i="1"/>
  <c r="AO26" i="1"/>
  <c r="AM17" i="1"/>
  <c r="AO17" i="1"/>
  <c r="AM13" i="1"/>
  <c r="AM11" i="1"/>
  <c r="AO13" i="1"/>
  <c r="AM31" i="1"/>
  <c r="AM34" i="2"/>
  <c r="AM9" i="1"/>
  <c r="AM4" i="1"/>
  <c r="AM27" i="1"/>
  <c r="AO34" i="1"/>
  <c r="AM16" i="1"/>
  <c r="AO16" i="1"/>
  <c r="AM10" i="2"/>
  <c r="AM11" i="2"/>
  <c r="AM25" i="1"/>
  <c r="AM14" i="2"/>
  <c r="AM23" i="2"/>
  <c r="AO12" i="1"/>
  <c r="AO6" i="1"/>
  <c r="AM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3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AG3" authorId="0" shapeId="0" xr:uid="{00000000-0006-0000-0000-00001B000000}">
      <text>
        <r>
          <rPr>
            <sz val="11"/>
            <color rgb="FF000000"/>
            <rFont val="Calibri"/>
            <family val="2"/>
          </rPr>
          <t>Proyecto</t>
        </r>
      </text>
    </comment>
    <comment ref="AG6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7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8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L9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Sospecha de fraude académico en la dinámica de evaluación continua</t>
        </r>
      </text>
    </comment>
    <comment ref="AG9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1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Q12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W12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AG12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13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K15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Dudosa</t>
        </r>
      </text>
    </comment>
    <comment ref="T15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Fraude académico: usó el resumen de IA de Bing Search 4 veces durante la clase. No se le permitió completar la dinámica de diccionarios</t>
        </r>
      </text>
    </comment>
    <comment ref="R16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una intervención normal (+1), una intervención "buena pregunta" (+1,5), una repregunta (+0,5)</t>
        </r>
      </text>
    </comment>
    <comment ref="AG16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17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T18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AG18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19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J19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1 intervencion + 1 RETROACTIVO corrección fecha parcial</t>
        </r>
      </text>
    </comment>
    <comment ref="N20" authorId="0" shapeId="0" xr:uid="{00000000-0006-0000-0000-000019000000}">
      <text>
        <r>
          <rPr>
            <sz val="11"/>
            <color rgb="FF000000"/>
            <rFont val="Calibri"/>
            <family val="2"/>
          </rPr>
          <t xml:space="preserve">Dinámica (pero no estuvo la clase siguiente para recoger su galleta)
</t>
        </r>
      </text>
    </comment>
    <comment ref="W20" authorId="0" shapeId="0" xr:uid="{00000000-0006-0000-0000-000021000000}">
      <text>
        <r>
          <rPr>
            <sz val="11"/>
            <color rgb="FF000000"/>
            <rFont val="Calibri"/>
            <family val="2"/>
          </rPr>
          <t xml:space="preserve">Dinámica
</t>
        </r>
      </text>
    </comment>
    <comment ref="AG20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J20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RETROACTIVO corrección fecha parcial</t>
        </r>
      </text>
    </comment>
    <comment ref="AG23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E25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Dinámica + intervención</t>
        </r>
      </text>
    </comment>
    <comment ref="AG25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O27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Llegó tarde: no realizó dinámica 2 de clase 2</t>
        </r>
      </text>
    </comment>
    <comment ref="AA27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Sospecha de fraude académico en la dinámica de evaluación continua</t>
        </r>
      </text>
    </comment>
    <comment ref="AE27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AG27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L28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T28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AA28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AG28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Dinámica+Proyecto</t>
        </r>
      </text>
    </comment>
    <comment ref="T29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Dinámicas anuladas por no realizarse en el salón</t>
        </r>
      </text>
    </comment>
    <comment ref="AG29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N30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Intervención + Dinámica</t>
        </r>
      </text>
    </comment>
    <comment ref="O30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R3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Dinámica (+2), una intervención de aporte (+1), y una intervención de repregunta (+0.5)</t>
        </r>
      </text>
    </comment>
    <comment ref="T30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Llegó a las 7:40, después de la dinámica 2 de listas</t>
        </r>
      </text>
    </comment>
    <comment ref="AG30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G31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AJ31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AE32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Dinámica + intervención</t>
        </r>
      </text>
    </comment>
    <comment ref="AG32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7" authorId="0" shapeId="0" xr:uid="{966700D5-EE2E-0841-8EB0-0B4D2F5AF84E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V7" authorId="0" shapeId="0" xr:uid="{C91F8385-4B8F-4644-93E5-18CB5C87E4B8}">
      <text>
        <r>
          <rPr>
            <sz val="11"/>
            <color rgb="FF000000"/>
            <rFont val="Calibri"/>
            <family val="2"/>
          </rPr>
          <t>Proyecto</t>
        </r>
      </text>
    </comment>
    <comment ref="V10" authorId="0" shapeId="0" xr:uid="{58D53BD3-3885-2A40-8670-30D9372857C1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11" authorId="0" shapeId="0" xr:uid="{31F6B4D0-FC28-B64C-A574-8384B1AE6A3C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12" authorId="0" shapeId="0" xr:uid="{18E0577E-DD21-D042-B5E0-B2B7A6C12335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G13" authorId="0" shapeId="0" xr:uid="{861ED058-E4C4-134E-9F19-37EE4E2A04B1}">
      <text>
        <r>
          <rPr>
            <sz val="11"/>
            <color rgb="FF000000"/>
            <rFont val="Calibri"/>
            <family val="2"/>
            <scheme val="minor"/>
          </rPr>
          <t>Sospecha de fraude académico en la dinámica de evaluación continua</t>
        </r>
      </text>
    </comment>
    <comment ref="V13" authorId="0" shapeId="0" xr:uid="{7C63F582-1798-3344-AEF1-6EB7E6A6AF19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15" authorId="0" shapeId="0" xr:uid="{5ECC68C4-A3B0-F34A-AA30-2C0D71F86D24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J16" authorId="0" shapeId="0" xr:uid="{BD23AD23-7299-7547-B70E-64852E03E98F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N16" authorId="0" shapeId="0" xr:uid="{E05540B7-D3D5-D446-AE85-DC952D591693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V16" authorId="0" shapeId="0" xr:uid="{BFE6CC2E-B3CA-1743-B9AC-007673CD7135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17" authorId="0" shapeId="0" xr:uid="{1032B928-E462-C942-89F0-5675668CC039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F19" authorId="0" shapeId="0" xr:uid="{0D4F91C1-2B11-A54C-87AC-EA2B17BBFC60}">
      <text>
        <r>
          <rPr>
            <sz val="11"/>
            <color rgb="FF000000"/>
            <rFont val="Calibri"/>
            <family val="2"/>
            <scheme val="minor"/>
          </rPr>
          <t>Dudosa</t>
        </r>
      </text>
    </comment>
    <comment ref="L19" authorId="0" shapeId="0" xr:uid="{EF3E9469-4423-3347-9EC0-3E7AA2847872}">
      <text>
        <r>
          <rPr>
            <sz val="11"/>
            <color rgb="FF000000"/>
            <rFont val="Calibri"/>
            <family val="2"/>
            <scheme val="minor"/>
          </rPr>
          <t>Fraude académico: usó el resumen de IA de Bing Search 4 veces durante la clase. No se le permitió completar la dinámica de diccionarios</t>
        </r>
      </text>
    </comment>
    <comment ref="K20" authorId="0" shapeId="0" xr:uid="{B7DB4A84-2F91-514F-8E11-066E30F798A8}">
      <text>
        <r>
          <rPr>
            <sz val="11"/>
            <color rgb="FF000000"/>
            <rFont val="Calibri"/>
            <family val="2"/>
            <scheme val="minor"/>
          </rPr>
          <t>una intervención normal (+1), una intervención "buena pregunta" (+1,5), una repregunta (+0,5)</t>
        </r>
      </text>
    </comment>
    <comment ref="V20" authorId="0" shapeId="0" xr:uid="{12B2EFE5-7FA6-B148-9E1C-F3AEAB75588B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21" authorId="0" shapeId="0" xr:uid="{9487F6A3-94AB-0C4C-B5B8-4E08CC724BB9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L22" authorId="0" shapeId="0" xr:uid="{CB1B0538-D76A-0C42-B438-5DC94AB15A01}">
      <text>
        <r>
          <rPr>
            <sz val="11"/>
            <color rgb="FF000000"/>
            <rFont val="Calibri"/>
            <family val="2"/>
            <scheme val="minor"/>
          </rPr>
          <t xml:space="preserve">Dinámica
</t>
        </r>
      </text>
    </comment>
    <comment ref="V22" authorId="0" shapeId="0" xr:uid="{C9299B8A-160E-994A-BC2B-D03506DA415F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23" authorId="0" shapeId="0" xr:uid="{BE32AF85-86C0-5F4E-85ED-09ECDFA499B6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Y23" authorId="0" shapeId="0" xr:uid="{C3EC0670-F601-E845-A111-FA15A18B40C2}">
      <text>
        <r>
          <rPr>
            <sz val="11"/>
            <color rgb="FF000000"/>
            <rFont val="Calibri"/>
            <family val="2"/>
            <scheme val="minor"/>
          </rPr>
          <t>1 intervencion + 1 RETROACTIVO corrección fecha parcial</t>
        </r>
      </text>
    </comment>
    <comment ref="H24" authorId="0" shapeId="0" xr:uid="{E286DDDC-94C7-BC45-BB3B-8B8920A572D8}">
      <text>
        <r>
          <rPr>
            <sz val="11"/>
            <color rgb="FF000000"/>
            <rFont val="Calibri"/>
            <family val="2"/>
            <scheme val="minor"/>
          </rPr>
          <t xml:space="preserve">Dinámica (pero no estuvo la clase siguiente para recoger su galleta)
</t>
        </r>
      </text>
    </comment>
    <comment ref="N24" authorId="0" shapeId="0" xr:uid="{97AA7D99-3C9D-BD4F-B5B7-A42D7C3F6036}">
      <text>
        <r>
          <rPr>
            <sz val="11"/>
            <color rgb="FF000000"/>
            <rFont val="Calibri"/>
            <family val="2"/>
          </rPr>
          <t xml:space="preserve">Dinámica
</t>
        </r>
      </text>
    </comment>
    <comment ref="V24" authorId="0" shapeId="0" xr:uid="{A7DA978A-5FDC-E240-A8D2-2F21C8866BF1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Y24" authorId="0" shapeId="0" xr:uid="{30C702DC-0752-3340-960D-C958B463F190}">
      <text>
        <r>
          <rPr>
            <sz val="11"/>
            <color rgb="FF000000"/>
            <rFont val="Calibri"/>
            <family val="2"/>
            <scheme val="minor"/>
          </rPr>
          <t>RETROACTIVO corrección fecha parcial</t>
        </r>
      </text>
    </comment>
    <comment ref="V27" authorId="0" shapeId="0" xr:uid="{7D74D6E8-91DD-9648-9CD4-B663E5F2DE82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U29" authorId="0" shapeId="0" xr:uid="{3A77D0C8-5355-2945-953C-BE847ED4DBD3}">
      <text>
        <r>
          <rPr>
            <sz val="11"/>
            <color rgb="FF000000"/>
            <rFont val="Calibri"/>
            <family val="2"/>
            <scheme val="minor"/>
          </rPr>
          <t>Dinámica + intervención</t>
        </r>
      </text>
    </comment>
    <comment ref="V29" authorId="0" shapeId="0" xr:uid="{6FB2B561-3901-5540-8C25-91E54A4830C7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I31" authorId="0" shapeId="0" xr:uid="{94CBEA5A-86FA-F745-B003-B7F9C67F5C62}">
      <text>
        <r>
          <rPr>
            <sz val="11"/>
            <color rgb="FF000000"/>
            <rFont val="Calibri"/>
            <family val="2"/>
            <scheme val="minor"/>
          </rPr>
          <t>Llegó tarde: no realizó dinámica 2 de clase 2</t>
        </r>
      </text>
    </comment>
    <comment ref="R31" authorId="0" shapeId="0" xr:uid="{EE7FE426-EA20-DA4D-82EF-10816CDA74F9}">
      <text>
        <r>
          <rPr>
            <sz val="11"/>
            <color rgb="FF000000"/>
            <rFont val="Calibri"/>
            <family val="2"/>
            <scheme val="minor"/>
          </rPr>
          <t>Sospecha de fraude académico en la dinámica de evaluación continua</t>
        </r>
      </text>
    </comment>
    <comment ref="U31" authorId="0" shapeId="0" xr:uid="{5D256FF8-61F2-624B-9BCD-0DE9604C40C8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V31" authorId="0" shapeId="0" xr:uid="{00EB33DA-3C99-1845-AD3F-B588351F0E81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G32" authorId="0" shapeId="0" xr:uid="{B034DB38-1695-EF47-81C1-B8DAAB6B1417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L32" authorId="0" shapeId="0" xr:uid="{A464760A-92A0-CA49-B541-0457A2AE85BF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R32" authorId="0" shapeId="0" xr:uid="{4A14FA99-E522-A04A-B8AF-21376A7F38E6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V32" authorId="0" shapeId="0" xr:uid="{EB2DF41C-FC82-2D4A-AAC5-1CECAE99083F}">
      <text>
        <r>
          <rPr>
            <sz val="11"/>
            <color rgb="FF000000"/>
            <rFont val="Calibri"/>
            <family val="2"/>
            <scheme val="minor"/>
          </rPr>
          <t>Dinámica+Proyecto</t>
        </r>
      </text>
    </comment>
    <comment ref="L33" authorId="0" shapeId="0" xr:uid="{4DD7C86F-C165-5B4A-BC1C-334C6A5CA4E0}">
      <text>
        <r>
          <rPr>
            <sz val="11"/>
            <color rgb="FF000000"/>
            <rFont val="Calibri"/>
            <family val="2"/>
            <scheme val="minor"/>
          </rPr>
          <t>Dinámicas anuladas por no realizarse en el salón</t>
        </r>
      </text>
    </comment>
    <comment ref="V33" authorId="0" shapeId="0" xr:uid="{5AECE6DF-0FAF-4943-9D62-0503A5DC1E66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H34" authorId="0" shapeId="0" xr:uid="{082E3AA6-A4FE-9D4F-B847-21E99B68FB97}">
      <text>
        <r>
          <rPr>
            <sz val="11"/>
            <color rgb="FF000000"/>
            <rFont val="Calibri"/>
            <family val="2"/>
            <scheme val="minor"/>
          </rPr>
          <t>Intervención + Dinámica</t>
        </r>
      </text>
    </comment>
    <comment ref="I34" authorId="0" shapeId="0" xr:uid="{77A3CF25-8FD9-054A-896E-9F74C105DA9C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K34" authorId="0" shapeId="0" xr:uid="{8D9ECB66-E0A1-6A4F-902F-36941C756BDB}">
      <text>
        <r>
          <rPr>
            <sz val="11"/>
            <color rgb="FF000000"/>
            <rFont val="Calibri"/>
            <family val="2"/>
            <scheme val="minor"/>
          </rPr>
          <t>Dinámica (+2), una intervención de aporte (+1), y una intervención de repregunta (+0.5)</t>
        </r>
      </text>
    </comment>
    <comment ref="L34" authorId="0" shapeId="0" xr:uid="{3DE7F2DD-A96B-C142-BB93-B91EB0D329E1}">
      <text>
        <r>
          <rPr>
            <sz val="11"/>
            <color rgb="FF000000"/>
            <rFont val="Calibri"/>
            <family val="2"/>
            <scheme val="minor"/>
          </rPr>
          <t>Llegó a las 7:40, después de la dinámica 2 de listas</t>
        </r>
      </text>
    </comment>
    <comment ref="V34" authorId="0" shapeId="0" xr:uid="{09E8B05F-E574-ED4C-AA52-B28CA1F6AC5C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V35" authorId="0" shapeId="0" xr:uid="{E006EF33-C5DE-C342-BF90-E4C3EEFA8CC1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  <comment ref="Y35" authorId="0" shapeId="0" xr:uid="{EE7EAB1E-FB40-C54E-AD63-2A308F6D7EC5}">
      <text>
        <r>
          <rPr>
            <sz val="11"/>
            <color rgb="FF000000"/>
            <rFont val="Calibri"/>
            <family val="2"/>
            <scheme val="minor"/>
          </rPr>
          <t>Dinámica</t>
        </r>
      </text>
    </comment>
    <comment ref="U36" authorId="0" shapeId="0" xr:uid="{40A064B9-15CC-B84B-BB1B-0962235D9953}">
      <text>
        <r>
          <rPr>
            <sz val="11"/>
            <color rgb="FF000000"/>
            <rFont val="Calibri"/>
            <family val="2"/>
            <scheme val="minor"/>
          </rPr>
          <t>Dinámica + intervención</t>
        </r>
      </text>
    </comment>
    <comment ref="V36" authorId="0" shapeId="0" xr:uid="{9A8CCA47-89D8-434B-85D3-45F3A4D93E8F}">
      <text>
        <r>
          <rPr>
            <sz val="11"/>
            <color rgb="FF000000"/>
            <rFont val="Calibri"/>
            <family val="2"/>
            <scheme val="minor"/>
          </rPr>
          <t>Proyecto</t>
        </r>
      </text>
    </comment>
  </commentList>
</comments>
</file>

<file path=xl/sharedStrings.xml><?xml version="1.0" encoding="utf-8"?>
<sst xmlns="http://schemas.openxmlformats.org/spreadsheetml/2006/main" count="1431" uniqueCount="481">
  <si>
    <t>P=Presente, 1=intervención, T=Tardy, F=Fraude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</si>
  <si>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</si>
  <si>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</si>
  <si>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</si>
  <si>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</si>
  <si>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</si>
  <si>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</si>
  <si>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</si>
  <si>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</si>
  <si>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</si>
  <si>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</si>
  <si>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Total</t>
  </si>
  <si>
    <t>ID</t>
  </si>
  <si>
    <t>Asist. Total</t>
  </si>
  <si>
    <t>CEDULA</t>
  </si>
  <si>
    <t>Int. Total</t>
  </si>
  <si>
    <t>CARNET</t>
  </si>
  <si>
    <t>APELLIDO</t>
  </si>
  <si>
    <t>NOMBRE</t>
  </si>
  <si>
    <t>2º Nombre</t>
  </si>
  <si>
    <t>Correo Unimet</t>
  </si>
  <si>
    <t>EMAIL_PRINC</t>
  </si>
  <si>
    <t>EMAIL_ADIC</t>
  </si>
  <si>
    <t>RQ_RT</t>
  </si>
  <si>
    <t>prepa 1</t>
  </si>
  <si>
    <t>prepa 2</t>
  </si>
  <si>
    <t>prepa 3</t>
  </si>
  <si>
    <t>prepa 4</t>
  </si>
  <si>
    <t>prepa 5</t>
  </si>
  <si>
    <t>prepa 6</t>
  </si>
  <si>
    <t>prepa 7</t>
  </si>
  <si>
    <t>prepa 8</t>
  </si>
  <si>
    <t>prepa 9</t>
  </si>
  <si>
    <t>prepa 10</t>
  </si>
  <si>
    <t>#</t>
  </si>
  <si>
    <t>%</t>
  </si>
  <si>
    <t>Comentarios</t>
  </si>
  <si>
    <t xml:space="preserve">  1</t>
  </si>
  <si>
    <t>Andrade</t>
  </si>
  <si>
    <t>Andrés</t>
  </si>
  <si>
    <t>andrade.andres@correo.unimet.edu.ve,</t>
  </si>
  <si>
    <t>32586646</t>
  </si>
  <si>
    <t>20261110263</t>
  </si>
  <si>
    <t>Aparicio</t>
  </si>
  <si>
    <t>Rebeca</t>
  </si>
  <si>
    <t>Arenas</t>
  </si>
  <si>
    <t>Isabella</t>
  </si>
  <si>
    <t>Luis</t>
  </si>
  <si>
    <t>rebeca.aparicio@correo.unimet.edu.ve,</t>
  </si>
  <si>
    <t>luiskike3010@gmail.com</t>
  </si>
  <si>
    <t>rebeca.aparicio@correo.unimet.edu.ve</t>
  </si>
  <si>
    <t>ymejias@gmail.com</t>
  </si>
  <si>
    <t>p</t>
  </si>
  <si>
    <t>P</t>
  </si>
  <si>
    <t xml:space="preserve">  2</t>
  </si>
  <si>
    <t>Arvelo</t>
  </si>
  <si>
    <t>Diego</t>
  </si>
  <si>
    <t>diego.arvelo@correo.unimet.edu.ve,</t>
  </si>
  <si>
    <t>Belgiovane</t>
  </si>
  <si>
    <t>Paola</t>
  </si>
  <si>
    <t>paobelgiovane@correo.unimet.edu.ve</t>
  </si>
  <si>
    <t xml:space="preserve">  3</t>
  </si>
  <si>
    <t>Bonacía</t>
  </si>
  <si>
    <t>Alana</t>
  </si>
  <si>
    <t>alana.bonacia@correo.unimet.edu.ve,</t>
  </si>
  <si>
    <t xml:space="preserve">  4</t>
  </si>
  <si>
    <t>Bonilla</t>
  </si>
  <si>
    <t>Bustillo</t>
  </si>
  <si>
    <t>Ariadna</t>
  </si>
  <si>
    <t>Roger</t>
  </si>
  <si>
    <t>roger.bustillo@correo.unimet.edu.ve</t>
  </si>
  <si>
    <t>a.bonilla@correo.unimet.edu.ve,</t>
  </si>
  <si>
    <t>32949969</t>
  </si>
  <si>
    <t>20261110887</t>
  </si>
  <si>
    <t>Barrios</t>
  </si>
  <si>
    <t>Valeria</t>
  </si>
  <si>
    <t>valeria.barrios@correo.unimet.edu.ve,</t>
  </si>
  <si>
    <t>v4leriabarr1os@gmail.com</t>
  </si>
  <si>
    <t>danorysreyes@gmail.com</t>
  </si>
  <si>
    <t xml:space="preserve">  5</t>
  </si>
  <si>
    <t>Carrero</t>
  </si>
  <si>
    <t>Angely</t>
  </si>
  <si>
    <t>angely.carrero@correo.unimet.edu.ve,</t>
  </si>
  <si>
    <t>Calahorrano</t>
  </si>
  <si>
    <t>SebastiÃ¡n</t>
  </si>
  <si>
    <t>Sebastiancala@correo.unimet.edu.ve</t>
  </si>
  <si>
    <t xml:space="preserve">  6</t>
  </si>
  <si>
    <t>31065744</t>
  </si>
  <si>
    <t>Chakira</t>
  </si>
  <si>
    <t>George</t>
  </si>
  <si>
    <t>20241110470</t>
  </si>
  <si>
    <t>Bolaños</t>
  </si>
  <si>
    <t>george.chakira@correo.unimet.edu.ve,</t>
  </si>
  <si>
    <t>Canella</t>
  </si>
  <si>
    <t>Vanesa</t>
  </si>
  <si>
    <t>José</t>
  </si>
  <si>
    <t>vanecanella@correo.unimet.edu.ve</t>
  </si>
  <si>
    <t>b.diego@correo.unimet.edu.ve,</t>
  </si>
  <si>
    <t>bolanoscdiego@gmail.com</t>
  </si>
  <si>
    <t>alexacidl@gmail.com</t>
  </si>
  <si>
    <t xml:space="preserve">  7</t>
  </si>
  <si>
    <t>Conrotto</t>
  </si>
  <si>
    <t>Christian</t>
  </si>
  <si>
    <t>ch.conrotto@correo.unimet.edu.ve,</t>
  </si>
  <si>
    <t>Caraballo</t>
  </si>
  <si>
    <t>Yulienny</t>
  </si>
  <si>
    <t>yulienny.caraballo@correo.unimet.edu.ve</t>
  </si>
  <si>
    <t>32336840</t>
  </si>
  <si>
    <t>20261110186</t>
  </si>
  <si>
    <t>Carmona</t>
  </si>
  <si>
    <t xml:space="preserve">  8</t>
  </si>
  <si>
    <t>Lorenzo</t>
  </si>
  <si>
    <t>Gonzalez</t>
  </si>
  <si>
    <t>Gabriel</t>
  </si>
  <si>
    <t>lorenzo.carmona@correo.unimet.edu.ve,</t>
  </si>
  <si>
    <t>gabrielgonz@correo.unimet.edu.ve,</t>
  </si>
  <si>
    <t>lorenzocarmona07@gmail.com</t>
  </si>
  <si>
    <t>carlos.carmona1974@gmail.com</t>
  </si>
  <si>
    <t>Cardozo</t>
  </si>
  <si>
    <t>Oduardo</t>
  </si>
  <si>
    <t>oduardo.cardozo@correo.unimet.edu.ve</t>
  </si>
  <si>
    <t xml:space="preserve">  9</t>
  </si>
  <si>
    <t>González</t>
  </si>
  <si>
    <t>Rafael</t>
  </si>
  <si>
    <t>go.rafael@correo.unimet.edu.ve,</t>
  </si>
  <si>
    <t>Carvajal</t>
  </si>
  <si>
    <t>Otto</t>
  </si>
  <si>
    <t>otto.carvajal@correo.unimet.edu.ve</t>
  </si>
  <si>
    <t>32235859</t>
  </si>
  <si>
    <t>20261110348</t>
  </si>
  <si>
    <t>Della Sala</t>
  </si>
  <si>
    <t>Camila</t>
  </si>
  <si>
    <t xml:space="preserve"> 10</t>
  </si>
  <si>
    <t>Victoria</t>
  </si>
  <si>
    <t>camila.dellasala@correo.unimet.edu.ve,</t>
  </si>
  <si>
    <t>camiladellasala@gmail.com</t>
  </si>
  <si>
    <t>Sebastián</t>
  </si>
  <si>
    <t>mariafaustinelli@hotmail.com</t>
  </si>
  <si>
    <t>sebgonzalez@correo.unimet.edu.ve,</t>
  </si>
  <si>
    <t>CastaÃ±eda</t>
  </si>
  <si>
    <t>CÃ©sar</t>
  </si>
  <si>
    <t>cesarcastanex@gmail.com</t>
  </si>
  <si>
    <t xml:space="preserve"> 11</t>
  </si>
  <si>
    <t>Guarente</t>
  </si>
  <si>
    <t>isabella.guarente@correo.unimet.edu.ve,</t>
  </si>
  <si>
    <t>32475320</t>
  </si>
  <si>
    <t>20261110425</t>
  </si>
  <si>
    <t>Duran</t>
  </si>
  <si>
    <t>Jatniel</t>
  </si>
  <si>
    <t>Alexander</t>
  </si>
  <si>
    <t>jatniel.duran@correo.unimet.edu.ve,</t>
  </si>
  <si>
    <t>jatniel.duran@correo.unimet.edu.ve</t>
  </si>
  <si>
    <t xml:space="preserve"> 12</t>
  </si>
  <si>
    <t>aimeth1980@hotmail.com</t>
  </si>
  <si>
    <t>De Freitas</t>
  </si>
  <si>
    <t>Heredia</t>
  </si>
  <si>
    <t>JosÃ©</t>
  </si>
  <si>
    <t>Gianmarco</t>
  </si>
  <si>
    <t>josedefreitasmarques7moacsl@gmail.com</t>
  </si>
  <si>
    <t>gheredia@correo.unimet.edu.ve</t>
  </si>
  <si>
    <t xml:space="preserve"> 13</t>
  </si>
  <si>
    <t>Garcia</t>
  </si>
  <si>
    <t>Hernández</t>
  </si>
  <si>
    <t>Sophia</t>
  </si>
  <si>
    <t>sophia.garcia@correo.unimet.edu.ve</t>
  </si>
  <si>
    <t>hernandez-andres@correo.unimet.edu.ve,</t>
  </si>
  <si>
    <t>32236158</t>
  </si>
  <si>
    <t>20261110752</t>
  </si>
  <si>
    <t>Femminella</t>
  </si>
  <si>
    <t>Jesus</t>
  </si>
  <si>
    <t>Alejandro</t>
  </si>
  <si>
    <t>j.femminella@correo.unimet.edu.ve,</t>
  </si>
  <si>
    <t>jesusfemminella@gmail.com</t>
  </si>
  <si>
    <t>0609vargas@gmail.com</t>
  </si>
  <si>
    <t xml:space="preserve"> 14</t>
  </si>
  <si>
    <t>Guerrero</t>
  </si>
  <si>
    <t>Jhonny</t>
  </si>
  <si>
    <t>Guillermo</t>
  </si>
  <si>
    <t>Jhonny.guerrero@correo.unimet.edu.ve</t>
  </si>
  <si>
    <t>hernandez.guillermo@correo.unimet.edu.ve,</t>
  </si>
  <si>
    <t>32950712</t>
  </si>
  <si>
    <t>20261110536</t>
  </si>
  <si>
    <t>Frias</t>
  </si>
  <si>
    <t>Ana</t>
  </si>
  <si>
    <t>Helena</t>
  </si>
  <si>
    <t>Kilzi</t>
  </si>
  <si>
    <t>frias.ana@correo.unimet.edu.ve,</t>
  </si>
  <si>
    <t>Angelica</t>
  </si>
  <si>
    <t>anahelenafriascol@gmail.com</t>
  </si>
  <si>
    <t>haiekana@gmail.com</t>
  </si>
  <si>
    <t>angelica.kilzi@correo.unimet.edu.ve</t>
  </si>
  <si>
    <t xml:space="preserve"> 15</t>
  </si>
  <si>
    <t>Landaeta</t>
  </si>
  <si>
    <t>Francisco</t>
  </si>
  <si>
    <t>francisco.landaeta@correo.unimet.edu.ve,</t>
  </si>
  <si>
    <t>Lopez</t>
  </si>
  <si>
    <t>Ivana</t>
  </si>
  <si>
    <t>lopez.ivana@correo.unimet.edu.ve</t>
  </si>
  <si>
    <t xml:space="preserve"> 16</t>
  </si>
  <si>
    <t>Lárez</t>
  </si>
  <si>
    <t>Frank</t>
  </si>
  <si>
    <t>frank.larez@correo.unimet.edu.ve,</t>
  </si>
  <si>
    <t>33215797</t>
  </si>
  <si>
    <t>20261110884</t>
  </si>
  <si>
    <t>Gil</t>
  </si>
  <si>
    <t>Daniela</t>
  </si>
  <si>
    <t>Estefania</t>
  </si>
  <si>
    <t>daniela.gil@correo.unimet.edu.ve,</t>
  </si>
  <si>
    <t>danielaegilc@gmail.com</t>
  </si>
  <si>
    <t>jesusgil07@hotmail.com</t>
  </si>
  <si>
    <t>Lund</t>
  </si>
  <si>
    <t>Iker</t>
  </si>
  <si>
    <t>i.lund@correo.unimet.edu.ve</t>
  </si>
  <si>
    <t xml:space="preserve"> 17</t>
  </si>
  <si>
    <t>Maldonado</t>
  </si>
  <si>
    <t>Cesar</t>
  </si>
  <si>
    <t>m.cesar@correo.unimet.edu.ve,</t>
  </si>
  <si>
    <t xml:space="preserve"> 18</t>
  </si>
  <si>
    <t>Manganese</t>
  </si>
  <si>
    <t>Madriz</t>
  </si>
  <si>
    <t>Juan</t>
  </si>
  <si>
    <t>i.manganese@correo.unimet.edu.ve,</t>
  </si>
  <si>
    <t>j.madriz@correo.unimet.edu.ve</t>
  </si>
  <si>
    <t>33853120</t>
  </si>
  <si>
    <t>20261110389</t>
  </si>
  <si>
    <t>Gomez</t>
  </si>
  <si>
    <t>Julian</t>
  </si>
  <si>
    <t>Andres</t>
  </si>
  <si>
    <t>julian.gomez@correo.unimet.edu.ve,</t>
  </si>
  <si>
    <t>juliangomezsequeda@gmail.com</t>
  </si>
  <si>
    <t>fegomez@unimet.edu.ve</t>
  </si>
  <si>
    <t xml:space="preserve"> 19</t>
  </si>
  <si>
    <t>Marrero</t>
  </si>
  <si>
    <t>Eduardo</t>
  </si>
  <si>
    <t>ed.marrero@correo.unimet.edu.ve,</t>
  </si>
  <si>
    <t>Mora</t>
  </si>
  <si>
    <t>Carlos</t>
  </si>
  <si>
    <t>carlos.mora@correo.unimet.edu.ve</t>
  </si>
  <si>
    <t xml:space="preserve"> 20</t>
  </si>
  <si>
    <t>32002269</t>
  </si>
  <si>
    <t>20261110276</t>
  </si>
  <si>
    <t>Mondello</t>
  </si>
  <si>
    <t>mondello.carlos@correo.unimet.edu.ve,</t>
  </si>
  <si>
    <t>go.juan@correo.unimet.edu.ve,</t>
  </si>
  <si>
    <t>juanchi182007@gmail.com</t>
  </si>
  <si>
    <t>juan.gonzalez@gvrasociados.com</t>
  </si>
  <si>
    <t>Moreno</t>
  </si>
  <si>
    <t>josemoreno@correo.unimet.edu.ve</t>
  </si>
  <si>
    <t xml:space="preserve"> 21</t>
  </si>
  <si>
    <t>Morales</t>
  </si>
  <si>
    <t>Santiago</t>
  </si>
  <si>
    <t>santiago.morales@correo.unimet.edu.ve,</t>
  </si>
  <si>
    <t>Mutis</t>
  </si>
  <si>
    <t>Gustavo</t>
  </si>
  <si>
    <t>gustavo.mutis@correo.unimet.edu.ve</t>
  </si>
  <si>
    <t>32001792</t>
  </si>
  <si>
    <t>20261110475</t>
  </si>
  <si>
    <t>Gómez</t>
  </si>
  <si>
    <t>Samantha</t>
  </si>
  <si>
    <t>Michelle</t>
  </si>
  <si>
    <t>samgomez@correo.unimet.edu.ve,</t>
  </si>
  <si>
    <t>sam22g07@gmail.com</t>
  </si>
  <si>
    <t xml:space="preserve"> 22</t>
  </si>
  <si>
    <t>heremar@gmail.com</t>
  </si>
  <si>
    <t>Nuñez</t>
  </si>
  <si>
    <t>Gabriela</t>
  </si>
  <si>
    <t>gabriela.nunez@correo.unimet.edu.ve,</t>
  </si>
  <si>
    <t>Nuccio</t>
  </si>
  <si>
    <t>Antonio</t>
  </si>
  <si>
    <t>nuccio.antonio@correo.unimet.edu.ve</t>
  </si>
  <si>
    <t xml:space="preserve"> 23</t>
  </si>
  <si>
    <t>Pereira</t>
  </si>
  <si>
    <t>Ricardo</t>
  </si>
  <si>
    <t>ricardo.pereira@correo.unimet.edu.ve,</t>
  </si>
  <si>
    <t>PeÃ±alver</t>
  </si>
  <si>
    <t>Danilo</t>
  </si>
  <si>
    <t>dpenalver@correo.unimet.edu.ve</t>
  </si>
  <si>
    <t>Potencial caso borde</t>
  </si>
  <si>
    <t>33431937</t>
  </si>
  <si>
    <t>20261110636</t>
  </si>
  <si>
    <t>Hernandez</t>
  </si>
  <si>
    <t xml:space="preserve"> 24</t>
  </si>
  <si>
    <t>Leopoldo</t>
  </si>
  <si>
    <t>Ignacio</t>
  </si>
  <si>
    <t>Pérez</t>
  </si>
  <si>
    <t>Alonso</t>
  </si>
  <si>
    <t>leopoldo.hernandez@correo.unimet.edu.ve,</t>
  </si>
  <si>
    <t>alonso.perez@correo.unimet.edu.ve,</t>
  </si>
  <si>
    <t>leopoldojhp@gmail.com</t>
  </si>
  <si>
    <t>leopoldojhm@gmail.com</t>
  </si>
  <si>
    <t>Ponce</t>
  </si>
  <si>
    <t>Jose</t>
  </si>
  <si>
    <t>jose.ponce2019@correo.unimet.edu.ve</t>
  </si>
  <si>
    <t xml:space="preserve"> 25</t>
  </si>
  <si>
    <t>F</t>
  </si>
  <si>
    <t>Requena</t>
  </si>
  <si>
    <t>Miguel</t>
  </si>
  <si>
    <t>miguel.requena@correo.unimet.edu.ve,</t>
  </si>
  <si>
    <t>Rinaldi</t>
  </si>
  <si>
    <t>diego.rinaldi@correo.unimet.edu.ve</t>
  </si>
  <si>
    <t>32527504</t>
  </si>
  <si>
    <t>20261110575</t>
  </si>
  <si>
    <t>Hurtado</t>
  </si>
  <si>
    <t>Anthony</t>
  </si>
  <si>
    <t xml:space="preserve"> 26</t>
  </si>
  <si>
    <t>Daniel</t>
  </si>
  <si>
    <t>anthony.hurtado@correo.unimet.edu.ve,</t>
  </si>
  <si>
    <t>Siracusa</t>
  </si>
  <si>
    <t>anthony.hurtado@correo.unimet.edu.ve</t>
  </si>
  <si>
    <t>Enrique</t>
  </si>
  <si>
    <t>bricenof1308@gmail.com</t>
  </si>
  <si>
    <t>e.siracusa@correo.unimet.edu.ve,</t>
  </si>
  <si>
    <t>Rodriguez</t>
  </si>
  <si>
    <t>Cristopher</t>
  </si>
  <si>
    <t>r.critopher24@gmail.com</t>
  </si>
  <si>
    <t xml:space="preserve"> 27</t>
  </si>
  <si>
    <t>Tovar</t>
  </si>
  <si>
    <t>dani-tovar@correo.unimet.edu.ve,</t>
  </si>
  <si>
    <t>32122119</t>
  </si>
  <si>
    <t>20261110255</t>
  </si>
  <si>
    <t>Lam</t>
  </si>
  <si>
    <t>Robert</t>
  </si>
  <si>
    <t xml:space="preserve"> 28</t>
  </si>
  <si>
    <t>roblam@correo.unimet.edu.ve,</t>
  </si>
  <si>
    <t>Ro.diego@correo.unimet.edu.ve</t>
  </si>
  <si>
    <t>roblam@correo.unimet.edu.ve</t>
  </si>
  <si>
    <t>jelitzaborges@yahoo.com</t>
  </si>
  <si>
    <t>Trujillo</t>
  </si>
  <si>
    <t>Adrián</t>
  </si>
  <si>
    <t>adrian.trujillo@correo.unimet.edu.ve,</t>
  </si>
  <si>
    <t>Serrano</t>
  </si>
  <si>
    <t xml:space="preserve"> 29</t>
  </si>
  <si>
    <t>d.serrano@correo.unimet.edu.ve</t>
  </si>
  <si>
    <t>Veracierto</t>
  </si>
  <si>
    <t>Johan</t>
  </si>
  <si>
    <t>jveracierto@correo.unimet.edu.ve,</t>
  </si>
  <si>
    <t>32511615</t>
  </si>
  <si>
    <t>20231110879</t>
  </si>
  <si>
    <t>Lozada</t>
  </si>
  <si>
    <t>Emilio</t>
  </si>
  <si>
    <t>lozada.miguel@correo.unimet.edu.ve,</t>
  </si>
  <si>
    <t>mlozaday@gmail.com</t>
  </si>
  <si>
    <t>Silvera</t>
  </si>
  <si>
    <t>Salomon</t>
  </si>
  <si>
    <t>salomon.silvera@correo.unimet.edu.ve</t>
  </si>
  <si>
    <t xml:space="preserve"> 30</t>
  </si>
  <si>
    <t>Villasmil</t>
  </si>
  <si>
    <t>Isabel</t>
  </si>
  <si>
    <t>ivillasmil@correo.unimet.edu.ve,</t>
  </si>
  <si>
    <t>32059580</t>
  </si>
  <si>
    <t>20261110174</t>
  </si>
  <si>
    <t>Marzullo</t>
  </si>
  <si>
    <t>Antonella</t>
  </si>
  <si>
    <t>Simkin</t>
  </si>
  <si>
    <t>antomarzullo@correo.unimet.edu.ve,</t>
  </si>
  <si>
    <t>Alan</t>
  </si>
  <si>
    <t>antonella.marzullo.csam@gmail.com</t>
  </si>
  <si>
    <t>silvialilianacastillomass@gmail.com</t>
  </si>
  <si>
    <t>alan.simkin@correo.unimet.edu.ve</t>
  </si>
  <si>
    <t>Asistencia</t>
  </si>
  <si>
    <t>Teixeira</t>
  </si>
  <si>
    <t>j.teixeira@correo.unimet.edu.ve</t>
  </si>
  <si>
    <t>31253655</t>
  </si>
  <si>
    <t>20231120018</t>
  </si>
  <si>
    <t>Mendoza</t>
  </si>
  <si>
    <t>Iratze</t>
  </si>
  <si>
    <t>Nayarit</t>
  </si>
  <si>
    <t>mendoza.iratze@correo.unimet.edu.ve,</t>
  </si>
  <si>
    <t>mendoza.iratze@correo.unimet.edu.ve</t>
  </si>
  <si>
    <t>andreinaal83@gmail.com</t>
  </si>
  <si>
    <t>Vizcaya</t>
  </si>
  <si>
    <t>ana.vizcaya@correo.unimet.edu.ve</t>
  </si>
  <si>
    <t>32235865</t>
  </si>
  <si>
    <t>20251120078</t>
  </si>
  <si>
    <t>Millan</t>
  </si>
  <si>
    <t>David</t>
  </si>
  <si>
    <t>david.millan@correo.unimet.edu.ve,</t>
  </si>
  <si>
    <t>Davidmillans@icloud.com</t>
  </si>
  <si>
    <t>Raffaelaspinellit@gmail.com</t>
  </si>
  <si>
    <t>Intervenciones</t>
  </si>
  <si>
    <t>31852454</t>
  </si>
  <si>
    <t>20261110149</t>
  </si>
  <si>
    <t>Montes</t>
  </si>
  <si>
    <t>Mariano</t>
  </si>
  <si>
    <t>mariano.montes@correo.unimet.edu.ve,</t>
  </si>
  <si>
    <t>montes.mariano.in@gmail.com</t>
  </si>
  <si>
    <t>dubraskainojosa@yahoo.es</t>
  </si>
  <si>
    <t>32397090</t>
  </si>
  <si>
    <t>20261110400</t>
  </si>
  <si>
    <t>Mujica</t>
  </si>
  <si>
    <t>Zahara</t>
  </si>
  <si>
    <t>Rocío</t>
  </si>
  <si>
    <t>zahara.mujica@correo.unimet.edu.ve,</t>
  </si>
  <si>
    <t>zahara.mujica@correo.unimet.edu.ve</t>
  </si>
  <si>
    <t>mjfreire69@gmail.com</t>
  </si>
  <si>
    <t>31046071</t>
  </si>
  <si>
    <t>20231110658</t>
  </si>
  <si>
    <t>Oramas</t>
  </si>
  <si>
    <t>Sebastian</t>
  </si>
  <si>
    <t>juan.oramas@correo.unimet.edu.ve,</t>
  </si>
  <si>
    <t>juan.oramas@correo.unimet.edu.ve</t>
  </si>
  <si>
    <t>juan.oramas@gmail.com</t>
  </si>
  <si>
    <t>33157175</t>
  </si>
  <si>
    <t>20261110137</t>
  </si>
  <si>
    <t>Ordaz</t>
  </si>
  <si>
    <t>Douglas</t>
  </si>
  <si>
    <t>ordaz.douglas@correo.unimet.edu.ve,</t>
  </si>
  <si>
    <t>ordazdouglas337@gmail.com</t>
  </si>
  <si>
    <t>T</t>
  </si>
  <si>
    <t>32347797</t>
  </si>
  <si>
    <t>20261110563</t>
  </si>
  <si>
    <t>Pereda</t>
  </si>
  <si>
    <t>luispereda@correo.unimet.edu.ve,</t>
  </si>
  <si>
    <t>lfperedam@gmail.com</t>
  </si>
  <si>
    <t>smonteverde@uma.edu.ve</t>
  </si>
  <si>
    <t>32772223</t>
  </si>
  <si>
    <t>20261110667</t>
  </si>
  <si>
    <t>Páez</t>
  </si>
  <si>
    <t>Manuel</t>
  </si>
  <si>
    <t>mpaez@correo.unimet.edu.ve,</t>
  </si>
  <si>
    <t>manuelpaezperez24@gmail.com</t>
  </si>
  <si>
    <t>carmenjuliaperezr@gmail.com</t>
  </si>
  <si>
    <t>32121863</t>
  </si>
  <si>
    <t>20261110412</t>
  </si>
  <si>
    <t>Salazar</t>
  </si>
  <si>
    <t>Amelia</t>
  </si>
  <si>
    <t>Margarita</t>
  </si>
  <si>
    <t>amelia.salazar@correo.unimet.edu.ve,</t>
  </si>
  <si>
    <t>amelia.salazar@correo.unimet.edu.ve</t>
  </si>
  <si>
    <t>asalazar@tornitodo.com</t>
  </si>
  <si>
    <t>30011415</t>
  </si>
  <si>
    <t>20261110705</t>
  </si>
  <si>
    <t>Sanchez</t>
  </si>
  <si>
    <t>Bryant</t>
  </si>
  <si>
    <t>Stiven</t>
  </si>
  <si>
    <t>sanchez-bryant@correo.unimet.edu.ve,</t>
  </si>
  <si>
    <t>bs0861378@gmail.com</t>
  </si>
  <si>
    <t>marthachito8229@hotmail.com</t>
  </si>
  <si>
    <t>32759386</t>
  </si>
  <si>
    <t>20261110350</t>
  </si>
  <si>
    <t>Uzcátegui</t>
  </si>
  <si>
    <t>leopoldo.uzcategui@correo.unimet.edu.ve,</t>
  </si>
  <si>
    <t>leo.uzgil@gmail.com</t>
  </si>
  <si>
    <t>laralevic1@gmail.com</t>
  </si>
  <si>
    <t>33452925</t>
  </si>
  <si>
    <t>20261120066</t>
  </si>
  <si>
    <t>Varela</t>
  </si>
  <si>
    <t>josevarela@correo.unimet.edu.ve,</t>
  </si>
  <si>
    <t>varelajosemanuel03@gmail.com</t>
  </si>
  <si>
    <t>albacolmenares@hotmail.com</t>
  </si>
  <si>
    <t>32348103</t>
  </si>
  <si>
    <t>20261110561</t>
  </si>
  <si>
    <t>Vitale</t>
  </si>
  <si>
    <t>Arturo</t>
  </si>
  <si>
    <t>arturo.vitale@correo.unimet.edu.ve,</t>
  </si>
  <si>
    <t>arturovitale08@gmail.com</t>
  </si>
  <si>
    <t>mavitale71@gmail.com</t>
  </si>
  <si>
    <r>
      <rPr>
        <b/>
        <sz val="11"/>
        <rFont val="Calibri"/>
        <family val="2"/>
      </rPr>
      <t>Materia:</t>
    </r>
  </si>
  <si>
    <r>
      <rPr>
        <b/>
        <sz val="11"/>
        <rFont val="Calibri"/>
        <family val="2"/>
      </rPr>
      <t>Trimestre:</t>
    </r>
  </si>
  <si>
    <r>
      <rPr>
        <b/>
        <sz val="11"/>
        <rFont val="Calibri"/>
        <family val="2"/>
      </rPr>
      <t>Sección:</t>
    </r>
  </si>
  <si>
    <r>
      <rPr>
        <b/>
        <sz val="11"/>
        <rFont val="Calibri"/>
        <family val="2"/>
      </rPr>
      <t>numero_lista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</si>
  <si>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</si>
  <si>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</si>
  <si>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cedula</t>
    </r>
  </si>
  <si>
    <r>
      <rPr>
        <b/>
        <sz val="11"/>
        <rFont val="Calibri"/>
        <family val="2"/>
      </rPr>
      <t>Semana 1</t>
    </r>
  </si>
  <si>
    <r>
      <rPr>
        <b/>
        <sz val="11"/>
        <rFont val="Calibri"/>
        <family val="2"/>
      </rPr>
      <t>Semana 2</t>
    </r>
  </si>
  <si>
    <r>
      <rPr>
        <b/>
        <sz val="11"/>
        <rFont val="Calibri"/>
        <family val="2"/>
      </rPr>
      <t>Semana 3</t>
    </r>
  </si>
  <si>
    <r>
      <rPr>
        <b/>
        <sz val="11"/>
        <rFont val="Calibri"/>
        <family val="2"/>
      </rPr>
      <t>Semana 4</t>
    </r>
  </si>
  <si>
    <r>
      <rPr>
        <b/>
        <sz val="11"/>
        <rFont val="Calibri"/>
        <family val="2"/>
      </rPr>
      <t>Semana 5</t>
    </r>
  </si>
  <si>
    <r>
      <rPr>
        <b/>
        <sz val="11"/>
        <rFont val="Calibri"/>
        <family val="2"/>
      </rPr>
      <t>Semana 6</t>
    </r>
  </si>
  <si>
    <r>
      <rPr>
        <b/>
        <sz val="11"/>
        <rFont val="Calibri"/>
        <family val="2"/>
      </rPr>
      <t>Semana 7</t>
    </r>
  </si>
  <si>
    <r>
      <rPr>
        <b/>
        <sz val="11"/>
        <rFont val="Calibri"/>
        <family val="2"/>
      </rPr>
      <t>Semana 8</t>
    </r>
  </si>
  <si>
    <r>
      <rPr>
        <b/>
        <sz val="11"/>
        <rFont val="Calibri"/>
        <family val="2"/>
      </rPr>
      <t>Semana 9</t>
    </r>
  </si>
  <si>
    <r>
      <rPr>
        <b/>
        <sz val="11"/>
        <rFont val="Calibri"/>
        <family val="2"/>
      </rPr>
      <t>Semana 10</t>
    </r>
  </si>
  <si>
    <r>
      <rPr>
        <b/>
        <sz val="11"/>
        <rFont val="Calibri"/>
        <family val="2"/>
      </rPr>
      <t>Semana 11</t>
    </r>
  </si>
  <si>
    <r>
      <rPr>
        <b/>
        <sz val="11"/>
        <rFont val="Calibri"/>
        <family val="2"/>
      </rPr>
      <t>Semana 12</t>
    </r>
  </si>
  <si>
    <t>lunes</t>
  </si>
  <si>
    <t>miercoles</t>
  </si>
  <si>
    <t>Algoritmos y Programación</t>
  </si>
  <si>
    <t>2526-3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</si>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</sst>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 mmm"/>
    <numFmt numFmtId="165" formatCode="#,##0.0"/>
  </numFmts>
  <fonts count="13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212529"/>
      <name val="&quot;Segoe UI&quot;"/>
    </font>
    <font>
      <sz val="12"/>
      <color rgb="FF212529"/>
      <name val="System-ui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989EB"/>
        <bgColor rgb="FF8989EB"/>
      </patternFill>
    </fill>
    <fill>
      <patternFill patternType="solid">
        <fgColor rgb="FFF7CB4D"/>
        <bgColor rgb="FFF7CB4D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5" fillId="0" borderId="2" xfId="0" applyFont="1" applyBorder="1"/>
    <xf numFmtId="0" fontId="3" fillId="0" borderId="0" xfId="0" applyFont="1" applyAlignment="1">
      <alignment horizontal="center"/>
    </xf>
    <xf numFmtId="0" fontId="6" fillId="5" borderId="0" xfId="0" applyFont="1" applyFill="1"/>
    <xf numFmtId="0" fontId="7" fillId="5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7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/>
    <xf numFmtId="0" fontId="8" fillId="0" borderId="0" xfId="0" applyFont="1" applyAlignment="1">
      <alignment horizontal="left"/>
    </xf>
    <xf numFmtId="0" fontId="3" fillId="7" borderId="0" xfId="0" applyFont="1" applyFill="1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0" fontId="7" fillId="5" borderId="3" xfId="0" applyFont="1" applyFill="1" applyBorder="1"/>
    <xf numFmtId="0" fontId="9" fillId="5" borderId="3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center"/>
    </xf>
    <xf numFmtId="9" fontId="9" fillId="5" borderId="3" xfId="0" applyNumberFormat="1" applyFont="1" applyFill="1" applyBorder="1" applyAlignment="1">
      <alignment horizontal="center"/>
    </xf>
    <xf numFmtId="0" fontId="7" fillId="6" borderId="0" xfId="0" applyFont="1" applyFill="1"/>
    <xf numFmtId="0" fontId="9" fillId="6" borderId="0" xfId="0" applyFont="1" applyFill="1" applyAlignment="1">
      <alignment horizontal="right"/>
    </xf>
    <xf numFmtId="9" fontId="9" fillId="6" borderId="0" xfId="0" applyNumberFormat="1" applyFont="1" applyFill="1" applyAlignment="1">
      <alignment horizontal="center"/>
    </xf>
    <xf numFmtId="0" fontId="7" fillId="6" borderId="4" xfId="0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9" fillId="5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9" fillId="6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10" fillId="0" borderId="0" xfId="0" applyFont="1"/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6" borderId="0" xfId="0" applyFont="1" applyFill="1"/>
    <xf numFmtId="0" fontId="3" fillId="5" borderId="0" xfId="0" applyFont="1" applyFill="1"/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>
    <tableStyle name="sec 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ec 3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ec 6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P34" headerRowCount="0">
  <tableColumns count="4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</tableColumns>
  <tableStyleInfo name="sec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AN34" headerRowCount="0">
  <tableColumns count="4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</tableColumns>
  <tableStyleInfo name="sec 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AN34" headerRowCount="0">
  <tableColumns count="4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</tableColumns>
  <tableStyleInfo name="sec 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5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3" sqref="C3:C32"/>
    </sheetView>
  </sheetViews>
  <sheetFormatPr baseColWidth="10" defaultColWidth="14.5" defaultRowHeight="15" customHeight="1"/>
  <cols>
    <col min="1" max="1" width="3.6640625" hidden="1" customWidth="1"/>
    <col min="2" max="2" width="12.6640625" customWidth="1"/>
    <col min="3" max="3" width="14.1640625" customWidth="1"/>
    <col min="4" max="5" width="9.1640625" customWidth="1"/>
    <col min="6" max="6" width="36" customWidth="1"/>
    <col min="7" max="7" width="19.33203125" customWidth="1"/>
    <col min="8" max="8" width="23.83203125" customWidth="1"/>
    <col min="9" max="9" width="24.6640625" customWidth="1"/>
    <col min="10" max="10" width="18" customWidth="1"/>
    <col min="11" max="12" width="6.5" customWidth="1"/>
    <col min="13" max="13" width="7.83203125" customWidth="1"/>
    <col min="14" max="15" width="6.5" customWidth="1"/>
    <col min="16" max="16" width="7.83203125" customWidth="1"/>
    <col min="17" max="18" width="6.5" customWidth="1"/>
    <col min="19" max="19" width="7.83203125" customWidth="1"/>
    <col min="20" max="21" width="6.5" customWidth="1"/>
    <col min="22" max="22" width="7.83203125" customWidth="1"/>
    <col min="23" max="23" width="6.5" customWidth="1"/>
    <col min="24" max="24" width="7.83203125" customWidth="1"/>
    <col min="25" max="25" width="6.5" customWidth="1"/>
    <col min="26" max="26" width="9.1640625" customWidth="1"/>
    <col min="27" max="28" width="6.5" customWidth="1"/>
    <col min="29" max="29" width="7.83203125" customWidth="1"/>
    <col min="30" max="31" width="6.5" customWidth="1"/>
    <col min="32" max="32" width="7.83203125" customWidth="1"/>
    <col min="33" max="33" width="6.5" customWidth="1"/>
    <col min="34" max="34" width="7.83203125" customWidth="1"/>
    <col min="35" max="36" width="6.5" customWidth="1"/>
    <col min="37" max="37" width="7.83203125" customWidth="1"/>
    <col min="38" max="41" width="6.5" customWidth="1"/>
    <col min="42" max="42" width="44.33203125" customWidth="1"/>
  </cols>
  <sheetData>
    <row r="1" spans="1:42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56" t="s">
        <v>1</v>
      </c>
      <c r="L1" s="54"/>
      <c r="M1" s="54"/>
      <c r="N1" s="55" t="s">
        <v>2</v>
      </c>
      <c r="O1" s="54"/>
      <c r="P1" s="54"/>
      <c r="Q1" s="56" t="s">
        <v>3</v>
      </c>
      <c r="R1" s="54"/>
      <c r="S1" s="54"/>
      <c r="T1" s="55" t="s">
        <v>4</v>
      </c>
      <c r="U1" s="54"/>
      <c r="V1" s="54"/>
      <c r="W1" s="56" t="s">
        <v>5</v>
      </c>
      <c r="X1" s="54"/>
      <c r="Y1" s="55" t="s">
        <v>6</v>
      </c>
      <c r="Z1" s="54"/>
      <c r="AA1" s="56" t="s">
        <v>7</v>
      </c>
      <c r="AB1" s="54"/>
      <c r="AC1" s="54"/>
      <c r="AD1" s="55" t="s">
        <v>8</v>
      </c>
      <c r="AE1" s="54"/>
      <c r="AF1" s="54"/>
      <c r="AG1" s="56" t="s">
        <v>9</v>
      </c>
      <c r="AH1" s="54"/>
      <c r="AI1" s="55" t="s">
        <v>10</v>
      </c>
      <c r="AJ1" s="54"/>
      <c r="AK1" s="54"/>
      <c r="AL1" s="55" t="s">
        <v>13</v>
      </c>
      <c r="AM1" s="54"/>
      <c r="AN1" s="55" t="s">
        <v>15</v>
      </c>
      <c r="AO1" s="54"/>
      <c r="AP1" s="2"/>
    </row>
    <row r="2" spans="1:42">
      <c r="A2" s="1" t="s">
        <v>12</v>
      </c>
      <c r="B2" s="1" t="s">
        <v>14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5">
        <v>46125</v>
      </c>
      <c r="L2" s="5">
        <v>46127</v>
      </c>
      <c r="M2" s="1" t="s">
        <v>24</v>
      </c>
      <c r="N2" s="5">
        <f>K2+7</f>
        <v>46132</v>
      </c>
      <c r="O2" s="5">
        <f>N2+2</f>
        <v>46134</v>
      </c>
      <c r="P2" s="1" t="s">
        <v>25</v>
      </c>
      <c r="Q2" s="5">
        <f>N2+7</f>
        <v>46139</v>
      </c>
      <c r="R2" s="5">
        <f>Q2+2</f>
        <v>46141</v>
      </c>
      <c r="S2" s="1" t="s">
        <v>26</v>
      </c>
      <c r="T2" s="5">
        <f>Q2+7</f>
        <v>46146</v>
      </c>
      <c r="U2" s="5">
        <f>T2+2</f>
        <v>46148</v>
      </c>
      <c r="V2" s="1" t="s">
        <v>27</v>
      </c>
      <c r="W2" s="5">
        <f>T2+7</f>
        <v>46153</v>
      </c>
      <c r="X2" s="1" t="s">
        <v>28</v>
      </c>
      <c r="Y2" s="5">
        <f>W2+9</f>
        <v>46162</v>
      </c>
      <c r="Z2" s="1" t="s">
        <v>29</v>
      </c>
      <c r="AA2" s="5">
        <f>Y2+5</f>
        <v>46167</v>
      </c>
      <c r="AB2" s="5">
        <f>AA2+2</f>
        <v>46169</v>
      </c>
      <c r="AC2" s="1" t="s">
        <v>30</v>
      </c>
      <c r="AD2" s="5">
        <f>AA2+7</f>
        <v>46174</v>
      </c>
      <c r="AE2" s="5">
        <f>AD2+2</f>
        <v>46176</v>
      </c>
      <c r="AF2" s="1" t="s">
        <v>31</v>
      </c>
      <c r="AG2" s="5">
        <f>AD2+7</f>
        <v>46181</v>
      </c>
      <c r="AH2" s="1" t="s">
        <v>32</v>
      </c>
      <c r="AI2" s="5">
        <f>AG2+7</f>
        <v>46188</v>
      </c>
      <c r="AJ2" s="5">
        <f>AI2+2</f>
        <v>46190</v>
      </c>
      <c r="AK2" s="1" t="s">
        <v>33</v>
      </c>
      <c r="AL2" s="2" t="s">
        <v>34</v>
      </c>
      <c r="AM2" s="2" t="s">
        <v>35</v>
      </c>
      <c r="AN2" s="2" t="s">
        <v>34</v>
      </c>
      <c r="AO2" s="2" t="s">
        <v>35</v>
      </c>
      <c r="AP2" s="1" t="s">
        <v>36</v>
      </c>
    </row>
    <row r="3" spans="1:42" ht="16">
      <c r="A3" s="7" t="s">
        <v>37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46</v>
      </c>
      <c r="G3" s="11" t="s">
        <v>48</v>
      </c>
      <c r="H3" s="7" t="s">
        <v>50</v>
      </c>
      <c r="I3" s="7" t="s">
        <v>51</v>
      </c>
      <c r="J3" s="7"/>
      <c r="K3" s="10">
        <v>1</v>
      </c>
      <c r="L3" s="10">
        <v>1</v>
      </c>
      <c r="M3" s="10" t="s">
        <v>52</v>
      </c>
      <c r="N3" s="10" t="s">
        <v>53</v>
      </c>
      <c r="O3" s="12" t="s">
        <v>53</v>
      </c>
      <c r="P3" s="10"/>
      <c r="Q3" s="10" t="s">
        <v>53</v>
      </c>
      <c r="R3" s="10" t="s">
        <v>53</v>
      </c>
      <c r="S3" s="10" t="s">
        <v>52</v>
      </c>
      <c r="T3" s="10">
        <v>2</v>
      </c>
      <c r="U3" s="10" t="s">
        <v>53</v>
      </c>
      <c r="V3" s="10" t="s">
        <v>52</v>
      </c>
      <c r="W3" s="10" t="s">
        <v>53</v>
      </c>
      <c r="X3" s="10" t="s">
        <v>52</v>
      </c>
      <c r="Y3" s="10" t="s">
        <v>53</v>
      </c>
      <c r="Z3" s="10" t="s">
        <v>52</v>
      </c>
      <c r="AA3" s="10" t="s">
        <v>53</v>
      </c>
      <c r="AB3" s="10" t="s">
        <v>53</v>
      </c>
      <c r="AC3" s="10"/>
      <c r="AD3" s="10" t="s">
        <v>53</v>
      </c>
      <c r="AE3" s="10">
        <v>2</v>
      </c>
      <c r="AF3" s="10" t="s">
        <v>52</v>
      </c>
      <c r="AG3" s="10">
        <v>2</v>
      </c>
      <c r="AH3" s="10"/>
      <c r="AI3" s="10" t="s">
        <v>53</v>
      </c>
      <c r="AJ3" s="10" t="s">
        <v>53</v>
      </c>
      <c r="AK3" s="10" t="s">
        <v>52</v>
      </c>
      <c r="AL3" s="2">
        <f t="shared" ref="AL3:AL32" si="0">COUNTA(K3:AK3)</f>
        <v>24</v>
      </c>
      <c r="AM3" s="13">
        <f t="shared" ref="AM3:AM32" si="1">AL3/(COUNTA(I$2:AK$2))</f>
        <v>0.82758620689655171</v>
      </c>
      <c r="AN3" s="2">
        <f t="shared" ref="AN3:AN32" si="2">SUM(K3:AK3)</f>
        <v>8</v>
      </c>
      <c r="AO3" s="13">
        <f t="shared" ref="AO3:AO32" si="3">AN3/(COUNTA(K$2:AK$2)-COUNTIF(K$2:AK$2,"prepa*"))</f>
        <v>0.47058823529411764</v>
      </c>
      <c r="AP3" s="14"/>
    </row>
    <row r="4" spans="1:42" ht="16">
      <c r="A4" s="7" t="s">
        <v>54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46</v>
      </c>
      <c r="G4" s="11" t="s">
        <v>76</v>
      </c>
      <c r="H4" s="7" t="s">
        <v>77</v>
      </c>
      <c r="I4" s="7" t="s">
        <v>78</v>
      </c>
      <c r="J4" s="7"/>
      <c r="K4" s="10"/>
      <c r="L4" s="10" t="s">
        <v>53</v>
      </c>
      <c r="M4" s="10"/>
      <c r="N4" s="10" t="s">
        <v>53</v>
      </c>
      <c r="O4" s="15" t="s">
        <v>53</v>
      </c>
      <c r="P4" s="10"/>
      <c r="Q4" s="10"/>
      <c r="R4" s="10" t="s">
        <v>53</v>
      </c>
      <c r="S4" s="10"/>
      <c r="T4" s="10" t="s">
        <v>53</v>
      </c>
      <c r="U4" s="10" t="s">
        <v>53</v>
      </c>
      <c r="V4" s="10"/>
      <c r="W4" s="10"/>
      <c r="X4" s="10"/>
      <c r="Y4" s="10" t="s">
        <v>53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2">
        <f t="shared" si="0"/>
        <v>7</v>
      </c>
      <c r="AM4" s="13">
        <f t="shared" si="1"/>
        <v>0.2413793103448276</v>
      </c>
      <c r="AN4" s="2">
        <f t="shared" si="2"/>
        <v>0</v>
      </c>
      <c r="AO4" s="13">
        <f t="shared" si="3"/>
        <v>0</v>
      </c>
      <c r="AP4" s="14"/>
    </row>
    <row r="5" spans="1:42" ht="16">
      <c r="A5" s="7" t="s">
        <v>61</v>
      </c>
      <c r="B5" s="7" t="s">
        <v>87</v>
      </c>
      <c r="C5" s="7" t="s">
        <v>90</v>
      </c>
      <c r="D5" s="7" t="s">
        <v>91</v>
      </c>
      <c r="E5" s="7" t="s">
        <v>56</v>
      </c>
      <c r="F5" s="7" t="s">
        <v>95</v>
      </c>
      <c r="G5" s="11" t="s">
        <v>97</v>
      </c>
      <c r="H5" s="7" t="s">
        <v>98</v>
      </c>
      <c r="I5" s="7" t="s">
        <v>99</v>
      </c>
      <c r="J5" s="7"/>
      <c r="K5" s="10"/>
      <c r="L5" s="10"/>
      <c r="M5" s="10"/>
      <c r="N5" s="10"/>
      <c r="O5" s="12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2">
        <f t="shared" si="0"/>
        <v>0</v>
      </c>
      <c r="AM5" s="13">
        <f t="shared" si="1"/>
        <v>0</v>
      </c>
      <c r="AN5" s="2">
        <f t="shared" si="2"/>
        <v>0</v>
      </c>
      <c r="AO5" s="13">
        <f t="shared" si="3"/>
        <v>0</v>
      </c>
      <c r="AP5" s="14"/>
    </row>
    <row r="6" spans="1:42" ht="16">
      <c r="A6" s="7" t="s">
        <v>65</v>
      </c>
      <c r="B6" s="7" t="s">
        <v>107</v>
      </c>
      <c r="C6" s="7" t="s">
        <v>108</v>
      </c>
      <c r="D6" s="7" t="s">
        <v>109</v>
      </c>
      <c r="E6" s="7" t="s">
        <v>111</v>
      </c>
      <c r="F6" s="7"/>
      <c r="G6" s="11" t="s">
        <v>114</v>
      </c>
      <c r="H6" s="7" t="s">
        <v>116</v>
      </c>
      <c r="I6" s="7" t="s">
        <v>117</v>
      </c>
      <c r="J6" s="7"/>
      <c r="K6" s="10"/>
      <c r="L6" s="10" t="s">
        <v>53</v>
      </c>
      <c r="M6" s="10"/>
      <c r="N6" s="10" t="s">
        <v>53</v>
      </c>
      <c r="O6" s="15"/>
      <c r="P6" s="10"/>
      <c r="Q6" s="10"/>
      <c r="R6" s="10"/>
      <c r="S6" s="10"/>
      <c r="T6" s="10" t="s">
        <v>53</v>
      </c>
      <c r="U6" s="10" t="s">
        <v>53</v>
      </c>
      <c r="V6" s="10"/>
      <c r="W6" s="10" t="s">
        <v>53</v>
      </c>
      <c r="X6" s="10"/>
      <c r="Y6" s="10"/>
      <c r="Z6" s="10"/>
      <c r="AA6" s="10" t="s">
        <v>53</v>
      </c>
      <c r="AB6" s="10" t="s">
        <v>53</v>
      </c>
      <c r="AC6" s="10"/>
      <c r="AD6" s="10"/>
      <c r="AE6" s="10"/>
      <c r="AF6" s="10"/>
      <c r="AG6" s="10">
        <v>2</v>
      </c>
      <c r="AH6" s="10"/>
      <c r="AI6" s="10"/>
      <c r="AJ6" s="10"/>
      <c r="AK6" s="10"/>
      <c r="AL6" s="2">
        <f t="shared" si="0"/>
        <v>8</v>
      </c>
      <c r="AM6" s="13">
        <f t="shared" si="1"/>
        <v>0.27586206896551724</v>
      </c>
      <c r="AN6" s="2">
        <f t="shared" si="2"/>
        <v>2</v>
      </c>
      <c r="AO6" s="13">
        <f t="shared" si="3"/>
        <v>0.11764705882352941</v>
      </c>
      <c r="AP6" s="14"/>
    </row>
    <row r="7" spans="1:42" ht="16">
      <c r="A7" s="7" t="s">
        <v>79</v>
      </c>
      <c r="B7" s="7" t="s">
        <v>128</v>
      </c>
      <c r="C7" s="7" t="s">
        <v>129</v>
      </c>
      <c r="D7" s="7" t="s">
        <v>130</v>
      </c>
      <c r="E7" s="7" t="s">
        <v>131</v>
      </c>
      <c r="F7" s="7" t="s">
        <v>133</v>
      </c>
      <c r="G7" s="11" t="s">
        <v>134</v>
      </c>
      <c r="H7" s="7" t="s">
        <v>135</v>
      </c>
      <c r="I7" s="7" t="s">
        <v>137</v>
      </c>
      <c r="J7" s="7"/>
      <c r="K7" s="10"/>
      <c r="L7" s="10">
        <v>1</v>
      </c>
      <c r="M7" s="10" t="s">
        <v>52</v>
      </c>
      <c r="N7" s="10">
        <v>1</v>
      </c>
      <c r="O7" s="12" t="s">
        <v>53</v>
      </c>
      <c r="P7" s="10" t="s">
        <v>52</v>
      </c>
      <c r="Q7" s="10" t="s">
        <v>53</v>
      </c>
      <c r="R7" s="10" t="s">
        <v>53</v>
      </c>
      <c r="S7" s="10" t="s">
        <v>52</v>
      </c>
      <c r="T7" s="10" t="s">
        <v>53</v>
      </c>
      <c r="U7" s="10" t="s">
        <v>53</v>
      </c>
      <c r="V7" s="10" t="s">
        <v>52</v>
      </c>
      <c r="W7" s="10" t="s">
        <v>53</v>
      </c>
      <c r="X7" s="10" t="s">
        <v>52</v>
      </c>
      <c r="Y7" s="10" t="s">
        <v>53</v>
      </c>
      <c r="Z7" s="10" t="s">
        <v>52</v>
      </c>
      <c r="AA7" s="10" t="s">
        <v>53</v>
      </c>
      <c r="AB7" s="10" t="s">
        <v>53</v>
      </c>
      <c r="AC7" s="10" t="s">
        <v>52</v>
      </c>
      <c r="AD7" s="10" t="s">
        <v>53</v>
      </c>
      <c r="AE7" s="10" t="s">
        <v>53</v>
      </c>
      <c r="AF7" s="10" t="s">
        <v>52</v>
      </c>
      <c r="AG7" s="10">
        <v>2</v>
      </c>
      <c r="AH7" s="10" t="s">
        <v>52</v>
      </c>
      <c r="AI7" s="10" t="s">
        <v>53</v>
      </c>
      <c r="AJ7" s="10">
        <v>1</v>
      </c>
      <c r="AK7" s="10" t="s">
        <v>52</v>
      </c>
      <c r="AL7" s="2">
        <f t="shared" si="0"/>
        <v>26</v>
      </c>
      <c r="AM7" s="13">
        <f t="shared" si="1"/>
        <v>0.89655172413793105</v>
      </c>
      <c r="AN7" s="2">
        <f t="shared" si="2"/>
        <v>5</v>
      </c>
      <c r="AO7" s="13">
        <f t="shared" si="3"/>
        <v>0.29411764705882354</v>
      </c>
      <c r="AP7" s="14"/>
    </row>
    <row r="8" spans="1:42" ht="16">
      <c r="A8" s="7" t="s">
        <v>86</v>
      </c>
      <c r="B8" s="7" t="s">
        <v>145</v>
      </c>
      <c r="C8" s="7" t="s">
        <v>146</v>
      </c>
      <c r="D8" s="7" t="s">
        <v>147</v>
      </c>
      <c r="E8" s="7" t="s">
        <v>148</v>
      </c>
      <c r="F8" s="7" t="s">
        <v>149</v>
      </c>
      <c r="G8" s="11" t="s">
        <v>150</v>
      </c>
      <c r="H8" s="7" t="s">
        <v>151</v>
      </c>
      <c r="I8" s="7" t="s">
        <v>153</v>
      </c>
      <c r="J8" s="7"/>
      <c r="K8" s="10"/>
      <c r="L8" s="10" t="s">
        <v>53</v>
      </c>
      <c r="M8" s="10"/>
      <c r="N8" s="10">
        <v>1</v>
      </c>
      <c r="O8" s="15" t="s">
        <v>53</v>
      </c>
      <c r="P8" s="10"/>
      <c r="Q8" s="10" t="s">
        <v>53</v>
      </c>
      <c r="R8" s="10" t="s">
        <v>53</v>
      </c>
      <c r="S8" s="10"/>
      <c r="T8" s="10" t="s">
        <v>53</v>
      </c>
      <c r="U8" s="10" t="s">
        <v>53</v>
      </c>
      <c r="V8" s="10"/>
      <c r="W8" s="10" t="s">
        <v>53</v>
      </c>
      <c r="X8" s="10"/>
      <c r="Y8" s="10" t="s">
        <v>53</v>
      </c>
      <c r="Z8" s="10"/>
      <c r="AA8" s="10" t="s">
        <v>53</v>
      </c>
      <c r="AB8" s="10" t="s">
        <v>53</v>
      </c>
      <c r="AC8" s="10"/>
      <c r="AD8" s="10">
        <v>1</v>
      </c>
      <c r="AE8" s="10" t="s">
        <v>53</v>
      </c>
      <c r="AF8" s="10"/>
      <c r="AG8" s="10">
        <v>2</v>
      </c>
      <c r="AH8" s="10"/>
      <c r="AI8" s="10" t="s">
        <v>53</v>
      </c>
      <c r="AJ8" s="10" t="s">
        <v>53</v>
      </c>
      <c r="AK8" s="10"/>
      <c r="AL8" s="2">
        <f t="shared" si="0"/>
        <v>16</v>
      </c>
      <c r="AM8" s="13">
        <f t="shared" si="1"/>
        <v>0.55172413793103448</v>
      </c>
      <c r="AN8" s="2">
        <f t="shared" si="2"/>
        <v>4</v>
      </c>
      <c r="AO8" s="13">
        <f t="shared" si="3"/>
        <v>0.23529411764705882</v>
      </c>
      <c r="AP8" s="14"/>
    </row>
    <row r="9" spans="1:42" ht="16">
      <c r="A9" s="7" t="s">
        <v>100</v>
      </c>
      <c r="B9" s="7" t="s">
        <v>166</v>
      </c>
      <c r="C9" s="7" t="s">
        <v>167</v>
      </c>
      <c r="D9" s="7" t="s">
        <v>168</v>
      </c>
      <c r="E9" s="7" t="s">
        <v>169</v>
      </c>
      <c r="F9" s="7" t="s">
        <v>170</v>
      </c>
      <c r="G9" s="11" t="s">
        <v>171</v>
      </c>
      <c r="H9" s="7" t="s">
        <v>172</v>
      </c>
      <c r="I9" s="7" t="s">
        <v>173</v>
      </c>
      <c r="J9" s="7"/>
      <c r="K9" s="10">
        <v>1</v>
      </c>
      <c r="L9" s="10" t="s">
        <v>53</v>
      </c>
      <c r="M9" s="10"/>
      <c r="N9" s="10" t="s">
        <v>53</v>
      </c>
      <c r="O9" s="12" t="s">
        <v>53</v>
      </c>
      <c r="P9" s="10"/>
      <c r="Q9" s="10" t="s">
        <v>53</v>
      </c>
      <c r="R9" s="10" t="s">
        <v>53</v>
      </c>
      <c r="S9" s="10"/>
      <c r="T9" s="10" t="s">
        <v>53</v>
      </c>
      <c r="U9" s="10" t="s">
        <v>53</v>
      </c>
      <c r="V9" s="10"/>
      <c r="W9" s="10" t="s">
        <v>53</v>
      </c>
      <c r="X9" s="10"/>
      <c r="Y9" s="10"/>
      <c r="Z9" s="10"/>
      <c r="AA9" s="10" t="s">
        <v>53</v>
      </c>
      <c r="AB9" s="10" t="s">
        <v>53</v>
      </c>
      <c r="AC9" s="10"/>
      <c r="AD9" s="10" t="s">
        <v>53</v>
      </c>
      <c r="AE9" s="10" t="s">
        <v>53</v>
      </c>
      <c r="AF9" s="10"/>
      <c r="AG9" s="10">
        <v>2</v>
      </c>
      <c r="AH9" s="10"/>
      <c r="AI9" s="10" t="s">
        <v>53</v>
      </c>
      <c r="AJ9" s="10"/>
      <c r="AK9" s="10"/>
      <c r="AL9" s="2">
        <f t="shared" si="0"/>
        <v>15</v>
      </c>
      <c r="AM9" s="13">
        <f t="shared" si="1"/>
        <v>0.51724137931034486</v>
      </c>
      <c r="AN9" s="2">
        <f t="shared" si="2"/>
        <v>3</v>
      </c>
      <c r="AO9" s="13">
        <f t="shared" si="3"/>
        <v>0.17647058823529413</v>
      </c>
      <c r="AP9" s="18"/>
    </row>
    <row r="10" spans="1:42" ht="16">
      <c r="A10" s="7" t="s">
        <v>110</v>
      </c>
      <c r="B10" s="7" t="s">
        <v>180</v>
      </c>
      <c r="C10" s="7" t="s">
        <v>181</v>
      </c>
      <c r="D10" s="7" t="s">
        <v>182</v>
      </c>
      <c r="E10" s="7" t="s">
        <v>183</v>
      </c>
      <c r="F10" s="7" t="s">
        <v>184</v>
      </c>
      <c r="G10" s="11" t="s">
        <v>186</v>
      </c>
      <c r="H10" s="7" t="s">
        <v>188</v>
      </c>
      <c r="I10" s="7" t="s">
        <v>189</v>
      </c>
      <c r="J10" s="7"/>
      <c r="K10" s="10">
        <v>1</v>
      </c>
      <c r="L10" s="10" t="s">
        <v>53</v>
      </c>
      <c r="M10" s="10"/>
      <c r="N10" s="10" t="s">
        <v>53</v>
      </c>
      <c r="O10" s="15" t="s">
        <v>53</v>
      </c>
      <c r="P10" s="10"/>
      <c r="Q10" s="10" t="s">
        <v>53</v>
      </c>
      <c r="R10" s="10" t="s">
        <v>53</v>
      </c>
      <c r="S10" s="10"/>
      <c r="T10" s="10" t="s">
        <v>53</v>
      </c>
      <c r="U10" s="10"/>
      <c r="V10" s="10"/>
      <c r="W10" s="10" t="s">
        <v>53</v>
      </c>
      <c r="X10" s="10"/>
      <c r="Y10" s="10" t="s">
        <v>53</v>
      </c>
      <c r="Z10" s="10"/>
      <c r="AA10" s="10"/>
      <c r="AB10" s="10"/>
      <c r="AC10" s="10"/>
      <c r="AD10" s="10" t="s">
        <v>53</v>
      </c>
      <c r="AE10" s="10"/>
      <c r="AF10" s="10"/>
      <c r="AG10" s="10"/>
      <c r="AH10" s="10"/>
      <c r="AI10" s="10"/>
      <c r="AJ10" s="10"/>
      <c r="AK10" s="10"/>
      <c r="AL10" s="2">
        <f t="shared" si="0"/>
        <v>10</v>
      </c>
      <c r="AM10" s="13">
        <f t="shared" si="1"/>
        <v>0.34482758620689657</v>
      </c>
      <c r="AN10" s="2">
        <f t="shared" si="2"/>
        <v>1</v>
      </c>
      <c r="AO10" s="13">
        <f t="shared" si="3"/>
        <v>5.8823529411764705E-2</v>
      </c>
      <c r="AP10" s="14"/>
    </row>
    <row r="11" spans="1:42" ht="16">
      <c r="A11" s="7" t="s">
        <v>121</v>
      </c>
      <c r="B11" s="7" t="s">
        <v>202</v>
      </c>
      <c r="C11" s="7" t="s">
        <v>203</v>
      </c>
      <c r="D11" s="7" t="s">
        <v>204</v>
      </c>
      <c r="E11" s="7" t="s">
        <v>205</v>
      </c>
      <c r="F11" s="7" t="s">
        <v>206</v>
      </c>
      <c r="G11" s="11" t="s">
        <v>207</v>
      </c>
      <c r="H11" s="7" t="s">
        <v>208</v>
      </c>
      <c r="I11" s="7" t="s">
        <v>209</v>
      </c>
      <c r="J11" s="7"/>
      <c r="K11" s="10">
        <v>1</v>
      </c>
      <c r="L11" s="10" t="s">
        <v>53</v>
      </c>
      <c r="M11" s="10" t="s">
        <v>52</v>
      </c>
      <c r="N11" s="10" t="s">
        <v>53</v>
      </c>
      <c r="O11" s="12" t="s">
        <v>53</v>
      </c>
      <c r="P11" s="10"/>
      <c r="Q11" s="10" t="s">
        <v>53</v>
      </c>
      <c r="R11" s="10" t="s">
        <v>53</v>
      </c>
      <c r="S11" s="10" t="s">
        <v>52</v>
      </c>
      <c r="T11" s="10" t="s">
        <v>53</v>
      </c>
      <c r="U11" s="10" t="s">
        <v>53</v>
      </c>
      <c r="V11" s="10" t="s">
        <v>52</v>
      </c>
      <c r="W11" s="10" t="s">
        <v>53</v>
      </c>
      <c r="X11" s="10" t="s">
        <v>52</v>
      </c>
      <c r="Y11" s="10" t="s">
        <v>53</v>
      </c>
      <c r="Z11" s="10" t="s">
        <v>52</v>
      </c>
      <c r="AA11" s="10" t="s">
        <v>53</v>
      </c>
      <c r="AB11" s="10">
        <v>1</v>
      </c>
      <c r="AC11" s="10"/>
      <c r="AD11" s="10" t="s">
        <v>53</v>
      </c>
      <c r="AE11" s="10" t="s">
        <v>53</v>
      </c>
      <c r="AF11" s="10" t="s">
        <v>52</v>
      </c>
      <c r="AG11" s="10">
        <v>2</v>
      </c>
      <c r="AH11" s="10"/>
      <c r="AI11" s="10" t="s">
        <v>53</v>
      </c>
      <c r="AJ11" s="10">
        <v>1</v>
      </c>
      <c r="AK11" s="10" t="s">
        <v>52</v>
      </c>
      <c r="AL11" s="2">
        <f t="shared" si="0"/>
        <v>24</v>
      </c>
      <c r="AM11" s="13">
        <f t="shared" si="1"/>
        <v>0.82758620689655171</v>
      </c>
      <c r="AN11" s="2">
        <f t="shared" si="2"/>
        <v>5</v>
      </c>
      <c r="AO11" s="13">
        <f t="shared" si="3"/>
        <v>0.29411764705882354</v>
      </c>
      <c r="AP11" s="14"/>
    </row>
    <row r="12" spans="1:42" ht="16">
      <c r="A12" s="7" t="s">
        <v>132</v>
      </c>
      <c r="B12" s="7" t="s">
        <v>223</v>
      </c>
      <c r="C12" s="7" t="s">
        <v>224</v>
      </c>
      <c r="D12" s="7" t="s">
        <v>225</v>
      </c>
      <c r="E12" s="7" t="s">
        <v>226</v>
      </c>
      <c r="F12" s="7" t="s">
        <v>227</v>
      </c>
      <c r="G12" s="11" t="s">
        <v>228</v>
      </c>
      <c r="H12" s="7" t="s">
        <v>229</v>
      </c>
      <c r="I12" s="7" t="s">
        <v>230</v>
      </c>
      <c r="J12" s="7"/>
      <c r="K12" s="10">
        <v>1</v>
      </c>
      <c r="L12" s="10" t="s">
        <v>53</v>
      </c>
      <c r="M12" s="10"/>
      <c r="N12" s="10" t="s">
        <v>53</v>
      </c>
      <c r="O12" s="15" t="s">
        <v>53</v>
      </c>
      <c r="P12" s="10"/>
      <c r="Q12" s="10">
        <v>2</v>
      </c>
      <c r="R12" s="10" t="s">
        <v>53</v>
      </c>
      <c r="S12" s="10"/>
      <c r="T12" s="10">
        <v>1</v>
      </c>
      <c r="U12" s="10" t="s">
        <v>53</v>
      </c>
      <c r="V12" s="10"/>
      <c r="W12" s="10">
        <v>2</v>
      </c>
      <c r="X12" s="10"/>
      <c r="Y12" s="10" t="s">
        <v>53</v>
      </c>
      <c r="Z12" s="10"/>
      <c r="AA12" s="10" t="s">
        <v>53</v>
      </c>
      <c r="AB12" s="10" t="s">
        <v>53</v>
      </c>
      <c r="AC12" s="10"/>
      <c r="AD12" s="10" t="s">
        <v>53</v>
      </c>
      <c r="AE12" s="10" t="s">
        <v>53</v>
      </c>
      <c r="AF12" s="10"/>
      <c r="AG12" s="10">
        <v>2</v>
      </c>
      <c r="AH12" s="10"/>
      <c r="AI12" s="10"/>
      <c r="AJ12" s="10" t="s">
        <v>53</v>
      </c>
      <c r="AK12" s="10"/>
      <c r="AL12" s="2">
        <f t="shared" si="0"/>
        <v>16</v>
      </c>
      <c r="AM12" s="13">
        <f t="shared" si="1"/>
        <v>0.55172413793103448</v>
      </c>
      <c r="AN12" s="2">
        <f t="shared" si="2"/>
        <v>8</v>
      </c>
      <c r="AO12" s="13">
        <f t="shared" si="3"/>
        <v>0.47058823529411764</v>
      </c>
      <c r="AP12" s="14"/>
    </row>
    <row r="13" spans="1:42" ht="16">
      <c r="A13" s="7" t="s">
        <v>142</v>
      </c>
      <c r="B13" s="7" t="s">
        <v>239</v>
      </c>
      <c r="C13" s="7" t="s">
        <v>240</v>
      </c>
      <c r="D13" s="7" t="s">
        <v>122</v>
      </c>
      <c r="E13" s="7" t="s">
        <v>220</v>
      </c>
      <c r="F13" s="7" t="s">
        <v>39</v>
      </c>
      <c r="G13" s="11" t="s">
        <v>243</v>
      </c>
      <c r="H13" s="7" t="s">
        <v>244</v>
      </c>
      <c r="I13" s="7" t="s">
        <v>245</v>
      </c>
      <c r="J13" s="7"/>
      <c r="K13" s="10">
        <v>1</v>
      </c>
      <c r="L13" s="10" t="s">
        <v>53</v>
      </c>
      <c r="M13" s="10"/>
      <c r="N13" s="10" t="s">
        <v>53</v>
      </c>
      <c r="O13" s="12" t="s">
        <v>53</v>
      </c>
      <c r="P13" s="10"/>
      <c r="Q13" s="10" t="s">
        <v>53</v>
      </c>
      <c r="R13" s="10">
        <v>1</v>
      </c>
      <c r="S13" s="10"/>
      <c r="T13" s="10">
        <v>1</v>
      </c>
      <c r="U13" s="10" t="s">
        <v>53</v>
      </c>
      <c r="V13" s="10"/>
      <c r="W13" s="10" t="s">
        <v>53</v>
      </c>
      <c r="X13" s="10"/>
      <c r="Y13" s="10" t="s">
        <v>53</v>
      </c>
      <c r="Z13" s="10"/>
      <c r="AA13" s="10"/>
      <c r="AB13" s="10" t="s">
        <v>53</v>
      </c>
      <c r="AC13" s="10"/>
      <c r="AD13" s="10"/>
      <c r="AE13" s="10" t="s">
        <v>53</v>
      </c>
      <c r="AF13" s="10"/>
      <c r="AG13" s="10">
        <v>2</v>
      </c>
      <c r="AH13" s="10" t="s">
        <v>52</v>
      </c>
      <c r="AI13" s="10"/>
      <c r="AJ13" s="10"/>
      <c r="AK13" s="10"/>
      <c r="AL13" s="2">
        <f t="shared" si="0"/>
        <v>14</v>
      </c>
      <c r="AM13" s="13">
        <f t="shared" si="1"/>
        <v>0.48275862068965519</v>
      </c>
      <c r="AN13" s="2">
        <f t="shared" si="2"/>
        <v>5</v>
      </c>
      <c r="AO13" s="13">
        <f t="shared" si="3"/>
        <v>0.29411764705882354</v>
      </c>
      <c r="AP13" s="14"/>
    </row>
    <row r="14" spans="1:42" ht="16">
      <c r="A14" s="19" t="s">
        <v>152</v>
      </c>
      <c r="B14" s="19" t="s">
        <v>255</v>
      </c>
      <c r="C14" s="19" t="s">
        <v>256</v>
      </c>
      <c r="D14" s="7" t="s">
        <v>257</v>
      </c>
      <c r="E14" s="7" t="s">
        <v>258</v>
      </c>
      <c r="F14" s="7" t="s">
        <v>259</v>
      </c>
      <c r="G14" s="20" t="s">
        <v>260</v>
      </c>
      <c r="H14" s="7" t="s">
        <v>261</v>
      </c>
      <c r="I14" s="7" t="s">
        <v>263</v>
      </c>
      <c r="K14" s="10"/>
      <c r="L14" s="10">
        <v>1</v>
      </c>
      <c r="M14" s="10" t="s">
        <v>52</v>
      </c>
      <c r="N14" s="10">
        <v>1</v>
      </c>
      <c r="O14" s="22" t="s">
        <v>53</v>
      </c>
      <c r="P14" s="10" t="s">
        <v>52</v>
      </c>
      <c r="Q14" s="10" t="s">
        <v>53</v>
      </c>
      <c r="R14" s="10" t="s">
        <v>53</v>
      </c>
      <c r="S14" s="10" t="s">
        <v>52</v>
      </c>
      <c r="T14" s="10" t="s">
        <v>53</v>
      </c>
      <c r="U14" s="10" t="s">
        <v>53</v>
      </c>
      <c r="V14" s="10" t="s">
        <v>52</v>
      </c>
      <c r="W14" s="10" t="s">
        <v>53</v>
      </c>
      <c r="X14" s="10"/>
      <c r="Y14" s="10" t="s">
        <v>53</v>
      </c>
      <c r="Z14" s="10"/>
      <c r="AA14" s="10" t="s">
        <v>53</v>
      </c>
      <c r="AB14" s="10" t="s">
        <v>53</v>
      </c>
      <c r="AC14" s="10"/>
      <c r="AD14" s="10" t="s">
        <v>53</v>
      </c>
      <c r="AE14" s="10" t="s">
        <v>53</v>
      </c>
      <c r="AF14" s="10" t="s">
        <v>52</v>
      </c>
      <c r="AG14" s="10" t="s">
        <v>53</v>
      </c>
      <c r="AH14" s="10"/>
      <c r="AI14" s="10" t="s">
        <v>53</v>
      </c>
      <c r="AJ14" s="10" t="s">
        <v>53</v>
      </c>
      <c r="AK14" s="10" t="s">
        <v>52</v>
      </c>
      <c r="AL14" s="2">
        <f t="shared" si="0"/>
        <v>22</v>
      </c>
      <c r="AM14" s="13">
        <f t="shared" si="1"/>
        <v>0.75862068965517238</v>
      </c>
      <c r="AN14" s="2">
        <f t="shared" si="2"/>
        <v>2</v>
      </c>
      <c r="AO14" s="13">
        <f t="shared" si="3"/>
        <v>0.11764705882352941</v>
      </c>
      <c r="AP14" s="14" t="s">
        <v>277</v>
      </c>
    </row>
    <row r="15" spans="1:42" ht="16">
      <c r="A15" s="7" t="s">
        <v>160</v>
      </c>
      <c r="B15" s="7" t="s">
        <v>278</v>
      </c>
      <c r="C15" s="7" t="s">
        <v>279</v>
      </c>
      <c r="D15" s="7" t="s">
        <v>280</v>
      </c>
      <c r="E15" s="7" t="s">
        <v>282</v>
      </c>
      <c r="F15" s="7" t="s">
        <v>283</v>
      </c>
      <c r="G15" s="20" t="s">
        <v>286</v>
      </c>
      <c r="H15" s="7" t="s">
        <v>288</v>
      </c>
      <c r="I15" s="7" t="s">
        <v>289</v>
      </c>
      <c r="J15" s="7"/>
      <c r="K15" s="10">
        <v>0.5</v>
      </c>
      <c r="L15" s="10" t="s">
        <v>53</v>
      </c>
      <c r="M15" s="10" t="s">
        <v>52</v>
      </c>
      <c r="N15" s="10" t="s">
        <v>53</v>
      </c>
      <c r="O15" s="22" t="s">
        <v>53</v>
      </c>
      <c r="P15" s="10"/>
      <c r="Q15" s="10" t="s">
        <v>53</v>
      </c>
      <c r="R15" s="10"/>
      <c r="S15" s="10"/>
      <c r="T15" s="10" t="s">
        <v>294</v>
      </c>
      <c r="U15" s="10" t="s">
        <v>53</v>
      </c>
      <c r="V15" s="10"/>
      <c r="W15" s="10"/>
      <c r="X15" s="10"/>
      <c r="Y15" s="10" t="s">
        <v>53</v>
      </c>
      <c r="Z15" s="10"/>
      <c r="AA15" s="10"/>
      <c r="AB15" s="10" t="s">
        <v>53</v>
      </c>
      <c r="AC15" s="10"/>
      <c r="AD15" s="10" t="s">
        <v>53</v>
      </c>
      <c r="AE15" s="10"/>
      <c r="AF15" s="10"/>
      <c r="AG15" s="10"/>
      <c r="AH15" s="10"/>
      <c r="AI15" s="10"/>
      <c r="AJ15" s="10" t="s">
        <v>53</v>
      </c>
      <c r="AK15" s="10"/>
      <c r="AL15" s="2">
        <f t="shared" si="0"/>
        <v>12</v>
      </c>
      <c r="AM15" s="13">
        <f t="shared" si="1"/>
        <v>0.41379310344827586</v>
      </c>
      <c r="AN15" s="2">
        <f t="shared" si="2"/>
        <v>0.5</v>
      </c>
      <c r="AO15" s="13">
        <f t="shared" si="3"/>
        <v>2.9411764705882353E-2</v>
      </c>
      <c r="AP15" s="14"/>
    </row>
    <row r="16" spans="1:42" ht="15.75" customHeight="1">
      <c r="A16" s="7" t="s">
        <v>174</v>
      </c>
      <c r="B16" s="7" t="s">
        <v>300</v>
      </c>
      <c r="C16" s="7" t="s">
        <v>301</v>
      </c>
      <c r="D16" s="7" t="s">
        <v>302</v>
      </c>
      <c r="E16" s="7" t="s">
        <v>303</v>
      </c>
      <c r="F16" s="7" t="s">
        <v>305</v>
      </c>
      <c r="G16" s="20" t="s">
        <v>306</v>
      </c>
      <c r="H16" s="7" t="s">
        <v>308</v>
      </c>
      <c r="I16" s="7" t="s">
        <v>310</v>
      </c>
      <c r="J16" s="7"/>
      <c r="K16" s="10"/>
      <c r="L16" s="10" t="s">
        <v>53</v>
      </c>
      <c r="M16" s="10"/>
      <c r="N16" s="10" t="s">
        <v>53</v>
      </c>
      <c r="O16" s="22" t="s">
        <v>53</v>
      </c>
      <c r="P16" s="10"/>
      <c r="Q16" s="10" t="s">
        <v>53</v>
      </c>
      <c r="R16" s="10">
        <v>3</v>
      </c>
      <c r="S16" s="10"/>
      <c r="T16" s="10" t="s">
        <v>53</v>
      </c>
      <c r="U16" s="10" t="s">
        <v>53</v>
      </c>
      <c r="V16" s="10"/>
      <c r="W16" s="10" t="s">
        <v>53</v>
      </c>
      <c r="X16" s="10"/>
      <c r="Y16" s="10" t="s">
        <v>53</v>
      </c>
      <c r="Z16" s="10"/>
      <c r="AA16" s="10" t="s">
        <v>53</v>
      </c>
      <c r="AB16" s="10" t="s">
        <v>53</v>
      </c>
      <c r="AC16" s="10"/>
      <c r="AD16" s="10" t="s">
        <v>53</v>
      </c>
      <c r="AE16" s="10" t="s">
        <v>53</v>
      </c>
      <c r="AF16" s="10"/>
      <c r="AG16" s="10">
        <v>2</v>
      </c>
      <c r="AH16" s="10"/>
      <c r="AI16" s="10" t="s">
        <v>53</v>
      </c>
      <c r="AJ16" s="10" t="s">
        <v>53</v>
      </c>
      <c r="AK16" s="10"/>
      <c r="AL16" s="2">
        <f t="shared" si="0"/>
        <v>16</v>
      </c>
      <c r="AM16" s="13">
        <f t="shared" si="1"/>
        <v>0.55172413793103448</v>
      </c>
      <c r="AN16" s="2">
        <f t="shared" si="2"/>
        <v>5</v>
      </c>
      <c r="AO16" s="13">
        <f t="shared" si="3"/>
        <v>0.29411764705882354</v>
      </c>
      <c r="AP16" s="14"/>
    </row>
    <row r="17" spans="1:42" ht="15.75" customHeight="1">
      <c r="A17" s="7" t="s">
        <v>191</v>
      </c>
      <c r="B17" s="7" t="s">
        <v>318</v>
      </c>
      <c r="C17" s="7" t="s">
        <v>319</v>
      </c>
      <c r="D17" s="7" t="s">
        <v>320</v>
      </c>
      <c r="E17" s="7" t="s">
        <v>321</v>
      </c>
      <c r="F17" s="7" t="s">
        <v>303</v>
      </c>
      <c r="G17" s="20" t="s">
        <v>323</v>
      </c>
      <c r="H17" s="7" t="s">
        <v>325</v>
      </c>
      <c r="I17" s="7" t="s">
        <v>326</v>
      </c>
      <c r="J17" s="7"/>
      <c r="K17" s="10">
        <v>1</v>
      </c>
      <c r="L17" s="10" t="s">
        <v>53</v>
      </c>
      <c r="M17" s="10"/>
      <c r="N17" s="10" t="s">
        <v>53</v>
      </c>
      <c r="O17" s="22">
        <v>1</v>
      </c>
      <c r="P17" s="10"/>
      <c r="Q17" s="10">
        <v>1</v>
      </c>
      <c r="R17" s="10" t="s">
        <v>53</v>
      </c>
      <c r="S17" s="10"/>
      <c r="T17" s="10">
        <v>3</v>
      </c>
      <c r="U17" s="10" t="s">
        <v>53</v>
      </c>
      <c r="V17" s="10"/>
      <c r="W17" s="10"/>
      <c r="X17" s="10"/>
      <c r="Y17" s="10"/>
      <c r="Z17" s="10"/>
      <c r="AA17" s="10"/>
      <c r="AB17" s="10" t="s">
        <v>53</v>
      </c>
      <c r="AC17" s="10"/>
      <c r="AD17" s="10" t="s">
        <v>53</v>
      </c>
      <c r="AE17" s="10" t="s">
        <v>53</v>
      </c>
      <c r="AF17" s="10"/>
      <c r="AG17" s="10">
        <v>2</v>
      </c>
      <c r="AH17" s="10"/>
      <c r="AI17" s="10"/>
      <c r="AJ17" s="10"/>
      <c r="AK17" s="10"/>
      <c r="AL17" s="2">
        <f t="shared" si="0"/>
        <v>12</v>
      </c>
      <c r="AM17" s="13">
        <f t="shared" si="1"/>
        <v>0.41379310344827586</v>
      </c>
      <c r="AN17" s="2">
        <f t="shared" si="2"/>
        <v>8</v>
      </c>
      <c r="AO17" s="13">
        <f t="shared" si="3"/>
        <v>0.47058823529411764</v>
      </c>
      <c r="AP17" s="14"/>
    </row>
    <row r="18" spans="1:42" ht="15.75" customHeight="1">
      <c r="A18" s="7" t="s">
        <v>198</v>
      </c>
      <c r="B18" s="7" t="s">
        <v>336</v>
      </c>
      <c r="C18" s="7" t="s">
        <v>337</v>
      </c>
      <c r="D18" s="7" t="s">
        <v>338</v>
      </c>
      <c r="E18" s="7" t="s">
        <v>296</v>
      </c>
      <c r="F18" s="7" t="s">
        <v>339</v>
      </c>
      <c r="G18" s="20" t="s">
        <v>340</v>
      </c>
      <c r="H18" s="7" t="s">
        <v>341</v>
      </c>
      <c r="I18" s="7"/>
      <c r="J18" s="7"/>
      <c r="K18" s="10">
        <v>1</v>
      </c>
      <c r="L18" s="10">
        <v>1</v>
      </c>
      <c r="M18" s="10"/>
      <c r="N18" s="10">
        <v>1</v>
      </c>
      <c r="O18" s="22" t="s">
        <v>53</v>
      </c>
      <c r="P18" s="10"/>
      <c r="Q18" s="10" t="s">
        <v>53</v>
      </c>
      <c r="R18" s="10">
        <v>1</v>
      </c>
      <c r="S18" s="10"/>
      <c r="T18" s="10">
        <v>2</v>
      </c>
      <c r="U18" s="10" t="s">
        <v>53</v>
      </c>
      <c r="V18" s="10"/>
      <c r="W18" s="10" t="s">
        <v>53</v>
      </c>
      <c r="X18" s="10" t="s">
        <v>52</v>
      </c>
      <c r="Y18" s="10">
        <v>1</v>
      </c>
      <c r="Z18" s="10" t="s">
        <v>52</v>
      </c>
      <c r="AA18" s="10" t="s">
        <v>53</v>
      </c>
      <c r="AB18" s="10">
        <v>1</v>
      </c>
      <c r="AC18" s="10" t="s">
        <v>52</v>
      </c>
      <c r="AD18" s="10">
        <v>2</v>
      </c>
      <c r="AE18" s="10" t="s">
        <v>53</v>
      </c>
      <c r="AF18" s="10"/>
      <c r="AG18" s="10">
        <v>2</v>
      </c>
      <c r="AH18" s="10" t="s">
        <v>52</v>
      </c>
      <c r="AI18" s="10">
        <v>1</v>
      </c>
      <c r="AJ18" s="10" t="s">
        <v>53</v>
      </c>
      <c r="AK18" s="10"/>
      <c r="AL18" s="2">
        <f t="shared" si="0"/>
        <v>21</v>
      </c>
      <c r="AM18" s="13">
        <f t="shared" si="1"/>
        <v>0.72413793103448276</v>
      </c>
      <c r="AN18" s="2">
        <f t="shared" si="2"/>
        <v>13</v>
      </c>
      <c r="AO18" s="13">
        <f t="shared" si="3"/>
        <v>0.76470588235294112</v>
      </c>
      <c r="AP18" s="14"/>
    </row>
    <row r="19" spans="1:42" ht="15.75" customHeight="1">
      <c r="A19" s="7" t="s">
        <v>213</v>
      </c>
      <c r="B19" s="7" t="s">
        <v>349</v>
      </c>
      <c r="C19" s="7" t="s">
        <v>350</v>
      </c>
      <c r="D19" s="7" t="s">
        <v>351</v>
      </c>
      <c r="E19" s="7" t="s">
        <v>352</v>
      </c>
      <c r="F19" s="7"/>
      <c r="G19" s="20" t="s">
        <v>354</v>
      </c>
      <c r="H19" s="7" t="s">
        <v>356</v>
      </c>
      <c r="I19" s="7" t="s">
        <v>357</v>
      </c>
      <c r="J19" s="7"/>
      <c r="K19" s="10">
        <v>1</v>
      </c>
      <c r="L19" s="10" t="s">
        <v>53</v>
      </c>
      <c r="M19" s="10" t="s">
        <v>52</v>
      </c>
      <c r="N19" s="10">
        <v>1</v>
      </c>
      <c r="O19" s="22" t="s">
        <v>53</v>
      </c>
      <c r="P19" s="10"/>
      <c r="Q19" s="10" t="s">
        <v>53</v>
      </c>
      <c r="R19" s="10" t="s">
        <v>53</v>
      </c>
      <c r="S19" s="10"/>
      <c r="T19" s="10">
        <v>1</v>
      </c>
      <c r="U19" s="10">
        <v>1</v>
      </c>
      <c r="V19" s="10"/>
      <c r="W19" s="10" t="s">
        <v>53</v>
      </c>
      <c r="X19" s="10"/>
      <c r="Y19" s="10" t="s">
        <v>53</v>
      </c>
      <c r="Z19" s="10"/>
      <c r="AA19" s="10" t="s">
        <v>53</v>
      </c>
      <c r="AB19" s="10" t="s">
        <v>53</v>
      </c>
      <c r="AC19" s="10"/>
      <c r="AD19" s="10">
        <v>1</v>
      </c>
      <c r="AE19" s="10" t="s">
        <v>53</v>
      </c>
      <c r="AF19" s="10"/>
      <c r="AG19" s="10">
        <v>2</v>
      </c>
      <c r="AH19" s="10"/>
      <c r="AI19" s="10">
        <v>1</v>
      </c>
      <c r="AJ19" s="10">
        <v>2</v>
      </c>
      <c r="AK19" s="10"/>
      <c r="AL19" s="2">
        <f t="shared" si="0"/>
        <v>18</v>
      </c>
      <c r="AM19" s="13">
        <f t="shared" si="1"/>
        <v>0.62068965517241381</v>
      </c>
      <c r="AN19" s="2">
        <f t="shared" si="2"/>
        <v>10</v>
      </c>
      <c r="AO19" s="13">
        <f t="shared" si="3"/>
        <v>0.58823529411764708</v>
      </c>
      <c r="AP19" s="14"/>
    </row>
    <row r="20" spans="1:42" ht="15.75" customHeight="1">
      <c r="A20" s="19" t="s">
        <v>217</v>
      </c>
      <c r="B20" s="19" t="s">
        <v>362</v>
      </c>
      <c r="C20" s="19" t="s">
        <v>363</v>
      </c>
      <c r="D20" s="7" t="s">
        <v>364</v>
      </c>
      <c r="E20" s="7" t="s">
        <v>365</v>
      </c>
      <c r="F20" s="7" t="s">
        <v>366</v>
      </c>
      <c r="G20" s="20" t="s">
        <v>367</v>
      </c>
      <c r="H20" s="7" t="s">
        <v>368</v>
      </c>
      <c r="I20" s="7" t="s">
        <v>369</v>
      </c>
      <c r="K20" s="10"/>
      <c r="L20" s="10" t="s">
        <v>53</v>
      </c>
      <c r="M20" s="10" t="s">
        <v>52</v>
      </c>
      <c r="N20" s="10">
        <v>2</v>
      </c>
      <c r="O20" s="22"/>
      <c r="P20" s="10"/>
      <c r="Q20" s="10" t="s">
        <v>53</v>
      </c>
      <c r="R20" s="10" t="s">
        <v>53</v>
      </c>
      <c r="S20" s="10" t="s">
        <v>52</v>
      </c>
      <c r="T20" s="10" t="s">
        <v>53</v>
      </c>
      <c r="U20" s="10" t="s">
        <v>53</v>
      </c>
      <c r="V20" s="10" t="s">
        <v>52</v>
      </c>
      <c r="W20" s="2">
        <v>2</v>
      </c>
      <c r="X20" s="10" t="s">
        <v>52</v>
      </c>
      <c r="Y20" s="10"/>
      <c r="Z20" s="10" t="s">
        <v>52</v>
      </c>
      <c r="AA20" s="10" t="s">
        <v>53</v>
      </c>
      <c r="AB20" s="10" t="s">
        <v>53</v>
      </c>
      <c r="AC20" s="10" t="s">
        <v>52</v>
      </c>
      <c r="AD20" s="10"/>
      <c r="AE20" s="10"/>
      <c r="AF20" s="10" t="s">
        <v>52</v>
      </c>
      <c r="AG20" s="10">
        <v>2</v>
      </c>
      <c r="AH20" s="10" t="s">
        <v>52</v>
      </c>
      <c r="AI20" s="10"/>
      <c r="AJ20" s="10">
        <v>1</v>
      </c>
      <c r="AK20" s="10"/>
      <c r="AL20" s="2">
        <f t="shared" si="0"/>
        <v>19</v>
      </c>
      <c r="AM20" s="13">
        <f t="shared" si="1"/>
        <v>0.65517241379310343</v>
      </c>
      <c r="AN20" s="2">
        <f t="shared" si="2"/>
        <v>7</v>
      </c>
      <c r="AO20" s="13">
        <f t="shared" si="3"/>
        <v>0.41176470588235292</v>
      </c>
      <c r="AP20" s="14" t="s">
        <v>277</v>
      </c>
    </row>
    <row r="21" spans="1:42" ht="15.75" customHeight="1">
      <c r="A21" s="7" t="s">
        <v>231</v>
      </c>
      <c r="B21" s="7" t="s">
        <v>372</v>
      </c>
      <c r="C21" s="7" t="s">
        <v>373</v>
      </c>
      <c r="D21" s="7" t="s">
        <v>374</v>
      </c>
      <c r="E21" s="7" t="s">
        <v>375</v>
      </c>
      <c r="F21" s="7" t="s">
        <v>309</v>
      </c>
      <c r="G21" s="20" t="s">
        <v>376</v>
      </c>
      <c r="H21" s="7" t="s">
        <v>377</v>
      </c>
      <c r="I21" s="7" t="s">
        <v>378</v>
      </c>
      <c r="J21" s="7"/>
      <c r="K21" s="10"/>
      <c r="L21" s="10" t="s">
        <v>53</v>
      </c>
      <c r="M21" s="10"/>
      <c r="N21" s="10" t="s">
        <v>53</v>
      </c>
      <c r="O21" s="10" t="s">
        <v>53</v>
      </c>
      <c r="P21" s="10"/>
      <c r="Q21" s="10"/>
      <c r="R21" s="10" t="s">
        <v>53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2">
        <f t="shared" si="0"/>
        <v>4</v>
      </c>
      <c r="AM21" s="13">
        <f t="shared" si="1"/>
        <v>0.13793103448275862</v>
      </c>
      <c r="AN21" s="2">
        <f t="shared" si="2"/>
        <v>0</v>
      </c>
      <c r="AO21" s="13">
        <f t="shared" si="3"/>
        <v>0</v>
      </c>
      <c r="AP21" s="14"/>
    </row>
    <row r="22" spans="1:42" ht="15.75" customHeight="1">
      <c r="A22" s="7" t="s">
        <v>238</v>
      </c>
      <c r="B22" s="7" t="s">
        <v>380</v>
      </c>
      <c r="C22" s="7" t="s">
        <v>381</v>
      </c>
      <c r="D22" s="7" t="s">
        <v>382</v>
      </c>
      <c r="E22" s="7" t="s">
        <v>383</v>
      </c>
      <c r="F22" s="7"/>
      <c r="G22" s="20" t="s">
        <v>384</v>
      </c>
      <c r="H22" s="7" t="s">
        <v>385</v>
      </c>
      <c r="I22" s="7" t="s">
        <v>386</v>
      </c>
      <c r="J22" s="7"/>
      <c r="K22" s="10">
        <v>1</v>
      </c>
      <c r="L22" s="10">
        <v>1</v>
      </c>
      <c r="M22" s="10"/>
      <c r="N22" s="10" t="s">
        <v>53</v>
      </c>
      <c r="O22" s="10" t="s">
        <v>53</v>
      </c>
      <c r="P22" s="10"/>
      <c r="Q22" s="10" t="s">
        <v>53</v>
      </c>
      <c r="R22" s="10">
        <v>2</v>
      </c>
      <c r="S22" s="10"/>
      <c r="T22" s="10" t="s">
        <v>53</v>
      </c>
      <c r="U22" s="10" t="s">
        <v>53</v>
      </c>
      <c r="V22" s="10"/>
      <c r="W22" s="10"/>
      <c r="X22" s="10"/>
      <c r="Y22" s="10" t="s">
        <v>53</v>
      </c>
      <c r="Z22" s="10"/>
      <c r="AA22" s="10"/>
      <c r="AB22" s="10"/>
      <c r="AC22" s="10"/>
      <c r="AD22" s="10"/>
      <c r="AE22" s="10" t="s">
        <v>53</v>
      </c>
      <c r="AF22" s="10"/>
      <c r="AG22" s="10"/>
      <c r="AH22" s="10"/>
      <c r="AI22" s="10"/>
      <c r="AJ22" s="10"/>
      <c r="AK22" s="10"/>
      <c r="AL22" s="2">
        <f t="shared" si="0"/>
        <v>10</v>
      </c>
      <c r="AM22" s="13">
        <f t="shared" si="1"/>
        <v>0.34482758620689657</v>
      </c>
      <c r="AN22" s="2">
        <f t="shared" si="2"/>
        <v>4</v>
      </c>
      <c r="AO22" s="13">
        <f t="shared" si="3"/>
        <v>0.23529411764705882</v>
      </c>
      <c r="AP22" s="14"/>
    </row>
    <row r="23" spans="1:42" ht="15.75" customHeight="1">
      <c r="A23" s="19" t="s">
        <v>248</v>
      </c>
      <c r="B23" s="19" t="s">
        <v>387</v>
      </c>
      <c r="C23" s="19" t="s">
        <v>388</v>
      </c>
      <c r="D23" s="7" t="s">
        <v>389</v>
      </c>
      <c r="E23" s="7" t="s">
        <v>390</v>
      </c>
      <c r="F23" s="7" t="s">
        <v>391</v>
      </c>
      <c r="G23" s="20" t="s">
        <v>392</v>
      </c>
      <c r="H23" s="7" t="s">
        <v>393</v>
      </c>
      <c r="I23" s="7" t="s">
        <v>394</v>
      </c>
      <c r="K23" s="10">
        <v>1</v>
      </c>
      <c r="L23" s="10" t="s">
        <v>53</v>
      </c>
      <c r="M23" s="10" t="s">
        <v>52</v>
      </c>
      <c r="N23" s="10" t="s">
        <v>53</v>
      </c>
      <c r="O23" s="22" t="s">
        <v>53</v>
      </c>
      <c r="P23" s="10" t="s">
        <v>52</v>
      </c>
      <c r="Q23" s="10" t="s">
        <v>53</v>
      </c>
      <c r="R23" s="10" t="s">
        <v>53</v>
      </c>
      <c r="S23" s="10" t="s">
        <v>52</v>
      </c>
      <c r="T23" s="10" t="s">
        <v>53</v>
      </c>
      <c r="U23" s="10" t="s">
        <v>53</v>
      </c>
      <c r="V23" s="10" t="s">
        <v>52</v>
      </c>
      <c r="W23" s="10" t="s">
        <v>53</v>
      </c>
      <c r="X23" s="10" t="s">
        <v>52</v>
      </c>
      <c r="Y23" s="10" t="s">
        <v>53</v>
      </c>
      <c r="Z23" s="10" t="s">
        <v>52</v>
      </c>
      <c r="AA23" s="10" t="s">
        <v>53</v>
      </c>
      <c r="AB23" s="10" t="s">
        <v>53</v>
      </c>
      <c r="AC23" s="10" t="s">
        <v>52</v>
      </c>
      <c r="AD23" s="10" t="s">
        <v>53</v>
      </c>
      <c r="AE23" s="10" t="s">
        <v>53</v>
      </c>
      <c r="AF23" s="10" t="s">
        <v>52</v>
      </c>
      <c r="AG23" s="10">
        <v>2</v>
      </c>
      <c r="AH23" s="10" t="s">
        <v>52</v>
      </c>
      <c r="AI23" s="10" t="s">
        <v>53</v>
      </c>
      <c r="AJ23" s="10">
        <v>1</v>
      </c>
      <c r="AK23" s="10" t="s">
        <v>52</v>
      </c>
      <c r="AL23" s="2">
        <f t="shared" si="0"/>
        <v>27</v>
      </c>
      <c r="AM23" s="13">
        <f t="shared" si="1"/>
        <v>0.93103448275862066</v>
      </c>
      <c r="AN23" s="2">
        <f t="shared" si="2"/>
        <v>4</v>
      </c>
      <c r="AO23" s="13">
        <f t="shared" si="3"/>
        <v>0.23529411764705882</v>
      </c>
      <c r="AP23" s="14" t="s">
        <v>277</v>
      </c>
    </row>
    <row r="24" spans="1:42" ht="15.75" customHeight="1">
      <c r="A24" s="7" t="s">
        <v>262</v>
      </c>
      <c r="B24" s="7" t="s">
        <v>395</v>
      </c>
      <c r="C24" s="7" t="s">
        <v>396</v>
      </c>
      <c r="D24" s="7" t="s">
        <v>397</v>
      </c>
      <c r="E24" s="7" t="s">
        <v>220</v>
      </c>
      <c r="F24" s="7" t="s">
        <v>398</v>
      </c>
      <c r="G24" s="11" t="s">
        <v>399</v>
      </c>
      <c r="H24" s="7" t="s">
        <v>400</v>
      </c>
      <c r="I24" s="7" t="s">
        <v>401</v>
      </c>
      <c r="J24" s="7"/>
      <c r="K24" s="21"/>
      <c r="L24" s="10" t="s">
        <v>53</v>
      </c>
      <c r="M24" s="10"/>
      <c r="N24" s="10" t="s">
        <v>53</v>
      </c>
      <c r="O24" s="15" t="s">
        <v>53</v>
      </c>
      <c r="P24" s="10"/>
      <c r="Q24" s="21">
        <v>1</v>
      </c>
      <c r="R24" s="10">
        <v>1</v>
      </c>
      <c r="S24" s="10"/>
      <c r="T24" s="21"/>
      <c r="U24" s="10">
        <v>1</v>
      </c>
      <c r="V24" s="10"/>
      <c r="W24" s="21"/>
      <c r="X24" s="10"/>
      <c r="Y24" s="10"/>
      <c r="Z24" s="10"/>
      <c r="AA24" s="21"/>
      <c r="AB24" s="10"/>
      <c r="AC24" s="10"/>
      <c r="AD24" s="21"/>
      <c r="AE24" s="10"/>
      <c r="AF24" s="10"/>
      <c r="AG24" s="21"/>
      <c r="AH24" s="10"/>
      <c r="AI24" s="21"/>
      <c r="AJ24" s="10"/>
      <c r="AK24" s="10"/>
      <c r="AL24" s="2">
        <f t="shared" si="0"/>
        <v>6</v>
      </c>
      <c r="AM24" s="13">
        <f t="shared" si="1"/>
        <v>0.20689655172413793</v>
      </c>
      <c r="AN24" s="2">
        <f t="shared" si="2"/>
        <v>3</v>
      </c>
      <c r="AO24" s="13">
        <f t="shared" si="3"/>
        <v>0.17647058823529413</v>
      </c>
      <c r="AP24" s="14"/>
    </row>
    <row r="25" spans="1:42" ht="15.75" customHeight="1">
      <c r="A25" s="7" t="s">
        <v>270</v>
      </c>
      <c r="B25" s="7" t="s">
        <v>402</v>
      </c>
      <c r="C25" s="7" t="s">
        <v>403</v>
      </c>
      <c r="D25" s="7" t="s">
        <v>404</v>
      </c>
      <c r="E25" s="7" t="s">
        <v>405</v>
      </c>
      <c r="F25" s="7" t="s">
        <v>113</v>
      </c>
      <c r="G25" s="11" t="s">
        <v>406</v>
      </c>
      <c r="H25" s="7" t="s">
        <v>407</v>
      </c>
      <c r="I25" s="7"/>
      <c r="J25" s="7"/>
      <c r="K25" s="10">
        <v>1</v>
      </c>
      <c r="L25" s="10">
        <v>1</v>
      </c>
      <c r="M25" s="10" t="s">
        <v>52</v>
      </c>
      <c r="N25" s="10" t="s">
        <v>53</v>
      </c>
      <c r="O25" s="12" t="s">
        <v>53</v>
      </c>
      <c r="P25" s="10" t="s">
        <v>52</v>
      </c>
      <c r="Q25" s="10" t="s">
        <v>53</v>
      </c>
      <c r="R25" s="10">
        <v>1</v>
      </c>
      <c r="S25" s="10" t="s">
        <v>52</v>
      </c>
      <c r="T25" s="10">
        <v>1</v>
      </c>
      <c r="U25" s="10" t="s">
        <v>53</v>
      </c>
      <c r="V25" s="10" t="s">
        <v>52</v>
      </c>
      <c r="W25" s="10" t="s">
        <v>53</v>
      </c>
      <c r="X25" s="10" t="s">
        <v>52</v>
      </c>
      <c r="Y25" s="10" t="s">
        <v>53</v>
      </c>
      <c r="Z25" s="10" t="s">
        <v>52</v>
      </c>
      <c r="AA25" s="10" t="s">
        <v>53</v>
      </c>
      <c r="AB25" s="10" t="s">
        <v>53</v>
      </c>
      <c r="AC25" s="10" t="s">
        <v>52</v>
      </c>
      <c r="AD25" s="10" t="s">
        <v>53</v>
      </c>
      <c r="AE25" s="10">
        <v>3</v>
      </c>
      <c r="AF25" s="10" t="s">
        <v>52</v>
      </c>
      <c r="AG25" s="10">
        <v>2</v>
      </c>
      <c r="AH25" s="10" t="s">
        <v>52</v>
      </c>
      <c r="AI25" s="10">
        <v>1</v>
      </c>
      <c r="AJ25" s="10" t="s">
        <v>408</v>
      </c>
      <c r="AK25" s="10" t="s">
        <v>52</v>
      </c>
      <c r="AL25" s="2">
        <f t="shared" si="0"/>
        <v>27</v>
      </c>
      <c r="AM25" s="13">
        <f t="shared" si="1"/>
        <v>0.93103448275862066</v>
      </c>
      <c r="AN25" s="2">
        <f t="shared" si="2"/>
        <v>10</v>
      </c>
      <c r="AO25" s="13">
        <f t="shared" si="3"/>
        <v>0.58823529411764708</v>
      </c>
      <c r="AP25" s="14"/>
    </row>
    <row r="26" spans="1:42" ht="15.75" customHeight="1">
      <c r="A26" s="7" t="s">
        <v>281</v>
      </c>
      <c r="B26" s="7" t="s">
        <v>409</v>
      </c>
      <c r="C26" s="7" t="s">
        <v>410</v>
      </c>
      <c r="D26" s="7" t="s">
        <v>411</v>
      </c>
      <c r="E26" s="7" t="s">
        <v>47</v>
      </c>
      <c r="F26" s="7" t="s">
        <v>193</v>
      </c>
      <c r="G26" s="11" t="s">
        <v>412</v>
      </c>
      <c r="H26" s="7" t="s">
        <v>413</v>
      </c>
      <c r="I26" s="7" t="s">
        <v>414</v>
      </c>
      <c r="J26" s="7"/>
      <c r="K26" s="10"/>
      <c r="L26" s="10" t="s">
        <v>53</v>
      </c>
      <c r="M26" s="10"/>
      <c r="N26" s="10" t="s">
        <v>53</v>
      </c>
      <c r="O26" s="15" t="s">
        <v>53</v>
      </c>
      <c r="P26" s="10"/>
      <c r="Q26" s="10" t="s">
        <v>53</v>
      </c>
      <c r="R26" s="10"/>
      <c r="S26" s="10"/>
      <c r="T26" s="10" t="s">
        <v>53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2">
        <f t="shared" si="0"/>
        <v>5</v>
      </c>
      <c r="AM26" s="13">
        <f t="shared" si="1"/>
        <v>0.17241379310344829</v>
      </c>
      <c r="AN26" s="2">
        <f t="shared" si="2"/>
        <v>0</v>
      </c>
      <c r="AO26" s="13">
        <f t="shared" si="3"/>
        <v>0</v>
      </c>
      <c r="AP26" s="14"/>
    </row>
    <row r="27" spans="1:42" ht="15.75" customHeight="1">
      <c r="A27" s="7" t="s">
        <v>293</v>
      </c>
      <c r="B27" s="7" t="s">
        <v>415</v>
      </c>
      <c r="C27" s="7" t="s">
        <v>416</v>
      </c>
      <c r="D27" s="7" t="s">
        <v>417</v>
      </c>
      <c r="E27" s="7" t="s">
        <v>418</v>
      </c>
      <c r="F27" s="7"/>
      <c r="G27" s="11" t="s">
        <v>419</v>
      </c>
      <c r="H27" s="7" t="s">
        <v>420</v>
      </c>
      <c r="I27" s="7" t="s">
        <v>421</v>
      </c>
      <c r="J27" s="7"/>
      <c r="K27" s="10">
        <v>1</v>
      </c>
      <c r="L27" s="10" t="s">
        <v>53</v>
      </c>
      <c r="M27" s="10"/>
      <c r="N27" s="10" t="s">
        <v>408</v>
      </c>
      <c r="O27" s="12">
        <v>1</v>
      </c>
      <c r="P27" s="10"/>
      <c r="Q27" s="10" t="s">
        <v>53</v>
      </c>
      <c r="R27" s="10"/>
      <c r="S27" s="10" t="s">
        <v>52</v>
      </c>
      <c r="T27" s="10">
        <v>5</v>
      </c>
      <c r="U27" s="10" t="s">
        <v>53</v>
      </c>
      <c r="V27" s="10" t="s">
        <v>52</v>
      </c>
      <c r="W27" s="10" t="s">
        <v>53</v>
      </c>
      <c r="X27" s="10" t="s">
        <v>52</v>
      </c>
      <c r="Y27" s="10" t="s">
        <v>53</v>
      </c>
      <c r="Z27" s="10" t="s">
        <v>52</v>
      </c>
      <c r="AA27" s="16" t="s">
        <v>294</v>
      </c>
      <c r="AB27" s="10" t="s">
        <v>53</v>
      </c>
      <c r="AC27" s="10"/>
      <c r="AD27" s="10" t="s">
        <v>53</v>
      </c>
      <c r="AE27" s="10">
        <v>2</v>
      </c>
      <c r="AF27" s="10"/>
      <c r="AG27" s="10">
        <v>2</v>
      </c>
      <c r="AH27" s="10"/>
      <c r="AI27" s="10"/>
      <c r="AJ27" s="10"/>
      <c r="AK27" s="10"/>
      <c r="AL27" s="2">
        <f t="shared" si="0"/>
        <v>18</v>
      </c>
      <c r="AM27" s="13">
        <f t="shared" si="1"/>
        <v>0.62068965517241381</v>
      </c>
      <c r="AN27" s="2">
        <f t="shared" si="2"/>
        <v>11</v>
      </c>
      <c r="AO27" s="13">
        <f t="shared" si="3"/>
        <v>0.6470588235294118</v>
      </c>
      <c r="AP27" s="14"/>
    </row>
    <row r="28" spans="1:42" ht="15.75" customHeight="1">
      <c r="A28" s="7" t="s">
        <v>304</v>
      </c>
      <c r="B28" s="7" t="s">
        <v>422</v>
      </c>
      <c r="C28" s="7" t="s">
        <v>423</v>
      </c>
      <c r="D28" s="7" t="s">
        <v>424</v>
      </c>
      <c r="E28" s="7" t="s">
        <v>425</v>
      </c>
      <c r="F28" s="7" t="s">
        <v>426</v>
      </c>
      <c r="G28" s="11" t="s">
        <v>427</v>
      </c>
      <c r="H28" s="7" t="s">
        <v>428</v>
      </c>
      <c r="I28" s="7" t="s">
        <v>429</v>
      </c>
      <c r="J28" s="7"/>
      <c r="K28" s="10">
        <v>1</v>
      </c>
      <c r="L28" s="10">
        <v>2</v>
      </c>
      <c r="M28" s="10" t="s">
        <v>52</v>
      </c>
      <c r="N28" s="10" t="s">
        <v>53</v>
      </c>
      <c r="O28" s="15">
        <v>1</v>
      </c>
      <c r="P28" s="10" t="s">
        <v>52</v>
      </c>
      <c r="Q28" s="10">
        <v>1</v>
      </c>
      <c r="R28" s="10">
        <v>2</v>
      </c>
      <c r="S28" s="10"/>
      <c r="T28" s="10">
        <v>2</v>
      </c>
      <c r="U28" s="10" t="s">
        <v>53</v>
      </c>
      <c r="V28" s="10"/>
      <c r="W28" s="10" t="s">
        <v>53</v>
      </c>
      <c r="X28" s="10"/>
      <c r="Y28" s="10" t="s">
        <v>53</v>
      </c>
      <c r="Z28" s="10"/>
      <c r="AA28" s="10">
        <v>2</v>
      </c>
      <c r="AB28" s="10" t="s">
        <v>53</v>
      </c>
      <c r="AC28" s="10"/>
      <c r="AD28" s="10" t="s">
        <v>53</v>
      </c>
      <c r="AE28" s="10" t="s">
        <v>53</v>
      </c>
      <c r="AF28" s="10" t="s">
        <v>52</v>
      </c>
      <c r="AG28" s="10">
        <v>4</v>
      </c>
      <c r="AH28" s="10" t="s">
        <v>52</v>
      </c>
      <c r="AI28" s="10" t="s">
        <v>53</v>
      </c>
      <c r="AJ28" s="10" t="s">
        <v>53</v>
      </c>
      <c r="AK28" s="10"/>
      <c r="AL28" s="2">
        <f t="shared" si="0"/>
        <v>21</v>
      </c>
      <c r="AM28" s="13">
        <f t="shared" si="1"/>
        <v>0.72413793103448276</v>
      </c>
      <c r="AN28" s="2">
        <f t="shared" si="2"/>
        <v>15</v>
      </c>
      <c r="AO28" s="13">
        <f t="shared" si="3"/>
        <v>0.88235294117647056</v>
      </c>
      <c r="AP28" s="14"/>
    </row>
    <row r="29" spans="1:42" ht="15.75" customHeight="1">
      <c r="A29" s="7" t="s">
        <v>315</v>
      </c>
      <c r="B29" s="7" t="s">
        <v>430</v>
      </c>
      <c r="C29" s="7" t="s">
        <v>431</v>
      </c>
      <c r="D29" s="7" t="s">
        <v>432</v>
      </c>
      <c r="E29" s="7" t="s">
        <v>433</v>
      </c>
      <c r="F29" s="7" t="s">
        <v>434</v>
      </c>
      <c r="G29" s="11" t="s">
        <v>435</v>
      </c>
      <c r="H29" s="7" t="s">
        <v>436</v>
      </c>
      <c r="I29" s="7" t="s">
        <v>437</v>
      </c>
      <c r="J29" s="7"/>
      <c r="K29" s="10"/>
      <c r="L29" s="10"/>
      <c r="M29" s="10"/>
      <c r="N29" s="10" t="s">
        <v>53</v>
      </c>
      <c r="O29" s="12" t="s">
        <v>53</v>
      </c>
      <c r="P29" s="10" t="s">
        <v>52</v>
      </c>
      <c r="Q29" s="10" t="s">
        <v>53</v>
      </c>
      <c r="R29" s="10" t="s">
        <v>53</v>
      </c>
      <c r="S29" s="10"/>
      <c r="T29" s="10"/>
      <c r="U29" s="10" t="s">
        <v>408</v>
      </c>
      <c r="V29" s="10"/>
      <c r="W29" s="10" t="s">
        <v>53</v>
      </c>
      <c r="X29" s="10" t="s">
        <v>52</v>
      </c>
      <c r="Y29" s="10" t="s">
        <v>53</v>
      </c>
      <c r="Z29" s="10" t="s">
        <v>52</v>
      </c>
      <c r="AA29" s="10"/>
      <c r="AB29" s="10">
        <v>1</v>
      </c>
      <c r="AC29" s="10"/>
      <c r="AD29" s="10" t="s">
        <v>53</v>
      </c>
      <c r="AE29" s="10"/>
      <c r="AF29" s="10"/>
      <c r="AG29" s="10">
        <v>2</v>
      </c>
      <c r="AH29" s="10" t="s">
        <v>52</v>
      </c>
      <c r="AI29" s="10" t="s">
        <v>53</v>
      </c>
      <c r="AJ29" s="10" t="s">
        <v>408</v>
      </c>
      <c r="AK29" s="10"/>
      <c r="AL29" s="2">
        <f t="shared" si="0"/>
        <v>16</v>
      </c>
      <c r="AM29" s="13">
        <f t="shared" si="1"/>
        <v>0.55172413793103448</v>
      </c>
      <c r="AN29" s="2">
        <f t="shared" si="2"/>
        <v>3</v>
      </c>
      <c r="AO29" s="13">
        <f t="shared" si="3"/>
        <v>0.17647058823529413</v>
      </c>
      <c r="AP29" s="14"/>
    </row>
    <row r="30" spans="1:42" ht="15.75" customHeight="1">
      <c r="A30" s="7" t="s">
        <v>322</v>
      </c>
      <c r="B30" s="7" t="s">
        <v>438</v>
      </c>
      <c r="C30" s="7" t="s">
        <v>439</v>
      </c>
      <c r="D30" s="7" t="s">
        <v>440</v>
      </c>
      <c r="E30" s="7" t="s">
        <v>282</v>
      </c>
      <c r="F30" s="7" t="s">
        <v>39</v>
      </c>
      <c r="G30" s="11" t="s">
        <v>441</v>
      </c>
      <c r="H30" s="7" t="s">
        <v>442</v>
      </c>
      <c r="I30" s="7" t="s">
        <v>443</v>
      </c>
      <c r="J30" s="7"/>
      <c r="K30" s="10">
        <v>2</v>
      </c>
      <c r="L30" s="10">
        <v>1</v>
      </c>
      <c r="M30" s="10" t="s">
        <v>52</v>
      </c>
      <c r="N30" s="10">
        <v>3</v>
      </c>
      <c r="O30" s="10">
        <v>2</v>
      </c>
      <c r="P30" s="10" t="s">
        <v>52</v>
      </c>
      <c r="Q30" s="10" t="s">
        <v>53</v>
      </c>
      <c r="R30" s="10">
        <v>3.5</v>
      </c>
      <c r="S30" s="10"/>
      <c r="T30" s="10" t="s">
        <v>408</v>
      </c>
      <c r="U30" s="10">
        <v>3</v>
      </c>
      <c r="V30" s="10"/>
      <c r="W30" s="10" t="s">
        <v>53</v>
      </c>
      <c r="X30" s="10"/>
      <c r="Y30" s="10">
        <v>2</v>
      </c>
      <c r="Z30" s="10"/>
      <c r="AA30" s="10" t="s">
        <v>53</v>
      </c>
      <c r="AB30" s="10" t="s">
        <v>53</v>
      </c>
      <c r="AC30" s="10"/>
      <c r="AD30" s="10">
        <v>1</v>
      </c>
      <c r="AE30" s="10" t="s">
        <v>53</v>
      </c>
      <c r="AF30" s="10"/>
      <c r="AG30" s="10">
        <v>2</v>
      </c>
      <c r="AH30" s="10"/>
      <c r="AI30" s="10" t="s">
        <v>53</v>
      </c>
      <c r="AJ30" s="10" t="s">
        <v>408</v>
      </c>
      <c r="AK30" s="10"/>
      <c r="AL30" s="2">
        <f t="shared" si="0"/>
        <v>19</v>
      </c>
      <c r="AM30" s="13">
        <f t="shared" si="1"/>
        <v>0.65517241379310343</v>
      </c>
      <c r="AN30" s="2">
        <f t="shared" si="2"/>
        <v>19.5</v>
      </c>
      <c r="AO30" s="13">
        <f t="shared" si="3"/>
        <v>1.1470588235294117</v>
      </c>
      <c r="AP30" s="14"/>
    </row>
    <row r="31" spans="1:42" ht="15.75" customHeight="1">
      <c r="A31" s="7" t="s">
        <v>331</v>
      </c>
      <c r="B31" s="7" t="s">
        <v>444</v>
      </c>
      <c r="C31" s="7" t="s">
        <v>445</v>
      </c>
      <c r="D31" s="7" t="s">
        <v>446</v>
      </c>
      <c r="E31" s="7" t="s">
        <v>291</v>
      </c>
      <c r="F31" s="7" t="s">
        <v>418</v>
      </c>
      <c r="G31" s="11" t="s">
        <v>447</v>
      </c>
      <c r="H31" s="7" t="s">
        <v>448</v>
      </c>
      <c r="I31" s="7" t="s">
        <v>449</v>
      </c>
      <c r="J31" s="7"/>
      <c r="K31" s="10"/>
      <c r="L31" s="10" t="s">
        <v>53</v>
      </c>
      <c r="M31" s="10"/>
      <c r="N31" s="10" t="s">
        <v>53</v>
      </c>
      <c r="O31" s="12" t="s">
        <v>53</v>
      </c>
      <c r="P31" s="10" t="s">
        <v>52</v>
      </c>
      <c r="Q31" s="10" t="s">
        <v>53</v>
      </c>
      <c r="R31" s="10" t="s">
        <v>408</v>
      </c>
      <c r="S31" s="10" t="s">
        <v>52</v>
      </c>
      <c r="T31" s="10">
        <v>1</v>
      </c>
      <c r="U31" s="10" t="s">
        <v>53</v>
      </c>
      <c r="V31" s="10"/>
      <c r="W31" s="10" t="s">
        <v>408</v>
      </c>
      <c r="X31" s="10"/>
      <c r="Y31" s="10" t="s">
        <v>53</v>
      </c>
      <c r="Z31" s="10"/>
      <c r="AA31" s="10" t="s">
        <v>53</v>
      </c>
      <c r="AB31" s="10">
        <v>2</v>
      </c>
      <c r="AC31" s="10" t="s">
        <v>52</v>
      </c>
      <c r="AD31" s="10" t="s">
        <v>53</v>
      </c>
      <c r="AE31" s="10" t="s">
        <v>53</v>
      </c>
      <c r="AF31" s="10" t="s">
        <v>52</v>
      </c>
      <c r="AG31" s="10">
        <v>2</v>
      </c>
      <c r="AH31" s="10" t="s">
        <v>52</v>
      </c>
      <c r="AI31" s="10" t="s">
        <v>53</v>
      </c>
      <c r="AJ31" s="10">
        <v>2</v>
      </c>
      <c r="AK31" s="10" t="s">
        <v>52</v>
      </c>
      <c r="AL31" s="2">
        <f t="shared" si="0"/>
        <v>22</v>
      </c>
      <c r="AM31" s="13">
        <f t="shared" si="1"/>
        <v>0.75862068965517238</v>
      </c>
      <c r="AN31" s="2">
        <f t="shared" si="2"/>
        <v>7</v>
      </c>
      <c r="AO31" s="13">
        <f t="shared" si="3"/>
        <v>0.41176470588235292</v>
      </c>
      <c r="AP31" s="14"/>
    </row>
    <row r="32" spans="1:42" ht="15.75" customHeight="1">
      <c r="A32" s="7" t="s">
        <v>345</v>
      </c>
      <c r="B32" s="7" t="s">
        <v>450</v>
      </c>
      <c r="C32" s="7" t="s">
        <v>451</v>
      </c>
      <c r="D32" s="7" t="s">
        <v>452</v>
      </c>
      <c r="E32" s="7" t="s">
        <v>453</v>
      </c>
      <c r="F32" s="7" t="s">
        <v>291</v>
      </c>
      <c r="G32" s="11" t="s">
        <v>454</v>
      </c>
      <c r="H32" s="7" t="s">
        <v>455</v>
      </c>
      <c r="I32" s="7" t="s">
        <v>456</v>
      </c>
      <c r="J32" s="7"/>
      <c r="K32" s="10"/>
      <c r="L32" s="10" t="s">
        <v>53</v>
      </c>
      <c r="M32" s="10"/>
      <c r="N32" s="10" t="s">
        <v>53</v>
      </c>
      <c r="O32" s="31" t="s">
        <v>53</v>
      </c>
      <c r="P32" s="10"/>
      <c r="Q32" s="10" t="s">
        <v>53</v>
      </c>
      <c r="R32" s="10" t="s">
        <v>53</v>
      </c>
      <c r="S32" s="10"/>
      <c r="T32" s="10" t="s">
        <v>53</v>
      </c>
      <c r="U32" s="10" t="s">
        <v>53</v>
      </c>
      <c r="V32" s="10"/>
      <c r="W32" s="10" t="s">
        <v>53</v>
      </c>
      <c r="X32" s="10"/>
      <c r="Y32" s="10" t="s">
        <v>53</v>
      </c>
      <c r="Z32" s="10"/>
      <c r="AA32" s="10" t="s">
        <v>53</v>
      </c>
      <c r="AB32" s="10" t="s">
        <v>53</v>
      </c>
      <c r="AC32" s="10"/>
      <c r="AD32" s="10" t="s">
        <v>53</v>
      </c>
      <c r="AE32" s="10">
        <v>3</v>
      </c>
      <c r="AF32" s="10"/>
      <c r="AG32" s="10">
        <v>2</v>
      </c>
      <c r="AH32" s="10"/>
      <c r="AI32" s="10" t="s">
        <v>53</v>
      </c>
      <c r="AJ32" s="10">
        <v>1</v>
      </c>
      <c r="AK32" s="10"/>
      <c r="AL32" s="2">
        <f t="shared" si="0"/>
        <v>16</v>
      </c>
      <c r="AM32" s="32">
        <f t="shared" si="1"/>
        <v>0.55172413793103448</v>
      </c>
      <c r="AN32" s="33">
        <f t="shared" si="2"/>
        <v>6</v>
      </c>
      <c r="AO32" s="32">
        <f t="shared" si="3"/>
        <v>0.35294117647058826</v>
      </c>
      <c r="AP32" s="14"/>
    </row>
    <row r="33" spans="1:42" ht="15.75" customHeight="1">
      <c r="A33" s="7"/>
      <c r="B33" s="7"/>
      <c r="C33" s="7"/>
      <c r="D33" s="24"/>
      <c r="E33" s="24"/>
      <c r="F33" s="25" t="s">
        <v>359</v>
      </c>
      <c r="G33" s="24"/>
      <c r="H33" s="24"/>
      <c r="I33" s="24"/>
      <c r="J33" s="24"/>
      <c r="K33" s="24"/>
      <c r="L33" s="26">
        <f t="shared" ref="L33:AK33" si="4">COUNTA(L3:L32)</f>
        <v>28</v>
      </c>
      <c r="M33" s="26">
        <f t="shared" si="4"/>
        <v>11</v>
      </c>
      <c r="N33" s="26">
        <f t="shared" si="4"/>
        <v>29</v>
      </c>
      <c r="O33" s="26">
        <f t="shared" si="4"/>
        <v>27</v>
      </c>
      <c r="P33" s="26">
        <f t="shared" si="4"/>
        <v>8</v>
      </c>
      <c r="Q33" s="26">
        <f t="shared" si="4"/>
        <v>26</v>
      </c>
      <c r="R33" s="26">
        <f t="shared" si="4"/>
        <v>25</v>
      </c>
      <c r="S33" s="26">
        <f t="shared" si="4"/>
        <v>9</v>
      </c>
      <c r="T33" s="26">
        <f t="shared" si="4"/>
        <v>26</v>
      </c>
      <c r="U33" s="26">
        <f t="shared" si="4"/>
        <v>26</v>
      </c>
      <c r="V33" s="26">
        <f t="shared" si="4"/>
        <v>8</v>
      </c>
      <c r="W33" s="26">
        <f t="shared" si="4"/>
        <v>22</v>
      </c>
      <c r="X33" s="26">
        <f t="shared" si="4"/>
        <v>9</v>
      </c>
      <c r="Y33" s="26">
        <f t="shared" si="4"/>
        <v>22</v>
      </c>
      <c r="Z33" s="26">
        <f t="shared" si="4"/>
        <v>9</v>
      </c>
      <c r="AA33" s="26">
        <f t="shared" si="4"/>
        <v>19</v>
      </c>
      <c r="AB33" s="26">
        <f t="shared" si="4"/>
        <v>23</v>
      </c>
      <c r="AC33" s="26">
        <f t="shared" si="4"/>
        <v>6</v>
      </c>
      <c r="AD33" s="26">
        <f t="shared" si="4"/>
        <v>21</v>
      </c>
      <c r="AE33" s="26">
        <f t="shared" si="4"/>
        <v>20</v>
      </c>
      <c r="AF33" s="26">
        <f t="shared" si="4"/>
        <v>9</v>
      </c>
      <c r="AG33" s="26">
        <f t="shared" si="4"/>
        <v>22</v>
      </c>
      <c r="AH33" s="26">
        <f t="shared" si="4"/>
        <v>9</v>
      </c>
      <c r="AI33" s="26">
        <f t="shared" si="4"/>
        <v>16</v>
      </c>
      <c r="AJ33" s="26">
        <f t="shared" si="4"/>
        <v>18</v>
      </c>
      <c r="AK33" s="26">
        <f t="shared" si="4"/>
        <v>7</v>
      </c>
      <c r="AL33" s="34">
        <f>AVERAGE(K33:AK33)</f>
        <v>17.5</v>
      </c>
      <c r="AM33" s="13">
        <f>AL33/COUNTA(D3:D32)</f>
        <v>0.58333333333333337</v>
      </c>
      <c r="AP33" s="35"/>
    </row>
    <row r="34" spans="1:42" ht="15.75" customHeight="1">
      <c r="A34" s="7"/>
      <c r="B34" s="7"/>
      <c r="C34" s="7"/>
      <c r="D34" s="28"/>
      <c r="E34" s="28"/>
      <c r="F34" s="29" t="s">
        <v>379</v>
      </c>
      <c r="G34" s="28"/>
      <c r="H34" s="28"/>
      <c r="I34" s="28"/>
      <c r="J34" s="28"/>
      <c r="K34" s="15">
        <f t="shared" ref="K34:AK34" si="5">SUM(K3:K32)</f>
        <v>16.5</v>
      </c>
      <c r="L34" s="15">
        <f t="shared" si="5"/>
        <v>9</v>
      </c>
      <c r="M34" s="15">
        <f t="shared" si="5"/>
        <v>0</v>
      </c>
      <c r="N34" s="15">
        <f t="shared" si="5"/>
        <v>10</v>
      </c>
      <c r="O34" s="15">
        <f t="shared" si="5"/>
        <v>5</v>
      </c>
      <c r="P34" s="15">
        <f t="shared" si="5"/>
        <v>0</v>
      </c>
      <c r="Q34" s="15">
        <f t="shared" si="5"/>
        <v>5</v>
      </c>
      <c r="R34" s="15">
        <f t="shared" si="5"/>
        <v>14.5</v>
      </c>
      <c r="S34" s="15">
        <f t="shared" si="5"/>
        <v>0</v>
      </c>
      <c r="T34" s="15">
        <f t="shared" si="5"/>
        <v>19</v>
      </c>
      <c r="U34" s="15">
        <f t="shared" si="5"/>
        <v>5</v>
      </c>
      <c r="V34" s="15">
        <f t="shared" si="5"/>
        <v>0</v>
      </c>
      <c r="W34" s="15">
        <f t="shared" si="5"/>
        <v>4</v>
      </c>
      <c r="X34" s="15">
        <f t="shared" si="5"/>
        <v>0</v>
      </c>
      <c r="Y34" s="15">
        <f t="shared" si="5"/>
        <v>3</v>
      </c>
      <c r="Z34" s="15">
        <f t="shared" si="5"/>
        <v>0</v>
      </c>
      <c r="AA34" s="15">
        <f t="shared" si="5"/>
        <v>2</v>
      </c>
      <c r="AB34" s="15">
        <f t="shared" si="5"/>
        <v>5</v>
      </c>
      <c r="AC34" s="15">
        <f t="shared" si="5"/>
        <v>0</v>
      </c>
      <c r="AD34" s="15">
        <f t="shared" si="5"/>
        <v>5</v>
      </c>
      <c r="AE34" s="15">
        <f t="shared" si="5"/>
        <v>10</v>
      </c>
      <c r="AF34" s="15">
        <f t="shared" si="5"/>
        <v>0</v>
      </c>
      <c r="AG34" s="15">
        <f t="shared" si="5"/>
        <v>44</v>
      </c>
      <c r="AH34" s="15">
        <f t="shared" si="5"/>
        <v>0</v>
      </c>
      <c r="AI34" s="15">
        <f t="shared" si="5"/>
        <v>3</v>
      </c>
      <c r="AJ34" s="15">
        <f t="shared" si="5"/>
        <v>9</v>
      </c>
      <c r="AK34" s="15">
        <f t="shared" si="5"/>
        <v>0</v>
      </c>
      <c r="AL34" s="36"/>
      <c r="AM34" s="36"/>
      <c r="AN34" s="36">
        <f>SUM(K34:AK34)</f>
        <v>169</v>
      </c>
      <c r="AO34" s="30">
        <f>AN34/(COUNTA(K$2:AK$2)-COUNTIF(K$2:AK$2,"prepa*"))/COUNTA($D$3:$D$32)</f>
        <v>0.33137254901960783</v>
      </c>
      <c r="AP34" s="37"/>
    </row>
    <row r="35" spans="1:42" ht="15.75" customHeight="1"/>
    <row r="36" spans="1:42" ht="15.75" customHeight="1"/>
    <row r="37" spans="1:42" ht="15.75" customHeight="1"/>
    <row r="38" spans="1:42" ht="15.75" customHeight="1"/>
    <row r="39" spans="1:42" ht="15.75" customHeight="1"/>
    <row r="40" spans="1:42" ht="15.75" customHeight="1"/>
    <row r="41" spans="1:42" ht="15.75" customHeight="1"/>
    <row r="42" spans="1:42" ht="15.75" customHeight="1"/>
    <row r="43" spans="1:42" ht="15.75" customHeight="1"/>
    <row r="44" spans="1:42" ht="15.75" customHeight="1"/>
    <row r="45" spans="1:42" ht="15.75" customHeight="1"/>
    <row r="46" spans="1:42" ht="15.75" customHeight="1"/>
    <row r="47" spans="1:42" ht="15.75" customHeight="1"/>
    <row r="48" spans="1:4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Y1:Z1"/>
    <mergeCell ref="AA1:AC1"/>
    <mergeCell ref="K1:M1"/>
    <mergeCell ref="N1:P1"/>
    <mergeCell ref="Q1:S1"/>
    <mergeCell ref="T1:V1"/>
    <mergeCell ref="W1:X1"/>
    <mergeCell ref="AD1:AF1"/>
    <mergeCell ref="AG1:AH1"/>
    <mergeCell ref="AI1:AK1"/>
    <mergeCell ref="AL1:AM1"/>
    <mergeCell ref="AN1:AO1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9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10" defaultColWidth="14.5" defaultRowHeight="15" customHeight="1"/>
  <cols>
    <col min="1" max="1" width="3.6640625" hidden="1" customWidth="1"/>
    <col min="2" max="3" width="9.1640625" hidden="1" customWidth="1"/>
    <col min="4" max="5" width="9.1640625" customWidth="1"/>
    <col min="6" max="6" width="10.5" customWidth="1"/>
    <col min="7" max="7" width="13.6640625" hidden="1" customWidth="1"/>
    <col min="8" max="9" width="9.1640625" hidden="1" customWidth="1"/>
    <col min="10" max="10" width="6.83203125" hidden="1" customWidth="1"/>
    <col min="11" max="12" width="6.5" customWidth="1"/>
    <col min="13" max="13" width="7.83203125" customWidth="1"/>
    <col min="14" max="15" width="6.5" customWidth="1"/>
    <col min="16" max="16" width="7.83203125" customWidth="1"/>
    <col min="17" max="18" width="6.5" customWidth="1"/>
    <col min="19" max="19" width="7.83203125" customWidth="1"/>
    <col min="20" max="21" width="6.5" customWidth="1"/>
    <col min="22" max="22" width="7.83203125" customWidth="1"/>
    <col min="23" max="23" width="6.5" customWidth="1"/>
    <col min="24" max="24" width="7.83203125" customWidth="1"/>
    <col min="25" max="25" width="6.5" customWidth="1"/>
    <col min="26" max="26" width="9.1640625" customWidth="1"/>
    <col min="27" max="28" width="6.5" customWidth="1"/>
    <col min="29" max="29" width="7.83203125" customWidth="1"/>
    <col min="30" max="31" width="6.5" customWidth="1"/>
    <col min="32" max="32" width="7.83203125" customWidth="1"/>
    <col min="33" max="33" width="6.5" customWidth="1"/>
    <col min="34" max="34" width="7.83203125" customWidth="1"/>
    <col min="35" max="36" width="6.5" customWidth="1"/>
    <col min="37" max="37" width="7.83203125" customWidth="1"/>
    <col min="38" max="39" width="6.5" customWidth="1"/>
    <col min="40" max="40" width="44.33203125" customWidth="1"/>
  </cols>
  <sheetData>
    <row r="1" spans="1:40">
      <c r="A1" s="1"/>
      <c r="B1" s="1"/>
      <c r="C1" s="1"/>
      <c r="D1" s="1"/>
      <c r="E1" s="1"/>
      <c r="F1" s="1"/>
      <c r="G1" s="1"/>
      <c r="H1" s="1"/>
      <c r="I1" s="1"/>
      <c r="J1" s="1"/>
      <c r="K1" s="57" t="s">
        <v>1</v>
      </c>
      <c r="L1" s="54"/>
      <c r="M1" s="54"/>
      <c r="N1" s="55" t="s">
        <v>2</v>
      </c>
      <c r="O1" s="54"/>
      <c r="P1" s="54"/>
      <c r="Q1" s="57" t="s">
        <v>3</v>
      </c>
      <c r="R1" s="54"/>
      <c r="S1" s="54"/>
      <c r="T1" s="55" t="s">
        <v>4</v>
      </c>
      <c r="U1" s="54"/>
      <c r="V1" s="54"/>
      <c r="W1" s="57" t="s">
        <v>5</v>
      </c>
      <c r="X1" s="54"/>
      <c r="Y1" s="55" t="s">
        <v>6</v>
      </c>
      <c r="Z1" s="54"/>
      <c r="AA1" s="57" t="s">
        <v>7</v>
      </c>
      <c r="AB1" s="54"/>
      <c r="AC1" s="54"/>
      <c r="AD1" s="55" t="s">
        <v>8</v>
      </c>
      <c r="AE1" s="54"/>
      <c r="AF1" s="54"/>
      <c r="AG1" s="57" t="s">
        <v>9</v>
      </c>
      <c r="AH1" s="54"/>
      <c r="AI1" s="55" t="s">
        <v>10</v>
      </c>
      <c r="AJ1" s="54"/>
      <c r="AK1" s="54"/>
      <c r="AL1" s="55" t="s">
        <v>11</v>
      </c>
      <c r="AM1" s="54"/>
      <c r="AN1" s="2"/>
    </row>
    <row r="2" spans="1:40">
      <c r="A2" s="3" t="s">
        <v>12</v>
      </c>
      <c r="B2" s="3" t="s">
        <v>14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4">
        <v>46125</v>
      </c>
      <c r="L2" s="4">
        <v>46127</v>
      </c>
      <c r="M2" s="3" t="s">
        <v>24</v>
      </c>
      <c r="N2" s="4">
        <f>K2+7</f>
        <v>46132</v>
      </c>
      <c r="O2" s="4">
        <f>N2+2</f>
        <v>46134</v>
      </c>
      <c r="P2" s="3" t="s">
        <v>25</v>
      </c>
      <c r="Q2" s="4">
        <f>N2+7</f>
        <v>46139</v>
      </c>
      <c r="R2" s="4">
        <f>Q2+2</f>
        <v>46141</v>
      </c>
      <c r="S2" s="3" t="s">
        <v>26</v>
      </c>
      <c r="T2" s="4">
        <f>Q2+7</f>
        <v>46146</v>
      </c>
      <c r="U2" s="4">
        <f>T2+2</f>
        <v>46148</v>
      </c>
      <c r="V2" s="3" t="s">
        <v>27</v>
      </c>
      <c r="W2" s="4">
        <f>T2+7</f>
        <v>46153</v>
      </c>
      <c r="X2" s="3" t="s">
        <v>28</v>
      </c>
      <c r="Y2" s="4">
        <f>W2+9</f>
        <v>46162</v>
      </c>
      <c r="Z2" s="3" t="s">
        <v>29</v>
      </c>
      <c r="AA2" s="4">
        <f>Y2+5</f>
        <v>46167</v>
      </c>
      <c r="AB2" s="4">
        <f>AA2+2</f>
        <v>46169</v>
      </c>
      <c r="AC2" s="3" t="s">
        <v>30</v>
      </c>
      <c r="AD2" s="4">
        <f>AA2+7</f>
        <v>46174</v>
      </c>
      <c r="AE2" s="4">
        <f>AD2+2</f>
        <v>46176</v>
      </c>
      <c r="AF2" s="3" t="s">
        <v>31</v>
      </c>
      <c r="AG2" s="4">
        <f>AD2+7</f>
        <v>46181</v>
      </c>
      <c r="AH2" s="3" t="s">
        <v>32</v>
      </c>
      <c r="AI2" s="4">
        <f>AG2+7</f>
        <v>46188</v>
      </c>
      <c r="AJ2" s="4">
        <f>AI2+2</f>
        <v>46190</v>
      </c>
      <c r="AK2" s="3" t="s">
        <v>33</v>
      </c>
      <c r="AL2" s="6" t="s">
        <v>34</v>
      </c>
      <c r="AM2" s="6" t="s">
        <v>35</v>
      </c>
      <c r="AN2" s="3" t="s">
        <v>36</v>
      </c>
    </row>
    <row r="3" spans="1:40" ht="16">
      <c r="A3" s="7" t="s">
        <v>37</v>
      </c>
      <c r="B3" s="8">
        <v>34037263</v>
      </c>
      <c r="C3" s="8">
        <v>20251130136</v>
      </c>
      <c r="D3" s="8" t="s">
        <v>38</v>
      </c>
      <c r="E3" s="8" t="s">
        <v>39</v>
      </c>
      <c r="F3" s="7"/>
      <c r="G3" s="9" t="s">
        <v>40</v>
      </c>
      <c r="H3" s="7"/>
      <c r="I3" s="7"/>
      <c r="J3" s="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2">
        <f t="shared" ref="AL3:AL32" si="0">SUM(K3:AK3)</f>
        <v>0</v>
      </c>
      <c r="AM3" s="13">
        <f t="shared" ref="AM3:AM32" si="1">AL3/COUNTA(K$2:AK$2)</f>
        <v>0</v>
      </c>
      <c r="AN3" s="10"/>
    </row>
    <row r="4" spans="1:40" ht="16">
      <c r="A4" s="7" t="s">
        <v>54</v>
      </c>
      <c r="B4" s="8">
        <v>32534997</v>
      </c>
      <c r="C4" s="8">
        <v>20261110447</v>
      </c>
      <c r="D4" s="8" t="s">
        <v>55</v>
      </c>
      <c r="E4" s="8" t="s">
        <v>56</v>
      </c>
      <c r="F4" s="7"/>
      <c r="G4" s="9" t="s">
        <v>57</v>
      </c>
      <c r="H4" s="7"/>
      <c r="I4" s="7"/>
      <c r="J4" s="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2">
        <f t="shared" si="0"/>
        <v>0</v>
      </c>
      <c r="AM4" s="13">
        <f t="shared" si="1"/>
        <v>0</v>
      </c>
      <c r="AN4" s="10"/>
    </row>
    <row r="5" spans="1:40" ht="16">
      <c r="A5" s="7" t="s">
        <v>61</v>
      </c>
      <c r="B5" s="8">
        <v>32548679</v>
      </c>
      <c r="C5" s="8">
        <v>20251130211</v>
      </c>
      <c r="D5" s="8" t="s">
        <v>62</v>
      </c>
      <c r="E5" s="8" t="s">
        <v>63</v>
      </c>
      <c r="F5" s="7"/>
      <c r="G5" s="9" t="s">
        <v>64</v>
      </c>
      <c r="H5" s="7"/>
      <c r="I5" s="7"/>
      <c r="J5" s="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2">
        <f t="shared" si="0"/>
        <v>0</v>
      </c>
      <c r="AM5" s="13">
        <f t="shared" si="1"/>
        <v>0</v>
      </c>
      <c r="AN5" s="10"/>
    </row>
    <row r="6" spans="1:40" ht="16">
      <c r="A6" s="7" t="s">
        <v>65</v>
      </c>
      <c r="B6" s="8">
        <v>32110838</v>
      </c>
      <c r="C6" s="8">
        <v>20251130175</v>
      </c>
      <c r="D6" s="8" t="s">
        <v>66</v>
      </c>
      <c r="E6" s="8" t="s">
        <v>68</v>
      </c>
      <c r="F6" s="7"/>
      <c r="G6" s="9" t="s">
        <v>71</v>
      </c>
      <c r="H6" s="7"/>
      <c r="I6" s="7"/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2">
        <f t="shared" si="0"/>
        <v>0</v>
      </c>
      <c r="AM6" s="13">
        <f t="shared" si="1"/>
        <v>0</v>
      </c>
      <c r="AN6" s="10"/>
    </row>
    <row r="7" spans="1:40" ht="16">
      <c r="A7" s="7" t="s">
        <v>79</v>
      </c>
      <c r="B7" s="8">
        <v>33068492</v>
      </c>
      <c r="C7" s="8">
        <v>20261110367</v>
      </c>
      <c r="D7" s="8" t="s">
        <v>80</v>
      </c>
      <c r="E7" s="8" t="s">
        <v>81</v>
      </c>
      <c r="F7" s="7"/>
      <c r="G7" s="9" t="s">
        <v>82</v>
      </c>
      <c r="H7" s="7"/>
      <c r="I7" s="7"/>
      <c r="J7" s="7"/>
      <c r="K7" s="10"/>
      <c r="L7" s="10"/>
      <c r="M7" s="10"/>
      <c r="N7" s="10"/>
      <c r="O7" s="10"/>
      <c r="P7" s="10" t="s">
        <v>52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2">
        <f t="shared" si="0"/>
        <v>0</v>
      </c>
      <c r="AM7" s="13">
        <f t="shared" si="1"/>
        <v>0</v>
      </c>
      <c r="AN7" s="10"/>
    </row>
    <row r="8" spans="1:40" ht="16">
      <c r="A8" s="7" t="s">
        <v>86</v>
      </c>
      <c r="B8" s="8">
        <v>32336833</v>
      </c>
      <c r="C8" s="8">
        <v>20261110116</v>
      </c>
      <c r="D8" s="8" t="s">
        <v>88</v>
      </c>
      <c r="E8" s="8" t="s">
        <v>89</v>
      </c>
      <c r="F8" s="7"/>
      <c r="G8" s="9" t="s">
        <v>92</v>
      </c>
      <c r="H8" s="7"/>
      <c r="I8" s="7"/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2">
        <f t="shared" si="0"/>
        <v>0</v>
      </c>
      <c r="AM8" s="13">
        <f t="shared" si="1"/>
        <v>0</v>
      </c>
      <c r="AN8" s="10"/>
    </row>
    <row r="9" spans="1:40" ht="16">
      <c r="A9" s="7" t="s">
        <v>100</v>
      </c>
      <c r="B9" s="8">
        <v>30370944</v>
      </c>
      <c r="C9" s="8">
        <v>20231110047</v>
      </c>
      <c r="D9" s="8" t="s">
        <v>101</v>
      </c>
      <c r="E9" s="8" t="s">
        <v>102</v>
      </c>
      <c r="F9" s="7"/>
      <c r="G9" s="9" t="s">
        <v>103</v>
      </c>
      <c r="H9" s="7"/>
      <c r="I9" s="7"/>
      <c r="J9" s="7"/>
      <c r="K9" s="10"/>
      <c r="L9" s="16"/>
      <c r="M9" s="16"/>
      <c r="N9" s="10"/>
      <c r="O9" s="16"/>
      <c r="P9" s="16"/>
      <c r="Q9" s="10"/>
      <c r="R9" s="16"/>
      <c r="S9" s="16"/>
      <c r="T9" s="10"/>
      <c r="U9" s="16"/>
      <c r="V9" s="16"/>
      <c r="W9" s="10"/>
      <c r="X9" s="16"/>
      <c r="Y9" s="16"/>
      <c r="Z9" s="16"/>
      <c r="AA9" s="10"/>
      <c r="AB9" s="16"/>
      <c r="AC9" s="16"/>
      <c r="AD9" s="10"/>
      <c r="AE9" s="16"/>
      <c r="AF9" s="16"/>
      <c r="AG9" s="10"/>
      <c r="AH9" s="16"/>
      <c r="AI9" s="10"/>
      <c r="AJ9" s="16"/>
      <c r="AK9" s="16"/>
      <c r="AL9" s="2">
        <f t="shared" si="0"/>
        <v>0</v>
      </c>
      <c r="AM9" s="13">
        <f t="shared" si="1"/>
        <v>0</v>
      </c>
      <c r="AN9" s="16"/>
    </row>
    <row r="10" spans="1:40" ht="16">
      <c r="A10" s="7" t="s">
        <v>110</v>
      </c>
      <c r="B10" s="8">
        <v>32122172</v>
      </c>
      <c r="C10" s="8">
        <v>20261110817</v>
      </c>
      <c r="D10" s="8" t="s">
        <v>112</v>
      </c>
      <c r="E10" s="8" t="s">
        <v>113</v>
      </c>
      <c r="F10" s="7"/>
      <c r="G10" s="9" t="s">
        <v>115</v>
      </c>
      <c r="H10" s="7"/>
      <c r="I10" s="7"/>
      <c r="J10" s="7"/>
      <c r="K10" s="10"/>
      <c r="L10" s="10"/>
      <c r="M10" s="10"/>
      <c r="N10" s="10"/>
      <c r="O10" s="10"/>
      <c r="P10" s="10" t="s">
        <v>52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2">
        <f t="shared" si="0"/>
        <v>0</v>
      </c>
      <c r="AM10" s="13">
        <f t="shared" si="1"/>
        <v>0</v>
      </c>
      <c r="AN10" s="10"/>
    </row>
    <row r="11" spans="1:40" ht="16">
      <c r="A11" s="7" t="s">
        <v>121</v>
      </c>
      <c r="B11" s="8">
        <v>34199141</v>
      </c>
      <c r="C11" s="8">
        <v>20261110409</v>
      </c>
      <c r="D11" s="8" t="s">
        <v>122</v>
      </c>
      <c r="E11" s="8" t="s">
        <v>123</v>
      </c>
      <c r="F11" s="7"/>
      <c r="G11" s="9" t="s">
        <v>124</v>
      </c>
      <c r="H11" s="7"/>
      <c r="I11" s="7"/>
      <c r="J11" s="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2">
        <f t="shared" si="0"/>
        <v>0</v>
      </c>
      <c r="AM11" s="13">
        <f t="shared" si="1"/>
        <v>0</v>
      </c>
      <c r="AN11" s="10"/>
    </row>
    <row r="12" spans="1:40" ht="16">
      <c r="A12" s="7" t="s">
        <v>132</v>
      </c>
      <c r="B12" s="8">
        <v>33095266</v>
      </c>
      <c r="C12" s="8">
        <v>20261110604</v>
      </c>
      <c r="D12" s="8" t="s">
        <v>122</v>
      </c>
      <c r="E12" s="8" t="s">
        <v>136</v>
      </c>
      <c r="F12" s="7"/>
      <c r="G12" s="9" t="s">
        <v>138</v>
      </c>
      <c r="H12" s="7"/>
      <c r="I12" s="7"/>
      <c r="J12" s="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2">
        <f t="shared" si="0"/>
        <v>0</v>
      </c>
      <c r="AM12" s="13">
        <f t="shared" si="1"/>
        <v>0</v>
      </c>
      <c r="AN12" s="10"/>
    </row>
    <row r="13" spans="1:40" ht="16">
      <c r="A13" s="7" t="s">
        <v>142</v>
      </c>
      <c r="B13" s="8">
        <v>31867562</v>
      </c>
      <c r="C13" s="8">
        <v>20251130200</v>
      </c>
      <c r="D13" s="8" t="s">
        <v>143</v>
      </c>
      <c r="E13" s="8" t="s">
        <v>46</v>
      </c>
      <c r="F13" s="7"/>
      <c r="G13" s="9" t="s">
        <v>144</v>
      </c>
      <c r="H13" s="7"/>
      <c r="I13" s="7"/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2">
        <f t="shared" si="0"/>
        <v>0</v>
      </c>
      <c r="AM13" s="13">
        <f t="shared" si="1"/>
        <v>0</v>
      </c>
      <c r="AN13" s="10"/>
    </row>
    <row r="14" spans="1:40">
      <c r="A14" s="7" t="s">
        <v>152</v>
      </c>
      <c r="B14" s="8">
        <v>33801813</v>
      </c>
      <c r="C14" s="8">
        <v>20251130137</v>
      </c>
      <c r="D14" s="8" t="s">
        <v>155</v>
      </c>
      <c r="E14" s="8" t="s">
        <v>157</v>
      </c>
      <c r="F14" s="7"/>
      <c r="G14" s="17" t="s">
        <v>159</v>
      </c>
      <c r="H14" s="7"/>
      <c r="I14" s="7"/>
      <c r="J14" s="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2">
        <f t="shared" si="0"/>
        <v>0</v>
      </c>
      <c r="AM14" s="13">
        <f t="shared" si="1"/>
        <v>0</v>
      </c>
      <c r="AN14" s="10"/>
    </row>
    <row r="15" spans="1:40" ht="16">
      <c r="A15" s="7" t="s">
        <v>160</v>
      </c>
      <c r="B15" s="8">
        <v>34177657</v>
      </c>
      <c r="C15" s="8">
        <v>20251130135</v>
      </c>
      <c r="D15" s="8" t="s">
        <v>162</v>
      </c>
      <c r="E15" s="8" t="s">
        <v>39</v>
      </c>
      <c r="F15" s="7"/>
      <c r="G15" s="9" t="s">
        <v>165</v>
      </c>
      <c r="H15" s="7"/>
      <c r="I15" s="7"/>
      <c r="J15" s="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2">
        <f t="shared" si="0"/>
        <v>0</v>
      </c>
      <c r="AM15" s="13">
        <f t="shared" si="1"/>
        <v>0</v>
      </c>
      <c r="AN15" s="10"/>
    </row>
    <row r="16" spans="1:40" ht="15.75" customHeight="1">
      <c r="A16" s="7" t="s">
        <v>174</v>
      </c>
      <c r="B16" s="8">
        <v>33110016</v>
      </c>
      <c r="C16" s="8">
        <v>20251130134</v>
      </c>
      <c r="D16" s="8" t="s">
        <v>162</v>
      </c>
      <c r="E16" s="8" t="s">
        <v>177</v>
      </c>
      <c r="F16" s="7"/>
      <c r="G16" s="9" t="s">
        <v>179</v>
      </c>
      <c r="H16" s="7"/>
      <c r="I16" s="7"/>
      <c r="J16" s="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2">
        <f t="shared" si="0"/>
        <v>0</v>
      </c>
      <c r="AM16" s="13">
        <f t="shared" si="1"/>
        <v>0</v>
      </c>
      <c r="AN16" s="10"/>
    </row>
    <row r="17" spans="1:40" ht="15.75" customHeight="1">
      <c r="A17" s="7" t="s">
        <v>191</v>
      </c>
      <c r="B17" s="8">
        <v>32336964</v>
      </c>
      <c r="C17" s="8">
        <v>20261110399</v>
      </c>
      <c r="D17" s="8" t="s">
        <v>192</v>
      </c>
      <c r="E17" s="8" t="s">
        <v>193</v>
      </c>
      <c r="F17" s="7"/>
      <c r="G17" s="9" t="s">
        <v>194</v>
      </c>
      <c r="H17" s="7"/>
      <c r="I17" s="7"/>
      <c r="J17" s="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2">
        <f t="shared" si="0"/>
        <v>0</v>
      </c>
      <c r="AM17" s="13">
        <f t="shared" si="1"/>
        <v>0</v>
      </c>
      <c r="AN17" s="10"/>
    </row>
    <row r="18" spans="1:40" ht="15.75" customHeight="1">
      <c r="A18" s="7" t="s">
        <v>198</v>
      </c>
      <c r="B18" s="8">
        <v>32701081</v>
      </c>
      <c r="C18" s="8">
        <v>20261110193</v>
      </c>
      <c r="D18" s="8" t="s">
        <v>199</v>
      </c>
      <c r="E18" s="8" t="s">
        <v>200</v>
      </c>
      <c r="F18" s="7"/>
      <c r="G18" s="9" t="s">
        <v>201</v>
      </c>
      <c r="H18" s="7"/>
      <c r="I18" s="7"/>
      <c r="J18" s="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2">
        <f t="shared" si="0"/>
        <v>0</v>
      </c>
      <c r="AM18" s="13">
        <f t="shared" si="1"/>
        <v>0</v>
      </c>
      <c r="AN18" s="10"/>
    </row>
    <row r="19" spans="1:40" ht="15.75" customHeight="1">
      <c r="A19" s="7" t="s">
        <v>213</v>
      </c>
      <c r="B19" s="8">
        <v>32333749</v>
      </c>
      <c r="C19" s="8">
        <v>20261110303</v>
      </c>
      <c r="D19" s="8" t="s">
        <v>214</v>
      </c>
      <c r="E19" s="8" t="s">
        <v>215</v>
      </c>
      <c r="F19" s="7"/>
      <c r="G19" s="9" t="s">
        <v>216</v>
      </c>
      <c r="H19" s="7"/>
      <c r="I19" s="7"/>
      <c r="J19" s="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2">
        <f t="shared" si="0"/>
        <v>0</v>
      </c>
      <c r="AM19" s="13">
        <f t="shared" si="1"/>
        <v>0</v>
      </c>
      <c r="AN19" s="10"/>
    </row>
    <row r="20" spans="1:40" ht="15.75" customHeight="1">
      <c r="A20" s="7" t="s">
        <v>217</v>
      </c>
      <c r="B20" s="8">
        <v>32966615</v>
      </c>
      <c r="C20" s="8">
        <v>20261110089</v>
      </c>
      <c r="D20" s="8" t="s">
        <v>218</v>
      </c>
      <c r="E20" s="8" t="s">
        <v>46</v>
      </c>
      <c r="F20" s="7"/>
      <c r="G20" s="9" t="s">
        <v>221</v>
      </c>
      <c r="H20" s="7"/>
      <c r="I20" s="7"/>
      <c r="J20" s="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2">
        <f t="shared" si="0"/>
        <v>0</v>
      </c>
      <c r="AM20" s="13">
        <f t="shared" si="1"/>
        <v>0</v>
      </c>
      <c r="AN20" s="10"/>
    </row>
    <row r="21" spans="1:40" ht="15.75" customHeight="1">
      <c r="A21" s="7" t="s">
        <v>231</v>
      </c>
      <c r="B21" s="8">
        <v>32050133</v>
      </c>
      <c r="C21" s="8">
        <v>20261110062</v>
      </c>
      <c r="D21" s="8" t="s">
        <v>232</v>
      </c>
      <c r="E21" s="8" t="s">
        <v>233</v>
      </c>
      <c r="F21" s="7"/>
      <c r="G21" s="9" t="s">
        <v>234</v>
      </c>
      <c r="H21" s="7"/>
      <c r="I21" s="7"/>
      <c r="J21" s="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2">
        <f t="shared" si="0"/>
        <v>0</v>
      </c>
      <c r="AM21" s="13">
        <f t="shared" si="1"/>
        <v>0</v>
      </c>
      <c r="AN21" s="10"/>
    </row>
    <row r="22" spans="1:40" ht="15.75" customHeight="1">
      <c r="A22" s="7" t="s">
        <v>238</v>
      </c>
      <c r="B22" s="8">
        <v>32104755</v>
      </c>
      <c r="C22" s="8">
        <v>20261110311</v>
      </c>
      <c r="D22" s="8" t="s">
        <v>241</v>
      </c>
      <c r="E22" s="8" t="s">
        <v>236</v>
      </c>
      <c r="F22" s="7"/>
      <c r="G22" s="9" t="s">
        <v>242</v>
      </c>
      <c r="H22" s="7"/>
      <c r="I22" s="7"/>
      <c r="J22" s="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2">
        <f t="shared" si="0"/>
        <v>0</v>
      </c>
      <c r="AM22" s="13">
        <f t="shared" si="1"/>
        <v>0</v>
      </c>
      <c r="AN22" s="10"/>
    </row>
    <row r="23" spans="1:40" ht="15.75" customHeight="1">
      <c r="A23" s="7" t="s">
        <v>248</v>
      </c>
      <c r="B23" s="8">
        <v>32697292</v>
      </c>
      <c r="C23" s="8">
        <v>20261110482</v>
      </c>
      <c r="D23" s="8" t="s">
        <v>249</v>
      </c>
      <c r="E23" s="8" t="s">
        <v>250</v>
      </c>
      <c r="F23" s="7"/>
      <c r="G23" s="9" t="s">
        <v>251</v>
      </c>
      <c r="H23" s="7"/>
      <c r="I23" s="7"/>
      <c r="J23" s="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2">
        <f t="shared" si="0"/>
        <v>0</v>
      </c>
      <c r="AM23" s="13">
        <f t="shared" si="1"/>
        <v>0</v>
      </c>
      <c r="AN23" s="10"/>
    </row>
    <row r="24" spans="1:40" ht="15.75" customHeight="1">
      <c r="A24" s="7" t="s">
        <v>262</v>
      </c>
      <c r="B24" s="8">
        <v>32783762</v>
      </c>
      <c r="C24" s="8">
        <v>20261110300</v>
      </c>
      <c r="D24" s="8" t="s">
        <v>264</v>
      </c>
      <c r="E24" s="8" t="s">
        <v>265</v>
      </c>
      <c r="F24" s="7"/>
      <c r="G24" s="9" t="s">
        <v>266</v>
      </c>
      <c r="H24" s="7"/>
      <c r="I24" s="7"/>
      <c r="J24" s="7"/>
      <c r="K24" s="21"/>
      <c r="L24" s="10"/>
      <c r="M24" s="10"/>
      <c r="N24" s="21"/>
      <c r="O24" s="10"/>
      <c r="P24" s="10"/>
      <c r="Q24" s="21"/>
      <c r="R24" s="10"/>
      <c r="S24" s="10"/>
      <c r="T24" s="21"/>
      <c r="U24" s="10"/>
      <c r="V24" s="10"/>
      <c r="W24" s="21"/>
      <c r="X24" s="10"/>
      <c r="Y24" s="10"/>
      <c r="Z24" s="10"/>
      <c r="AA24" s="21"/>
      <c r="AB24" s="10"/>
      <c r="AC24" s="10"/>
      <c r="AD24" s="21"/>
      <c r="AE24" s="10"/>
      <c r="AF24" s="10"/>
      <c r="AG24" s="21"/>
      <c r="AH24" s="10"/>
      <c r="AI24" s="21"/>
      <c r="AJ24" s="10"/>
      <c r="AK24" s="10"/>
      <c r="AL24" s="2">
        <f t="shared" si="0"/>
        <v>0</v>
      </c>
      <c r="AM24" s="13">
        <f t="shared" si="1"/>
        <v>0</v>
      </c>
      <c r="AN24" s="10"/>
    </row>
    <row r="25" spans="1:40" ht="15.75" customHeight="1">
      <c r="A25" s="7" t="s">
        <v>270</v>
      </c>
      <c r="B25" s="8">
        <v>32001474</v>
      </c>
      <c r="C25" s="8">
        <v>20261110080</v>
      </c>
      <c r="D25" s="8" t="s">
        <v>271</v>
      </c>
      <c r="E25" s="8" t="s">
        <v>272</v>
      </c>
      <c r="F25" s="7"/>
      <c r="G25" s="9" t="s">
        <v>273</v>
      </c>
      <c r="H25" s="7"/>
      <c r="I25" s="7"/>
      <c r="J25" s="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2">
        <f t="shared" si="0"/>
        <v>0</v>
      </c>
      <c r="AM25" s="13">
        <f t="shared" si="1"/>
        <v>0</v>
      </c>
      <c r="AN25" s="10"/>
    </row>
    <row r="26" spans="1:40" ht="15.75" customHeight="1">
      <c r="A26" s="7" t="s">
        <v>281</v>
      </c>
      <c r="B26" s="8">
        <v>32397160</v>
      </c>
      <c r="C26" s="8">
        <v>20261110793</v>
      </c>
      <c r="D26" s="8" t="s">
        <v>284</v>
      </c>
      <c r="E26" s="8" t="s">
        <v>285</v>
      </c>
      <c r="F26" s="7"/>
      <c r="G26" s="9" t="s">
        <v>287</v>
      </c>
      <c r="H26" s="7"/>
      <c r="I26" s="7"/>
      <c r="J26" s="7"/>
      <c r="K26" s="10"/>
      <c r="L26" s="10"/>
      <c r="M26" s="10"/>
      <c r="N26" s="10"/>
      <c r="O26" s="10"/>
      <c r="P26" s="10" t="s">
        <v>52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2">
        <f t="shared" si="0"/>
        <v>0</v>
      </c>
      <c r="AM26" s="13">
        <f t="shared" si="1"/>
        <v>0</v>
      </c>
      <c r="AN26" s="10"/>
    </row>
    <row r="27" spans="1:40" ht="15.75" customHeight="1">
      <c r="A27" s="7" t="s">
        <v>293</v>
      </c>
      <c r="B27" s="8">
        <v>32396480</v>
      </c>
      <c r="C27" s="8">
        <v>20261110791</v>
      </c>
      <c r="D27" s="8" t="s">
        <v>295</v>
      </c>
      <c r="E27" s="8" t="s">
        <v>296</v>
      </c>
      <c r="F27" s="7"/>
      <c r="G27" s="9" t="s">
        <v>297</v>
      </c>
      <c r="H27" s="7"/>
      <c r="I27" s="7"/>
      <c r="J27" s="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2">
        <f t="shared" si="0"/>
        <v>0</v>
      </c>
      <c r="AM27" s="13">
        <f t="shared" si="1"/>
        <v>0</v>
      </c>
      <c r="AN27" s="10"/>
    </row>
    <row r="28" spans="1:40" ht="15.75" customHeight="1">
      <c r="A28" s="7" t="s">
        <v>304</v>
      </c>
      <c r="B28" s="8">
        <v>33178755</v>
      </c>
      <c r="C28" s="8">
        <v>20261110037</v>
      </c>
      <c r="D28" s="8" t="s">
        <v>307</v>
      </c>
      <c r="E28" s="8" t="s">
        <v>309</v>
      </c>
      <c r="F28" s="7"/>
      <c r="G28" s="9" t="s">
        <v>311</v>
      </c>
      <c r="H28" s="7"/>
      <c r="I28" s="7"/>
      <c r="J28" s="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2">
        <f t="shared" si="0"/>
        <v>0</v>
      </c>
      <c r="AM28" s="13">
        <f t="shared" si="1"/>
        <v>0</v>
      </c>
      <c r="AN28" s="10"/>
    </row>
    <row r="29" spans="1:40" ht="15.75" customHeight="1">
      <c r="A29" s="7" t="s">
        <v>315</v>
      </c>
      <c r="B29" s="8">
        <v>33428881</v>
      </c>
      <c r="C29" s="8">
        <v>20261110630</v>
      </c>
      <c r="D29" s="8" t="s">
        <v>316</v>
      </c>
      <c r="E29" s="8" t="s">
        <v>205</v>
      </c>
      <c r="F29" s="7"/>
      <c r="G29" s="9" t="s">
        <v>317</v>
      </c>
      <c r="H29" s="7"/>
      <c r="I29" s="7"/>
      <c r="J29" s="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2">
        <f t="shared" si="0"/>
        <v>0</v>
      </c>
      <c r="AM29" s="13">
        <f t="shared" si="1"/>
        <v>0</v>
      </c>
      <c r="AN29" s="10"/>
    </row>
    <row r="30" spans="1:40" ht="15.75" customHeight="1">
      <c r="A30" s="7" t="s">
        <v>322</v>
      </c>
      <c r="B30" s="8">
        <v>32242731</v>
      </c>
      <c r="C30" s="8">
        <v>20251130186</v>
      </c>
      <c r="D30" s="8" t="s">
        <v>327</v>
      </c>
      <c r="E30" s="8" t="s">
        <v>328</v>
      </c>
      <c r="F30" s="7"/>
      <c r="G30" s="9" t="s">
        <v>329</v>
      </c>
      <c r="H30" s="7"/>
      <c r="I30" s="7"/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2">
        <f t="shared" si="0"/>
        <v>0</v>
      </c>
      <c r="AM30" s="13">
        <f t="shared" si="1"/>
        <v>0</v>
      </c>
      <c r="AN30" s="10"/>
    </row>
    <row r="31" spans="1:40" ht="15.75" customHeight="1">
      <c r="A31" s="7" t="s">
        <v>331</v>
      </c>
      <c r="B31" s="8">
        <v>32522005</v>
      </c>
      <c r="C31" s="8">
        <v>20261110212</v>
      </c>
      <c r="D31" s="8" t="s">
        <v>333</v>
      </c>
      <c r="E31" s="8" t="s">
        <v>334</v>
      </c>
      <c r="F31" s="7"/>
      <c r="G31" s="9" t="s">
        <v>335</v>
      </c>
      <c r="H31" s="7"/>
      <c r="I31" s="7"/>
      <c r="J31" s="7"/>
      <c r="K31" s="10"/>
      <c r="L31" s="10"/>
      <c r="M31" s="10"/>
      <c r="N31" s="10"/>
      <c r="O31" s="10"/>
      <c r="P31" s="10" t="s">
        <v>52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2">
        <f t="shared" si="0"/>
        <v>0</v>
      </c>
      <c r="AM31" s="13">
        <f t="shared" si="1"/>
        <v>0</v>
      </c>
      <c r="AN31" s="10"/>
    </row>
    <row r="32" spans="1:40" ht="15.75" customHeight="1">
      <c r="A32" s="7" t="s">
        <v>345</v>
      </c>
      <c r="B32" s="8">
        <v>32348296</v>
      </c>
      <c r="C32" s="8">
        <v>20261110047</v>
      </c>
      <c r="D32" s="8" t="s">
        <v>346</v>
      </c>
      <c r="E32" s="8" t="s">
        <v>347</v>
      </c>
      <c r="F32" s="7"/>
      <c r="G32" s="9" t="s">
        <v>348</v>
      </c>
      <c r="H32" s="7"/>
      <c r="I32" s="7"/>
      <c r="J32" s="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2">
        <f t="shared" si="0"/>
        <v>0</v>
      </c>
      <c r="AM32" s="13">
        <f t="shared" si="1"/>
        <v>0</v>
      </c>
      <c r="AN32" s="10"/>
    </row>
    <row r="33" spans="1:40" ht="15.75" customHeight="1">
      <c r="A33" s="7"/>
      <c r="B33" s="23"/>
      <c r="C33" s="23"/>
      <c r="D33" s="24"/>
      <c r="E33" s="24"/>
      <c r="F33" s="25" t="s">
        <v>359</v>
      </c>
      <c r="G33" s="24"/>
      <c r="H33" s="24"/>
      <c r="I33" s="24"/>
      <c r="J33" s="24"/>
      <c r="K33" s="26">
        <f t="shared" ref="K33:AK33" si="2">COUNTA(K3:K32)</f>
        <v>0</v>
      </c>
      <c r="L33" s="26">
        <f t="shared" si="2"/>
        <v>0</v>
      </c>
      <c r="M33" s="26">
        <f t="shared" si="2"/>
        <v>0</v>
      </c>
      <c r="N33" s="26">
        <f t="shared" si="2"/>
        <v>0</v>
      </c>
      <c r="O33" s="26">
        <f t="shared" si="2"/>
        <v>0</v>
      </c>
      <c r="P33" s="26">
        <f t="shared" si="2"/>
        <v>4</v>
      </c>
      <c r="Q33" s="26">
        <f t="shared" si="2"/>
        <v>0</v>
      </c>
      <c r="R33" s="26">
        <f t="shared" si="2"/>
        <v>0</v>
      </c>
      <c r="S33" s="26">
        <f t="shared" si="2"/>
        <v>0</v>
      </c>
      <c r="T33" s="26">
        <f t="shared" si="2"/>
        <v>0</v>
      </c>
      <c r="U33" s="26">
        <f t="shared" si="2"/>
        <v>0</v>
      </c>
      <c r="V33" s="26">
        <f t="shared" si="2"/>
        <v>0</v>
      </c>
      <c r="W33" s="26">
        <f t="shared" si="2"/>
        <v>0</v>
      </c>
      <c r="X33" s="26">
        <f t="shared" si="2"/>
        <v>0</v>
      </c>
      <c r="Y33" s="26">
        <f t="shared" si="2"/>
        <v>0</v>
      </c>
      <c r="Z33" s="26">
        <f t="shared" si="2"/>
        <v>0</v>
      </c>
      <c r="AA33" s="26">
        <f t="shared" si="2"/>
        <v>0</v>
      </c>
      <c r="AB33" s="26">
        <f t="shared" si="2"/>
        <v>0</v>
      </c>
      <c r="AC33" s="26">
        <f t="shared" si="2"/>
        <v>0</v>
      </c>
      <c r="AD33" s="26">
        <f t="shared" si="2"/>
        <v>0</v>
      </c>
      <c r="AE33" s="26">
        <f t="shared" si="2"/>
        <v>0</v>
      </c>
      <c r="AF33" s="26">
        <f t="shared" si="2"/>
        <v>0</v>
      </c>
      <c r="AG33" s="26">
        <f t="shared" si="2"/>
        <v>0</v>
      </c>
      <c r="AH33" s="26">
        <f t="shared" si="2"/>
        <v>0</v>
      </c>
      <c r="AI33" s="26">
        <f t="shared" si="2"/>
        <v>0</v>
      </c>
      <c r="AJ33" s="26">
        <f t="shared" si="2"/>
        <v>0</v>
      </c>
      <c r="AK33" s="26">
        <f t="shared" si="2"/>
        <v>0</v>
      </c>
      <c r="AL33" s="24"/>
      <c r="AM33" s="27">
        <f>AVERAGE(K33:AK33)</f>
        <v>0.14814814814814814</v>
      </c>
      <c r="AN33" s="24"/>
    </row>
    <row r="34" spans="1:40" ht="15.75" customHeight="1">
      <c r="A34" s="7"/>
      <c r="B34" s="23"/>
      <c r="C34" s="23"/>
      <c r="D34" s="28"/>
      <c r="E34" s="28"/>
      <c r="F34" s="29" t="s">
        <v>379</v>
      </c>
      <c r="G34" s="28"/>
      <c r="H34" s="28"/>
      <c r="I34" s="28"/>
      <c r="J34" s="28"/>
      <c r="K34" s="15">
        <f t="shared" ref="K34:AK34" si="3">SUM(K3:K32)</f>
        <v>0</v>
      </c>
      <c r="L34" s="15">
        <f t="shared" si="3"/>
        <v>0</v>
      </c>
      <c r="M34" s="15">
        <f t="shared" si="3"/>
        <v>0</v>
      </c>
      <c r="N34" s="15">
        <f t="shared" si="3"/>
        <v>0</v>
      </c>
      <c r="O34" s="15">
        <f t="shared" si="3"/>
        <v>0</v>
      </c>
      <c r="P34" s="15">
        <f t="shared" si="3"/>
        <v>0</v>
      </c>
      <c r="Q34" s="15">
        <f t="shared" si="3"/>
        <v>0</v>
      </c>
      <c r="R34" s="15">
        <f t="shared" si="3"/>
        <v>0</v>
      </c>
      <c r="S34" s="15">
        <f t="shared" si="3"/>
        <v>0</v>
      </c>
      <c r="T34" s="15">
        <f t="shared" si="3"/>
        <v>0</v>
      </c>
      <c r="U34" s="15">
        <f t="shared" si="3"/>
        <v>0</v>
      </c>
      <c r="V34" s="15">
        <f t="shared" si="3"/>
        <v>0</v>
      </c>
      <c r="W34" s="15">
        <f t="shared" si="3"/>
        <v>0</v>
      </c>
      <c r="X34" s="15">
        <f t="shared" si="3"/>
        <v>0</v>
      </c>
      <c r="Y34" s="15">
        <f t="shared" si="3"/>
        <v>0</v>
      </c>
      <c r="Z34" s="15">
        <f t="shared" si="3"/>
        <v>0</v>
      </c>
      <c r="AA34" s="15">
        <f t="shared" si="3"/>
        <v>0</v>
      </c>
      <c r="AB34" s="15">
        <f t="shared" si="3"/>
        <v>0</v>
      </c>
      <c r="AC34" s="15">
        <f t="shared" si="3"/>
        <v>0</v>
      </c>
      <c r="AD34" s="15">
        <f t="shared" si="3"/>
        <v>0</v>
      </c>
      <c r="AE34" s="15">
        <f t="shared" si="3"/>
        <v>0</v>
      </c>
      <c r="AF34" s="15">
        <f t="shared" si="3"/>
        <v>0</v>
      </c>
      <c r="AG34" s="15">
        <f t="shared" si="3"/>
        <v>0</v>
      </c>
      <c r="AH34" s="15">
        <f t="shared" si="3"/>
        <v>0</v>
      </c>
      <c r="AI34" s="15">
        <f t="shared" si="3"/>
        <v>0</v>
      </c>
      <c r="AJ34" s="15">
        <f t="shared" si="3"/>
        <v>0</v>
      </c>
      <c r="AK34" s="15">
        <f t="shared" si="3"/>
        <v>0</v>
      </c>
      <c r="AL34" s="15">
        <f>SUM(K34:AK34)</f>
        <v>0</v>
      </c>
      <c r="AM34" s="30">
        <f>AL34/COUNTA(K$2:AK$2)</f>
        <v>0</v>
      </c>
      <c r="AN34" s="28"/>
    </row>
    <row r="35" spans="1:40" ht="15.75" customHeight="1"/>
    <row r="36" spans="1:40" ht="15.75" customHeight="1"/>
    <row r="37" spans="1:40" ht="15.75" customHeight="1"/>
    <row r="38" spans="1:40" ht="15.75" customHeight="1"/>
    <row r="39" spans="1:40" ht="15.75" customHeight="1"/>
    <row r="40" spans="1:40" ht="15.75" customHeight="1"/>
    <row r="41" spans="1:40" ht="15.75" customHeight="1"/>
    <row r="42" spans="1:40" ht="15.75" customHeight="1"/>
    <row r="43" spans="1:40" ht="15.75" customHeight="1"/>
    <row r="44" spans="1:40" ht="15.75" customHeight="1"/>
    <row r="45" spans="1:40" ht="15.75" customHeight="1"/>
    <row r="46" spans="1:40" ht="15.75" customHeight="1"/>
    <row r="47" spans="1:40" ht="15.75" customHeight="1"/>
    <row r="48" spans="1:4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AD1:AF1"/>
    <mergeCell ref="AG1:AH1"/>
    <mergeCell ref="AI1:AK1"/>
    <mergeCell ref="AL1:AM1"/>
    <mergeCell ref="K1:M1"/>
    <mergeCell ref="N1:P1"/>
    <mergeCell ref="Q1:S1"/>
    <mergeCell ref="T1:V1"/>
    <mergeCell ref="W1:X1"/>
    <mergeCell ref="Y1:Z1"/>
    <mergeCell ref="AA1:AC1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99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10" defaultColWidth="14.5" defaultRowHeight="15" customHeight="1"/>
  <cols>
    <col min="1" max="1" width="3.6640625" hidden="1" customWidth="1"/>
    <col min="2" max="3" width="9.1640625" hidden="1" customWidth="1"/>
    <col min="4" max="5" width="9.1640625" customWidth="1"/>
    <col min="6" max="6" width="10.5" customWidth="1"/>
    <col min="7" max="7" width="13.6640625" hidden="1" customWidth="1"/>
    <col min="8" max="9" width="9.1640625" hidden="1" customWidth="1"/>
    <col min="10" max="10" width="6.83203125" hidden="1" customWidth="1"/>
    <col min="11" max="12" width="6.5" customWidth="1"/>
    <col min="13" max="13" width="7.83203125" customWidth="1"/>
    <col min="14" max="15" width="6.5" customWidth="1"/>
    <col min="16" max="16" width="7.83203125" customWidth="1"/>
    <col min="17" max="18" width="6.5" customWidth="1"/>
    <col min="19" max="19" width="7.83203125" customWidth="1"/>
    <col min="20" max="21" width="6.5" customWidth="1"/>
    <col min="22" max="22" width="7.83203125" customWidth="1"/>
    <col min="23" max="23" width="6.5" customWidth="1"/>
    <col min="24" max="24" width="7.83203125" customWidth="1"/>
    <col min="25" max="25" width="6.5" customWidth="1"/>
    <col min="26" max="26" width="9.1640625" customWidth="1"/>
    <col min="27" max="28" width="6.5" customWidth="1"/>
    <col min="29" max="29" width="7.83203125" customWidth="1"/>
    <col min="30" max="31" width="6.5" customWidth="1"/>
    <col min="32" max="32" width="7.83203125" customWidth="1"/>
    <col min="33" max="33" width="6.5" customWidth="1"/>
    <col min="34" max="34" width="7.83203125" customWidth="1"/>
    <col min="35" max="36" width="6.5" customWidth="1"/>
    <col min="37" max="37" width="7.83203125" customWidth="1"/>
    <col min="38" max="39" width="6.5" customWidth="1"/>
    <col min="40" max="40" width="44.33203125" customWidth="1"/>
  </cols>
  <sheetData>
    <row r="1" spans="1:40">
      <c r="A1" s="1"/>
      <c r="B1" s="1"/>
      <c r="C1" s="1"/>
      <c r="D1" s="1"/>
      <c r="E1" s="1"/>
      <c r="F1" s="1"/>
      <c r="G1" s="1"/>
      <c r="H1" s="1"/>
      <c r="I1" s="1"/>
      <c r="J1" s="1"/>
      <c r="K1" s="58" t="s">
        <v>1</v>
      </c>
      <c r="L1" s="54"/>
      <c r="M1" s="54"/>
      <c r="N1" s="55" t="s">
        <v>2</v>
      </c>
      <c r="O1" s="54"/>
      <c r="P1" s="54"/>
      <c r="Q1" s="58" t="s">
        <v>3</v>
      </c>
      <c r="R1" s="54"/>
      <c r="S1" s="54"/>
      <c r="T1" s="55" t="s">
        <v>4</v>
      </c>
      <c r="U1" s="54"/>
      <c r="V1" s="54"/>
      <c r="W1" s="58" t="s">
        <v>5</v>
      </c>
      <c r="X1" s="54"/>
      <c r="Y1" s="55" t="s">
        <v>6</v>
      </c>
      <c r="Z1" s="54"/>
      <c r="AA1" s="58" t="s">
        <v>7</v>
      </c>
      <c r="AB1" s="54"/>
      <c r="AC1" s="54"/>
      <c r="AD1" s="55" t="s">
        <v>8</v>
      </c>
      <c r="AE1" s="54"/>
      <c r="AF1" s="54"/>
      <c r="AG1" s="58" t="s">
        <v>9</v>
      </c>
      <c r="AH1" s="54"/>
      <c r="AI1" s="55" t="s">
        <v>10</v>
      </c>
      <c r="AJ1" s="54"/>
      <c r="AK1" s="54"/>
      <c r="AL1" s="55" t="s">
        <v>11</v>
      </c>
      <c r="AM1" s="54"/>
      <c r="AN1" s="2"/>
    </row>
    <row r="2" spans="1:40">
      <c r="A2" s="3" t="s">
        <v>12</v>
      </c>
      <c r="B2" s="3" t="s">
        <v>14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4">
        <v>46125</v>
      </c>
      <c r="L2" s="4">
        <v>46127</v>
      </c>
      <c r="M2" s="3" t="s">
        <v>24</v>
      </c>
      <c r="N2" s="4">
        <f>K2+7</f>
        <v>46132</v>
      </c>
      <c r="O2" s="4">
        <f>N2+2</f>
        <v>46134</v>
      </c>
      <c r="P2" s="3" t="s">
        <v>25</v>
      </c>
      <c r="Q2" s="4">
        <f>N2+7</f>
        <v>46139</v>
      </c>
      <c r="R2" s="4">
        <f>Q2+2</f>
        <v>46141</v>
      </c>
      <c r="S2" s="3" t="s">
        <v>26</v>
      </c>
      <c r="T2" s="4">
        <f>Q2+7</f>
        <v>46146</v>
      </c>
      <c r="U2" s="4">
        <f>T2+2</f>
        <v>46148</v>
      </c>
      <c r="V2" s="3" t="s">
        <v>27</v>
      </c>
      <c r="W2" s="4">
        <f>T2+7</f>
        <v>46153</v>
      </c>
      <c r="X2" s="3" t="s">
        <v>28</v>
      </c>
      <c r="Y2" s="4">
        <f>W2+9</f>
        <v>46162</v>
      </c>
      <c r="Z2" s="3" t="s">
        <v>29</v>
      </c>
      <c r="AA2" s="4">
        <f>Y2+5</f>
        <v>46167</v>
      </c>
      <c r="AB2" s="4">
        <f>AA2+2</f>
        <v>46169</v>
      </c>
      <c r="AC2" s="3" t="s">
        <v>30</v>
      </c>
      <c r="AD2" s="4">
        <f>AA2+7</f>
        <v>46174</v>
      </c>
      <c r="AE2" s="4">
        <f>AD2+2</f>
        <v>46176</v>
      </c>
      <c r="AF2" s="3" t="s">
        <v>31</v>
      </c>
      <c r="AG2" s="4">
        <f>AD2+7</f>
        <v>46181</v>
      </c>
      <c r="AH2" s="3" t="s">
        <v>32</v>
      </c>
      <c r="AI2" s="4">
        <f>AG2+7</f>
        <v>46188</v>
      </c>
      <c r="AJ2" s="4">
        <f>AI2+2</f>
        <v>46190</v>
      </c>
      <c r="AK2" s="3" t="s">
        <v>33</v>
      </c>
      <c r="AL2" s="6" t="s">
        <v>34</v>
      </c>
      <c r="AM2" s="6" t="s">
        <v>35</v>
      </c>
      <c r="AN2" s="3" t="s">
        <v>36</v>
      </c>
    </row>
    <row r="3" spans="1:40" ht="16">
      <c r="A3" s="7" t="s">
        <v>37</v>
      </c>
      <c r="B3" s="7">
        <v>34557317</v>
      </c>
      <c r="C3" s="7"/>
      <c r="D3" s="7" t="s">
        <v>45</v>
      </c>
      <c r="E3" s="7" t="s">
        <v>47</v>
      </c>
      <c r="F3" s="7"/>
      <c r="G3" s="11" t="s">
        <v>49</v>
      </c>
      <c r="H3" s="7"/>
      <c r="I3" s="7"/>
      <c r="J3" s="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2">
        <f t="shared" ref="AL3:AL32" si="0">SUM(K3:AK3)</f>
        <v>0</v>
      </c>
      <c r="AM3" s="13">
        <f t="shared" ref="AM3:AM32" si="1">AL3/COUNTA(K$2:AK$2)</f>
        <v>0</v>
      </c>
      <c r="AN3" s="10"/>
    </row>
    <row r="4" spans="1:40" ht="16">
      <c r="A4" s="7" t="s">
        <v>54</v>
      </c>
      <c r="B4" s="7">
        <v>32235236</v>
      </c>
      <c r="C4" s="7"/>
      <c r="D4" s="7" t="s">
        <v>58</v>
      </c>
      <c r="E4" s="7" t="s">
        <v>59</v>
      </c>
      <c r="F4" s="7"/>
      <c r="G4" s="11" t="s">
        <v>60</v>
      </c>
      <c r="H4" s="7"/>
      <c r="I4" s="7"/>
      <c r="J4" s="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2">
        <f t="shared" si="0"/>
        <v>0</v>
      </c>
      <c r="AM4" s="13">
        <f t="shared" si="1"/>
        <v>0</v>
      </c>
      <c r="AN4" s="10"/>
    </row>
    <row r="5" spans="1:40" ht="16">
      <c r="A5" s="7" t="s">
        <v>61</v>
      </c>
      <c r="B5" s="7">
        <v>30712639</v>
      </c>
      <c r="C5" s="7"/>
      <c r="D5" s="7" t="s">
        <v>67</v>
      </c>
      <c r="E5" s="7" t="s">
        <v>69</v>
      </c>
      <c r="F5" s="7"/>
      <c r="G5" s="11" t="s">
        <v>70</v>
      </c>
      <c r="H5" s="7"/>
      <c r="I5" s="7"/>
      <c r="J5" s="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2">
        <f t="shared" si="0"/>
        <v>0</v>
      </c>
      <c r="AM5" s="13">
        <f t="shared" si="1"/>
        <v>0</v>
      </c>
      <c r="AN5" s="10"/>
    </row>
    <row r="6" spans="1:40" ht="16">
      <c r="A6" s="7" t="s">
        <v>65</v>
      </c>
      <c r="B6" s="7">
        <v>32348285</v>
      </c>
      <c r="C6" s="7"/>
      <c r="D6" s="7" t="s">
        <v>83</v>
      </c>
      <c r="E6" s="7" t="s">
        <v>84</v>
      </c>
      <c r="F6" s="7"/>
      <c r="G6" s="11" t="s">
        <v>85</v>
      </c>
      <c r="H6" s="7"/>
      <c r="I6" s="7"/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2">
        <f t="shared" si="0"/>
        <v>0</v>
      </c>
      <c r="AM6" s="13">
        <f t="shared" si="1"/>
        <v>0</v>
      </c>
      <c r="AN6" s="10"/>
    </row>
    <row r="7" spans="1:40" ht="16">
      <c r="A7" s="7" t="s">
        <v>79</v>
      </c>
      <c r="B7" s="7">
        <v>31852373</v>
      </c>
      <c r="C7" s="7"/>
      <c r="D7" s="7" t="s">
        <v>93</v>
      </c>
      <c r="E7" s="7" t="s">
        <v>94</v>
      </c>
      <c r="F7" s="7"/>
      <c r="G7" s="11" t="s">
        <v>96</v>
      </c>
      <c r="H7" s="7"/>
      <c r="I7" s="7"/>
      <c r="J7" s="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2">
        <f t="shared" si="0"/>
        <v>0</v>
      </c>
      <c r="AM7" s="13">
        <f t="shared" si="1"/>
        <v>0</v>
      </c>
      <c r="AN7" s="10"/>
    </row>
    <row r="8" spans="1:40" ht="16">
      <c r="A8" s="7" t="s">
        <v>86</v>
      </c>
      <c r="B8" s="7">
        <v>33021702</v>
      </c>
      <c r="C8" s="7"/>
      <c r="D8" s="7" t="s">
        <v>104</v>
      </c>
      <c r="E8" s="7" t="s">
        <v>105</v>
      </c>
      <c r="F8" s="7"/>
      <c r="G8" s="11" t="s">
        <v>106</v>
      </c>
      <c r="H8" s="7"/>
      <c r="I8" s="7"/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2">
        <f t="shared" si="0"/>
        <v>0</v>
      </c>
      <c r="AM8" s="13">
        <f t="shared" si="1"/>
        <v>0</v>
      </c>
      <c r="AN8" s="10"/>
    </row>
    <row r="9" spans="1:40" ht="16">
      <c r="A9" s="7" t="s">
        <v>100</v>
      </c>
      <c r="B9" s="7">
        <v>29831093</v>
      </c>
      <c r="C9" s="7"/>
      <c r="D9" s="7" t="s">
        <v>118</v>
      </c>
      <c r="E9" s="7" t="s">
        <v>119</v>
      </c>
      <c r="F9" s="7"/>
      <c r="G9" s="11" t="s">
        <v>120</v>
      </c>
      <c r="H9" s="7"/>
      <c r="I9" s="7"/>
      <c r="J9" s="7"/>
      <c r="K9" s="10"/>
      <c r="L9" s="16"/>
      <c r="M9" s="16"/>
      <c r="N9" s="10"/>
      <c r="O9" s="16"/>
      <c r="P9" s="16"/>
      <c r="Q9" s="10"/>
      <c r="R9" s="16"/>
      <c r="S9" s="16"/>
      <c r="T9" s="10"/>
      <c r="U9" s="16"/>
      <c r="V9" s="16"/>
      <c r="W9" s="10"/>
      <c r="X9" s="16"/>
      <c r="Y9" s="16"/>
      <c r="Z9" s="16"/>
      <c r="AA9" s="10"/>
      <c r="AB9" s="16"/>
      <c r="AC9" s="16"/>
      <c r="AD9" s="10"/>
      <c r="AE9" s="16"/>
      <c r="AF9" s="16"/>
      <c r="AG9" s="10"/>
      <c r="AH9" s="16"/>
      <c r="AI9" s="10"/>
      <c r="AJ9" s="16"/>
      <c r="AK9" s="16"/>
      <c r="AL9" s="2">
        <f t="shared" si="0"/>
        <v>0</v>
      </c>
      <c r="AM9" s="13">
        <f t="shared" si="1"/>
        <v>0</v>
      </c>
      <c r="AN9" s="16"/>
    </row>
    <row r="10" spans="1:40" ht="16">
      <c r="A10" s="7" t="s">
        <v>110</v>
      </c>
      <c r="B10" s="7">
        <v>32298149</v>
      </c>
      <c r="C10" s="7"/>
      <c r="D10" s="7" t="s">
        <v>125</v>
      </c>
      <c r="E10" s="7" t="s">
        <v>126</v>
      </c>
      <c r="F10" s="7"/>
      <c r="G10" s="11" t="s">
        <v>127</v>
      </c>
      <c r="H10" s="7"/>
      <c r="I10" s="7"/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2">
        <f t="shared" si="0"/>
        <v>0</v>
      </c>
      <c r="AM10" s="13">
        <f t="shared" si="1"/>
        <v>0</v>
      </c>
      <c r="AN10" s="10"/>
    </row>
    <row r="11" spans="1:40" ht="16">
      <c r="A11" s="7" t="s">
        <v>121</v>
      </c>
      <c r="B11" s="7">
        <v>32975920</v>
      </c>
      <c r="C11" s="7"/>
      <c r="D11" s="7" t="s">
        <v>139</v>
      </c>
      <c r="E11" s="7" t="s">
        <v>140</v>
      </c>
      <c r="F11" s="7"/>
      <c r="G11" s="11" t="s">
        <v>141</v>
      </c>
      <c r="H11" s="7"/>
      <c r="I11" s="7"/>
      <c r="J11" s="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2">
        <f t="shared" si="0"/>
        <v>0</v>
      </c>
      <c r="AM11" s="13">
        <f t="shared" si="1"/>
        <v>0</v>
      </c>
      <c r="AN11" s="10"/>
    </row>
    <row r="12" spans="1:40" ht="16">
      <c r="A12" s="7" t="s">
        <v>132</v>
      </c>
      <c r="B12" s="7">
        <v>34577726</v>
      </c>
      <c r="C12" s="7"/>
      <c r="D12" s="7" t="s">
        <v>154</v>
      </c>
      <c r="E12" s="7" t="s">
        <v>156</v>
      </c>
      <c r="F12" s="7"/>
      <c r="G12" s="11" t="s">
        <v>158</v>
      </c>
      <c r="H12" s="7"/>
      <c r="I12" s="7"/>
      <c r="J12" s="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2">
        <f t="shared" si="0"/>
        <v>0</v>
      </c>
      <c r="AM12" s="13">
        <f t="shared" si="1"/>
        <v>0</v>
      </c>
      <c r="AN12" s="10"/>
    </row>
    <row r="13" spans="1:40" ht="16">
      <c r="A13" s="7" t="s">
        <v>142</v>
      </c>
      <c r="B13" s="7">
        <v>32751596</v>
      </c>
      <c r="C13" s="7"/>
      <c r="D13" s="7" t="s">
        <v>161</v>
      </c>
      <c r="E13" s="7" t="s">
        <v>163</v>
      </c>
      <c r="F13" s="7"/>
      <c r="G13" s="11" t="s">
        <v>164</v>
      </c>
      <c r="H13" s="7"/>
      <c r="I13" s="7"/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2">
        <f t="shared" si="0"/>
        <v>0</v>
      </c>
      <c r="AM13" s="13">
        <f t="shared" si="1"/>
        <v>0</v>
      </c>
      <c r="AN13" s="10"/>
    </row>
    <row r="14" spans="1:40" ht="16">
      <c r="A14" s="7" t="s">
        <v>152</v>
      </c>
      <c r="B14" s="7">
        <v>32400287</v>
      </c>
      <c r="C14" s="7"/>
      <c r="D14" s="7" t="s">
        <v>175</v>
      </c>
      <c r="E14" s="7" t="s">
        <v>176</v>
      </c>
      <c r="F14" s="7"/>
      <c r="G14" s="11" t="s">
        <v>178</v>
      </c>
      <c r="H14" s="7"/>
      <c r="I14" s="7"/>
      <c r="J14" s="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2">
        <f t="shared" si="0"/>
        <v>0</v>
      </c>
      <c r="AM14" s="13">
        <f t="shared" si="1"/>
        <v>0</v>
      </c>
      <c r="AN14" s="10"/>
    </row>
    <row r="15" spans="1:40" ht="16">
      <c r="A15" s="7" t="s">
        <v>160</v>
      </c>
      <c r="B15" s="7">
        <v>28332600</v>
      </c>
      <c r="C15" s="7"/>
      <c r="D15" s="7" t="s">
        <v>185</v>
      </c>
      <c r="E15" s="7" t="s">
        <v>187</v>
      </c>
      <c r="F15" s="7"/>
      <c r="G15" s="11" t="s">
        <v>190</v>
      </c>
      <c r="H15" s="7"/>
      <c r="I15" s="7"/>
      <c r="J15" s="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2">
        <f t="shared" si="0"/>
        <v>0</v>
      </c>
      <c r="AM15" s="13">
        <f t="shared" si="1"/>
        <v>0</v>
      </c>
      <c r="AN15" s="10"/>
    </row>
    <row r="16" spans="1:40" ht="15.75" customHeight="1">
      <c r="A16" s="7" t="s">
        <v>174</v>
      </c>
      <c r="B16" s="7">
        <v>32504248</v>
      </c>
      <c r="C16" s="7"/>
      <c r="D16" s="7" t="s">
        <v>195</v>
      </c>
      <c r="E16" s="7" t="s">
        <v>196</v>
      </c>
      <c r="F16" s="7"/>
      <c r="G16" s="11" t="s">
        <v>197</v>
      </c>
      <c r="H16" s="7"/>
      <c r="I16" s="7"/>
      <c r="J16" s="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2">
        <f t="shared" si="0"/>
        <v>0</v>
      </c>
      <c r="AM16" s="13">
        <f t="shared" si="1"/>
        <v>0</v>
      </c>
      <c r="AN16" s="10"/>
    </row>
    <row r="17" spans="1:40" ht="15.75" customHeight="1">
      <c r="A17" s="7" t="s">
        <v>191</v>
      </c>
      <c r="B17" s="7">
        <v>29863140</v>
      </c>
      <c r="C17" s="7"/>
      <c r="D17" s="7" t="s">
        <v>210</v>
      </c>
      <c r="E17" s="7" t="s">
        <v>211</v>
      </c>
      <c r="F17" s="7"/>
      <c r="G17" s="11" t="s">
        <v>212</v>
      </c>
      <c r="H17" s="7"/>
      <c r="I17" s="7"/>
      <c r="J17" s="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2">
        <f t="shared" si="0"/>
        <v>0</v>
      </c>
      <c r="AM17" s="13">
        <f t="shared" si="1"/>
        <v>0</v>
      </c>
      <c r="AN17" s="10"/>
    </row>
    <row r="18" spans="1:40" ht="15.75" customHeight="1">
      <c r="A18" s="7" t="s">
        <v>198</v>
      </c>
      <c r="B18" s="7">
        <v>30496151</v>
      </c>
      <c r="C18" s="7"/>
      <c r="D18" s="7" t="s">
        <v>219</v>
      </c>
      <c r="E18" s="7" t="s">
        <v>220</v>
      </c>
      <c r="F18" s="7"/>
      <c r="G18" s="11" t="s">
        <v>222</v>
      </c>
      <c r="H18" s="7"/>
      <c r="I18" s="7"/>
      <c r="J18" s="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2">
        <f t="shared" si="0"/>
        <v>0</v>
      </c>
      <c r="AM18" s="13">
        <f t="shared" si="1"/>
        <v>0</v>
      </c>
      <c r="AN18" s="10"/>
    </row>
    <row r="19" spans="1:40" ht="15.75" customHeight="1">
      <c r="A19" s="7" t="s">
        <v>213</v>
      </c>
      <c r="B19" s="7">
        <v>28333306</v>
      </c>
      <c r="C19" s="7"/>
      <c r="D19" s="7" t="s">
        <v>235</v>
      </c>
      <c r="E19" s="7" t="s">
        <v>236</v>
      </c>
      <c r="F19" s="7"/>
      <c r="G19" s="11" t="s">
        <v>237</v>
      </c>
      <c r="H19" s="7"/>
      <c r="I19" s="7"/>
      <c r="J19" s="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2">
        <f t="shared" si="0"/>
        <v>0</v>
      </c>
      <c r="AM19" s="13">
        <f t="shared" si="1"/>
        <v>0</v>
      </c>
      <c r="AN19" s="10"/>
    </row>
    <row r="20" spans="1:40" ht="15.75" customHeight="1">
      <c r="A20" s="7" t="s">
        <v>217</v>
      </c>
      <c r="B20" s="7">
        <v>33913699</v>
      </c>
      <c r="C20" s="7"/>
      <c r="D20" s="7" t="s">
        <v>246</v>
      </c>
      <c r="E20" s="7" t="s">
        <v>156</v>
      </c>
      <c r="F20" s="7"/>
      <c r="G20" s="11" t="s">
        <v>247</v>
      </c>
      <c r="H20" s="7"/>
      <c r="I20" s="7"/>
      <c r="J20" s="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2">
        <f t="shared" si="0"/>
        <v>0</v>
      </c>
      <c r="AM20" s="13">
        <f t="shared" si="1"/>
        <v>0</v>
      </c>
      <c r="AN20" s="10"/>
    </row>
    <row r="21" spans="1:40" ht="15.75" customHeight="1">
      <c r="A21" s="7" t="s">
        <v>231</v>
      </c>
      <c r="B21" s="7">
        <v>28472240</v>
      </c>
      <c r="C21" s="7"/>
      <c r="D21" s="7" t="s">
        <v>252</v>
      </c>
      <c r="E21" s="7" t="s">
        <v>253</v>
      </c>
      <c r="F21" s="7"/>
      <c r="G21" s="11" t="s">
        <v>254</v>
      </c>
      <c r="H21" s="7"/>
      <c r="I21" s="7"/>
      <c r="J21" s="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2">
        <f t="shared" si="0"/>
        <v>0</v>
      </c>
      <c r="AM21" s="13">
        <f t="shared" si="1"/>
        <v>0</v>
      </c>
      <c r="AN21" s="10"/>
    </row>
    <row r="22" spans="1:40" ht="15.75" customHeight="1">
      <c r="A22" s="7" t="s">
        <v>238</v>
      </c>
      <c r="B22" s="7">
        <v>31423226</v>
      </c>
      <c r="C22" s="7"/>
      <c r="D22" s="7" t="s">
        <v>267</v>
      </c>
      <c r="E22" s="7" t="s">
        <v>268</v>
      </c>
      <c r="F22" s="7"/>
      <c r="G22" s="11" t="s">
        <v>269</v>
      </c>
      <c r="H22" s="7"/>
      <c r="I22" s="7"/>
      <c r="J22" s="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2">
        <f t="shared" si="0"/>
        <v>0</v>
      </c>
      <c r="AM22" s="13">
        <f t="shared" si="1"/>
        <v>0</v>
      </c>
      <c r="AN22" s="10"/>
    </row>
    <row r="23" spans="1:40" ht="15.75" customHeight="1">
      <c r="A23" s="7" t="s">
        <v>248</v>
      </c>
      <c r="B23" s="7">
        <v>30719538</v>
      </c>
      <c r="C23" s="7"/>
      <c r="D23" s="7" t="s">
        <v>274</v>
      </c>
      <c r="E23" s="7" t="s">
        <v>275</v>
      </c>
      <c r="F23" s="7"/>
      <c r="G23" s="11" t="s">
        <v>276</v>
      </c>
      <c r="H23" s="7"/>
      <c r="I23" s="7"/>
      <c r="J23" s="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2">
        <f t="shared" si="0"/>
        <v>0</v>
      </c>
      <c r="AM23" s="13">
        <f t="shared" si="1"/>
        <v>0</v>
      </c>
      <c r="AN23" s="10"/>
    </row>
    <row r="24" spans="1:40" ht="15.75" customHeight="1">
      <c r="A24" s="7" t="s">
        <v>262</v>
      </c>
      <c r="B24" s="7">
        <v>29529934</v>
      </c>
      <c r="C24" s="7"/>
      <c r="D24" s="7" t="s">
        <v>290</v>
      </c>
      <c r="E24" s="7" t="s">
        <v>291</v>
      </c>
      <c r="F24" s="7"/>
      <c r="G24" s="11" t="s">
        <v>292</v>
      </c>
      <c r="H24" s="7"/>
      <c r="I24" s="7"/>
      <c r="J24" s="7"/>
      <c r="K24" s="21"/>
      <c r="L24" s="10"/>
      <c r="M24" s="10"/>
      <c r="N24" s="21"/>
      <c r="O24" s="10"/>
      <c r="P24" s="10"/>
      <c r="Q24" s="21"/>
      <c r="R24" s="10"/>
      <c r="S24" s="10"/>
      <c r="T24" s="21"/>
      <c r="U24" s="10"/>
      <c r="V24" s="10"/>
      <c r="W24" s="21"/>
      <c r="X24" s="10"/>
      <c r="Y24" s="10"/>
      <c r="Z24" s="10"/>
      <c r="AA24" s="21"/>
      <c r="AB24" s="10"/>
      <c r="AC24" s="10"/>
      <c r="AD24" s="21"/>
      <c r="AE24" s="10"/>
      <c r="AF24" s="10"/>
      <c r="AG24" s="21"/>
      <c r="AH24" s="10"/>
      <c r="AI24" s="21"/>
      <c r="AJ24" s="10"/>
      <c r="AK24" s="10"/>
      <c r="AL24" s="2">
        <f t="shared" si="0"/>
        <v>0</v>
      </c>
      <c r="AM24" s="13">
        <f t="shared" si="1"/>
        <v>0</v>
      </c>
      <c r="AN24" s="10"/>
    </row>
    <row r="25" spans="1:40" ht="15.75" customHeight="1">
      <c r="A25" s="7" t="s">
        <v>270</v>
      </c>
      <c r="B25" s="7">
        <v>30906520</v>
      </c>
      <c r="C25" s="7"/>
      <c r="D25" s="7" t="s">
        <v>298</v>
      </c>
      <c r="E25" s="7" t="s">
        <v>56</v>
      </c>
      <c r="F25" s="7"/>
      <c r="G25" s="11" t="s">
        <v>299</v>
      </c>
      <c r="H25" s="7"/>
      <c r="I25" s="7"/>
      <c r="J25" s="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2">
        <f t="shared" si="0"/>
        <v>0</v>
      </c>
      <c r="AM25" s="13">
        <f t="shared" si="1"/>
        <v>0</v>
      </c>
      <c r="AN25" s="10"/>
    </row>
    <row r="26" spans="1:40" ht="15.75" customHeight="1">
      <c r="A26" s="7" t="s">
        <v>281</v>
      </c>
      <c r="B26" s="7">
        <v>32937074</v>
      </c>
      <c r="C26" s="7"/>
      <c r="D26" s="7" t="s">
        <v>312</v>
      </c>
      <c r="E26" s="7" t="s">
        <v>313</v>
      </c>
      <c r="F26" s="7"/>
      <c r="G26" s="11" t="s">
        <v>314</v>
      </c>
      <c r="H26" s="7"/>
      <c r="I26" s="7"/>
      <c r="J26" s="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2">
        <f t="shared" si="0"/>
        <v>0</v>
      </c>
      <c r="AM26" s="13">
        <f t="shared" si="1"/>
        <v>0</v>
      </c>
      <c r="AN26" s="10"/>
    </row>
    <row r="27" spans="1:40" ht="15.75" customHeight="1">
      <c r="A27" s="7" t="s">
        <v>293</v>
      </c>
      <c r="B27" s="7">
        <v>30156914</v>
      </c>
      <c r="C27" s="7"/>
      <c r="D27" s="7" t="s">
        <v>312</v>
      </c>
      <c r="E27" s="7" t="s">
        <v>56</v>
      </c>
      <c r="F27" s="7"/>
      <c r="G27" s="11" t="s">
        <v>324</v>
      </c>
      <c r="H27" s="7"/>
      <c r="I27" s="7"/>
      <c r="J27" s="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2">
        <f t="shared" si="0"/>
        <v>0</v>
      </c>
      <c r="AM27" s="13">
        <f t="shared" si="1"/>
        <v>0</v>
      </c>
      <c r="AN27" s="10"/>
    </row>
    <row r="28" spans="1:40" ht="15.75" customHeight="1">
      <c r="A28" s="7" t="s">
        <v>304</v>
      </c>
      <c r="B28" s="7">
        <v>32535207</v>
      </c>
      <c r="C28" s="7"/>
      <c r="D28" s="7" t="s">
        <v>330</v>
      </c>
      <c r="E28" s="7" t="s">
        <v>56</v>
      </c>
      <c r="F28" s="7"/>
      <c r="G28" s="11" t="s">
        <v>332</v>
      </c>
      <c r="H28" s="7"/>
      <c r="I28" s="7"/>
      <c r="J28" s="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2">
        <f t="shared" si="0"/>
        <v>0</v>
      </c>
      <c r="AM28" s="13">
        <f t="shared" si="1"/>
        <v>0</v>
      </c>
      <c r="AN28" s="10"/>
    </row>
    <row r="29" spans="1:40" ht="15.75" customHeight="1">
      <c r="A29" s="7" t="s">
        <v>315</v>
      </c>
      <c r="B29" s="7">
        <v>32333575</v>
      </c>
      <c r="C29" s="7"/>
      <c r="D29" s="7" t="s">
        <v>342</v>
      </c>
      <c r="E29" s="7" t="s">
        <v>343</v>
      </c>
      <c r="F29" s="7"/>
      <c r="G29" s="11" t="s">
        <v>344</v>
      </c>
      <c r="H29" s="7"/>
      <c r="I29" s="7"/>
      <c r="J29" s="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2">
        <f t="shared" si="0"/>
        <v>0</v>
      </c>
      <c r="AM29" s="13">
        <f t="shared" si="1"/>
        <v>0</v>
      </c>
      <c r="AN29" s="10"/>
    </row>
    <row r="30" spans="1:40" ht="15.75" customHeight="1">
      <c r="A30" s="7" t="s">
        <v>322</v>
      </c>
      <c r="B30" s="7">
        <v>30030418</v>
      </c>
      <c r="C30" s="7"/>
      <c r="D30" s="7" t="s">
        <v>353</v>
      </c>
      <c r="E30" s="7" t="s">
        <v>355</v>
      </c>
      <c r="F30" s="7"/>
      <c r="G30" s="11" t="s">
        <v>358</v>
      </c>
      <c r="H30" s="7"/>
      <c r="I30" s="7"/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2">
        <f t="shared" si="0"/>
        <v>0</v>
      </c>
      <c r="AM30" s="13">
        <f t="shared" si="1"/>
        <v>0</v>
      </c>
      <c r="AN30" s="10"/>
    </row>
    <row r="31" spans="1:40" ht="15.75" customHeight="1">
      <c r="A31" s="7" t="s">
        <v>331</v>
      </c>
      <c r="B31" s="7">
        <v>27588690</v>
      </c>
      <c r="C31" s="7"/>
      <c r="D31" s="7" t="s">
        <v>360</v>
      </c>
      <c r="E31" s="7" t="s">
        <v>220</v>
      </c>
      <c r="F31" s="7"/>
      <c r="G31" s="11" t="s">
        <v>361</v>
      </c>
      <c r="H31" s="7"/>
      <c r="I31" s="7"/>
      <c r="J31" s="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2">
        <f t="shared" si="0"/>
        <v>0</v>
      </c>
      <c r="AM31" s="13">
        <f t="shared" si="1"/>
        <v>0</v>
      </c>
      <c r="AN31" s="10"/>
    </row>
    <row r="32" spans="1:40" ht="15.75" customHeight="1">
      <c r="A32" s="7" t="s">
        <v>345</v>
      </c>
      <c r="B32" s="7">
        <v>30042661</v>
      </c>
      <c r="C32" s="7"/>
      <c r="D32" s="7" t="s">
        <v>370</v>
      </c>
      <c r="E32" s="7" t="s">
        <v>183</v>
      </c>
      <c r="F32" s="7"/>
      <c r="G32" s="11" t="s">
        <v>371</v>
      </c>
      <c r="H32" s="7"/>
      <c r="I32" s="7"/>
      <c r="J32" s="7"/>
      <c r="K32" s="10"/>
      <c r="L32" s="10"/>
      <c r="M32" s="10"/>
      <c r="N32" s="10"/>
      <c r="O32" s="10"/>
      <c r="P32" s="10" t="s">
        <v>52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2">
        <f t="shared" si="0"/>
        <v>0</v>
      </c>
      <c r="AM32" s="13">
        <f t="shared" si="1"/>
        <v>0</v>
      </c>
      <c r="AN32" s="10"/>
    </row>
    <row r="33" spans="1:40" ht="15.75" customHeight="1">
      <c r="A33" s="7"/>
      <c r="B33" s="7"/>
      <c r="C33" s="7"/>
      <c r="D33" s="24"/>
      <c r="E33" s="24"/>
      <c r="F33" s="25" t="s">
        <v>359</v>
      </c>
      <c r="G33" s="24"/>
      <c r="H33" s="24"/>
      <c r="I33" s="24"/>
      <c r="J33" s="24"/>
      <c r="K33" s="26">
        <f t="shared" ref="K33:AK33" si="2">COUNTA(K3:K32)</f>
        <v>0</v>
      </c>
      <c r="L33" s="26">
        <f t="shared" si="2"/>
        <v>0</v>
      </c>
      <c r="M33" s="26">
        <f t="shared" si="2"/>
        <v>0</v>
      </c>
      <c r="N33" s="26">
        <f t="shared" si="2"/>
        <v>0</v>
      </c>
      <c r="O33" s="26">
        <f t="shared" si="2"/>
        <v>0</v>
      </c>
      <c r="P33" s="26">
        <f t="shared" si="2"/>
        <v>1</v>
      </c>
      <c r="Q33" s="26">
        <f t="shared" si="2"/>
        <v>0</v>
      </c>
      <c r="R33" s="26">
        <f t="shared" si="2"/>
        <v>0</v>
      </c>
      <c r="S33" s="26">
        <f t="shared" si="2"/>
        <v>0</v>
      </c>
      <c r="T33" s="26">
        <f t="shared" si="2"/>
        <v>0</v>
      </c>
      <c r="U33" s="26">
        <f t="shared" si="2"/>
        <v>0</v>
      </c>
      <c r="V33" s="26">
        <f t="shared" si="2"/>
        <v>0</v>
      </c>
      <c r="W33" s="26">
        <f t="shared" si="2"/>
        <v>0</v>
      </c>
      <c r="X33" s="26">
        <f t="shared" si="2"/>
        <v>0</v>
      </c>
      <c r="Y33" s="26">
        <f t="shared" si="2"/>
        <v>0</v>
      </c>
      <c r="Z33" s="26">
        <f t="shared" si="2"/>
        <v>0</v>
      </c>
      <c r="AA33" s="26">
        <f t="shared" si="2"/>
        <v>0</v>
      </c>
      <c r="AB33" s="26">
        <f t="shared" si="2"/>
        <v>0</v>
      </c>
      <c r="AC33" s="26">
        <f t="shared" si="2"/>
        <v>0</v>
      </c>
      <c r="AD33" s="26">
        <f t="shared" si="2"/>
        <v>0</v>
      </c>
      <c r="AE33" s="26">
        <f t="shared" si="2"/>
        <v>0</v>
      </c>
      <c r="AF33" s="26">
        <f t="shared" si="2"/>
        <v>0</v>
      </c>
      <c r="AG33" s="26">
        <f t="shared" si="2"/>
        <v>0</v>
      </c>
      <c r="AH33" s="26">
        <f t="shared" si="2"/>
        <v>0</v>
      </c>
      <c r="AI33" s="26">
        <f t="shared" si="2"/>
        <v>0</v>
      </c>
      <c r="AJ33" s="26">
        <f t="shared" si="2"/>
        <v>0</v>
      </c>
      <c r="AK33" s="26">
        <f t="shared" si="2"/>
        <v>0</v>
      </c>
      <c r="AL33" s="24"/>
      <c r="AM33" s="27">
        <f>AVERAGE(K33:AK33)</f>
        <v>3.7037037037037035E-2</v>
      </c>
      <c r="AN33" s="24"/>
    </row>
    <row r="34" spans="1:40" ht="15.75" customHeight="1">
      <c r="A34" s="7"/>
      <c r="B34" s="7"/>
      <c r="C34" s="7"/>
      <c r="D34" s="28"/>
      <c r="E34" s="28"/>
      <c r="F34" s="29" t="s">
        <v>379</v>
      </c>
      <c r="G34" s="28"/>
      <c r="H34" s="28"/>
      <c r="I34" s="28"/>
      <c r="J34" s="28"/>
      <c r="K34" s="15">
        <f t="shared" ref="K34:AK34" si="3">SUM(K3:K32)</f>
        <v>0</v>
      </c>
      <c r="L34" s="15">
        <f t="shared" si="3"/>
        <v>0</v>
      </c>
      <c r="M34" s="15">
        <f t="shared" si="3"/>
        <v>0</v>
      </c>
      <c r="N34" s="15">
        <f t="shared" si="3"/>
        <v>0</v>
      </c>
      <c r="O34" s="15">
        <f t="shared" si="3"/>
        <v>0</v>
      </c>
      <c r="P34" s="15">
        <f t="shared" si="3"/>
        <v>0</v>
      </c>
      <c r="Q34" s="15">
        <f t="shared" si="3"/>
        <v>0</v>
      </c>
      <c r="R34" s="15">
        <f t="shared" si="3"/>
        <v>0</v>
      </c>
      <c r="S34" s="15">
        <f t="shared" si="3"/>
        <v>0</v>
      </c>
      <c r="T34" s="15">
        <f t="shared" si="3"/>
        <v>0</v>
      </c>
      <c r="U34" s="15">
        <f t="shared" si="3"/>
        <v>0</v>
      </c>
      <c r="V34" s="15">
        <f t="shared" si="3"/>
        <v>0</v>
      </c>
      <c r="W34" s="15">
        <f t="shared" si="3"/>
        <v>0</v>
      </c>
      <c r="X34" s="15">
        <f t="shared" si="3"/>
        <v>0</v>
      </c>
      <c r="Y34" s="15">
        <f t="shared" si="3"/>
        <v>0</v>
      </c>
      <c r="Z34" s="15">
        <f t="shared" si="3"/>
        <v>0</v>
      </c>
      <c r="AA34" s="15">
        <f t="shared" si="3"/>
        <v>0</v>
      </c>
      <c r="AB34" s="15">
        <f t="shared" si="3"/>
        <v>0</v>
      </c>
      <c r="AC34" s="15">
        <f t="shared" si="3"/>
        <v>0</v>
      </c>
      <c r="AD34" s="15">
        <f t="shared" si="3"/>
        <v>0</v>
      </c>
      <c r="AE34" s="15">
        <f t="shared" si="3"/>
        <v>0</v>
      </c>
      <c r="AF34" s="15">
        <f t="shared" si="3"/>
        <v>0</v>
      </c>
      <c r="AG34" s="15">
        <f t="shared" si="3"/>
        <v>0</v>
      </c>
      <c r="AH34" s="15">
        <f t="shared" si="3"/>
        <v>0</v>
      </c>
      <c r="AI34" s="15">
        <f t="shared" si="3"/>
        <v>0</v>
      </c>
      <c r="AJ34" s="15">
        <f t="shared" si="3"/>
        <v>0</v>
      </c>
      <c r="AK34" s="15">
        <f t="shared" si="3"/>
        <v>0</v>
      </c>
      <c r="AL34" s="15">
        <f>SUM(K34:AK34)</f>
        <v>0</v>
      </c>
      <c r="AM34" s="30">
        <f>AL34/COUNTA(K$2:AK$2)</f>
        <v>0</v>
      </c>
      <c r="AN34" s="28"/>
    </row>
    <row r="35" spans="1:40" ht="15.75" customHeight="1"/>
    <row r="36" spans="1:40" ht="15.75" customHeight="1"/>
    <row r="37" spans="1:40" ht="15.75" customHeight="1"/>
    <row r="38" spans="1:40" ht="15.75" customHeight="1"/>
    <row r="39" spans="1:40" ht="15.75" customHeight="1"/>
    <row r="40" spans="1:40" ht="15.75" customHeight="1"/>
    <row r="41" spans="1:40" ht="15.75" customHeight="1"/>
    <row r="42" spans="1:40" ht="15.75" customHeight="1"/>
    <row r="43" spans="1:40" ht="15.75" customHeight="1"/>
    <row r="44" spans="1:40" ht="15.75" customHeight="1"/>
    <row r="45" spans="1:40" ht="15.75" customHeight="1"/>
    <row r="46" spans="1:40" ht="15.75" customHeight="1"/>
    <row r="47" spans="1:40" ht="15.75" customHeight="1"/>
    <row r="48" spans="1:4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1">
    <mergeCell ref="AD1:AF1"/>
    <mergeCell ref="AG1:AH1"/>
    <mergeCell ref="AI1:AK1"/>
    <mergeCell ref="AL1:AM1"/>
    <mergeCell ref="K1:M1"/>
    <mergeCell ref="N1:P1"/>
    <mergeCell ref="Q1:S1"/>
    <mergeCell ref="T1:V1"/>
    <mergeCell ref="W1:X1"/>
    <mergeCell ref="Y1:Z1"/>
    <mergeCell ref="AA1:AC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6"/>
  <sheetViews>
    <sheetView topLeftCell="A2" workbookViewId="0">
      <selection activeCell="E7" sqref="E7:E36"/>
    </sheetView>
  </sheetViews>
  <sheetFormatPr baseColWidth="10" defaultColWidth="8.83203125" defaultRowHeight="15"/>
  <cols>
    <col min="1" max="1" width="16" customWidth="1"/>
    <col min="2" max="2" width="22.33203125" customWidth="1"/>
    <col min="3" max="5" width="16" customWidth="1"/>
    <col min="6" max="29" width="9" customWidth="1"/>
  </cols>
  <sheetData>
    <row r="1" spans="1:29">
      <c r="A1" t="s">
        <v>457</v>
      </c>
      <c r="B1" s="50" t="s">
        <v>478</v>
      </c>
    </row>
    <row r="2" spans="1:29">
      <c r="A2" t="s">
        <v>458</v>
      </c>
      <c r="B2" s="50" t="s">
        <v>479</v>
      </c>
    </row>
    <row r="3" spans="1:29">
      <c r="A3" t="s">
        <v>459</v>
      </c>
      <c r="B3" s="51">
        <v>1</v>
      </c>
    </row>
    <row r="5" spans="1:29">
      <c r="A5" s="54" t="s">
        <v>460</v>
      </c>
      <c r="B5" s="54" t="s">
        <v>461</v>
      </c>
      <c r="C5" s="54" t="s">
        <v>462</v>
      </c>
      <c r="D5" s="54" t="s">
        <v>463</v>
      </c>
      <c r="E5" s="60" t="s">
        <v>480</v>
      </c>
      <c r="F5" s="54" t="s">
        <v>464</v>
      </c>
      <c r="G5" s="54"/>
      <c r="H5" s="54" t="s">
        <v>465</v>
      </c>
      <c r="I5" s="54"/>
      <c r="J5" s="54" t="s">
        <v>466</v>
      </c>
      <c r="K5" s="54"/>
      <c r="L5" s="54" t="s">
        <v>467</v>
      </c>
      <c r="M5" s="54"/>
      <c r="N5" s="54" t="s">
        <v>468</v>
      </c>
      <c r="O5" s="54"/>
      <c r="P5" s="54" t="s">
        <v>469</v>
      </c>
      <c r="Q5" s="54"/>
      <c r="R5" s="54" t="s">
        <v>470</v>
      </c>
      <c r="S5" s="54"/>
      <c r="T5" s="54" t="s">
        <v>471</v>
      </c>
      <c r="U5" s="54"/>
      <c r="V5" s="54" t="s">
        <v>472</v>
      </c>
      <c r="W5" s="54"/>
      <c r="X5" s="54" t="s">
        <v>473</v>
      </c>
      <c r="Y5" s="54"/>
      <c r="Z5" s="54" t="s">
        <v>474</v>
      </c>
      <c r="AA5" s="54"/>
      <c r="AB5" s="54" t="s">
        <v>475</v>
      </c>
      <c r="AC5" s="54"/>
    </row>
    <row r="6" spans="1:29">
      <c r="A6" s="54"/>
      <c r="B6" s="54"/>
      <c r="C6" s="54"/>
      <c r="D6" s="54"/>
      <c r="E6" s="59"/>
      <c r="F6" s="38" t="s">
        <v>476</v>
      </c>
      <c r="G6" s="38" t="s">
        <v>477</v>
      </c>
      <c r="H6" s="38" t="s">
        <v>476</v>
      </c>
      <c r="I6" s="38" t="s">
        <v>477</v>
      </c>
      <c r="J6" s="38" t="s">
        <v>476</v>
      </c>
      <c r="K6" s="38" t="s">
        <v>477</v>
      </c>
      <c r="L6" s="38" t="s">
        <v>476</v>
      </c>
      <c r="M6" s="38" t="s">
        <v>477</v>
      </c>
      <c r="N6" s="38" t="s">
        <v>476</v>
      </c>
      <c r="O6" s="38" t="s">
        <v>477</v>
      </c>
      <c r="P6" s="38" t="s">
        <v>476</v>
      </c>
      <c r="Q6" s="38" t="s">
        <v>477</v>
      </c>
      <c r="R6" s="38" t="s">
        <v>476</v>
      </c>
      <c r="S6" s="38" t="s">
        <v>477</v>
      </c>
      <c r="T6" s="38" t="s">
        <v>476</v>
      </c>
      <c r="U6" s="38" t="s">
        <v>477</v>
      </c>
      <c r="V6" s="38" t="s">
        <v>476</v>
      </c>
      <c r="W6" s="38" t="s">
        <v>477</v>
      </c>
      <c r="X6" s="38" t="s">
        <v>476</v>
      </c>
      <c r="Y6" s="38" t="s">
        <v>477</v>
      </c>
      <c r="Z6" s="38" t="s">
        <v>476</v>
      </c>
      <c r="AA6" s="38" t="s">
        <v>477</v>
      </c>
      <c r="AB6" s="38" t="s">
        <v>476</v>
      </c>
      <c r="AC6" s="38" t="s">
        <v>477</v>
      </c>
    </row>
    <row r="7" spans="1:29">
      <c r="A7" s="39">
        <v>1</v>
      </c>
      <c r="B7" s="40" t="s">
        <v>44</v>
      </c>
      <c r="C7" s="41" t="s">
        <v>43</v>
      </c>
      <c r="D7" s="52" t="s">
        <v>41</v>
      </c>
      <c r="E7" s="52" t="s">
        <v>42</v>
      </c>
      <c r="F7" s="41">
        <v>1</v>
      </c>
      <c r="G7" s="41">
        <v>1</v>
      </c>
      <c r="H7" s="41" t="s">
        <v>53</v>
      </c>
      <c r="I7" s="42" t="s">
        <v>53</v>
      </c>
      <c r="J7" s="41" t="s">
        <v>53</v>
      </c>
      <c r="K7" s="41" t="s">
        <v>53</v>
      </c>
      <c r="L7" s="41">
        <v>2</v>
      </c>
      <c r="M7" s="41" t="s">
        <v>53</v>
      </c>
      <c r="N7" s="41" t="s">
        <v>53</v>
      </c>
      <c r="O7" s="41"/>
      <c r="P7" s="39"/>
      <c r="Q7" s="41" t="s">
        <v>53</v>
      </c>
      <c r="R7" s="41" t="s">
        <v>53</v>
      </c>
      <c r="S7" s="41" t="s">
        <v>53</v>
      </c>
      <c r="T7" s="41" t="s">
        <v>53</v>
      </c>
      <c r="U7" s="41">
        <v>2</v>
      </c>
      <c r="V7" s="41">
        <v>2</v>
      </c>
      <c r="W7" s="39"/>
      <c r="X7" s="41" t="s">
        <v>53</v>
      </c>
      <c r="Y7" s="41" t="s">
        <v>53</v>
      </c>
      <c r="Z7" s="39"/>
      <c r="AA7" s="39"/>
      <c r="AB7" s="39"/>
      <c r="AC7" s="39"/>
    </row>
    <row r="8" spans="1:29">
      <c r="A8" s="39">
        <v>2</v>
      </c>
      <c r="B8" s="43" t="s">
        <v>75</v>
      </c>
      <c r="C8" s="44" t="s">
        <v>74</v>
      </c>
      <c r="D8" s="53" t="s">
        <v>72</v>
      </c>
      <c r="E8" s="53" t="s">
        <v>73</v>
      </c>
      <c r="F8" s="44"/>
      <c r="G8" s="44" t="s">
        <v>53</v>
      </c>
      <c r="H8" s="44" t="s">
        <v>53</v>
      </c>
      <c r="I8" s="45" t="s">
        <v>53</v>
      </c>
      <c r="J8" s="44"/>
      <c r="K8" s="44" t="s">
        <v>53</v>
      </c>
      <c r="L8" s="44" t="s">
        <v>53</v>
      </c>
      <c r="M8" s="44" t="s">
        <v>53</v>
      </c>
      <c r="N8" s="44"/>
      <c r="O8" s="44"/>
      <c r="P8" s="39"/>
      <c r="Q8" s="44" t="s">
        <v>53</v>
      </c>
      <c r="R8" s="44"/>
      <c r="S8" s="44"/>
      <c r="T8" s="44"/>
      <c r="U8" s="44"/>
      <c r="V8" s="44"/>
      <c r="W8" s="39"/>
      <c r="X8" s="44"/>
      <c r="Y8" s="44"/>
      <c r="Z8" s="39"/>
      <c r="AA8" s="39"/>
      <c r="AB8" s="39"/>
      <c r="AC8" s="39"/>
    </row>
    <row r="9" spans="1:29">
      <c r="A9" s="39">
        <v>3</v>
      </c>
      <c r="B9" s="40" t="s">
        <v>56</v>
      </c>
      <c r="C9" s="41" t="s">
        <v>91</v>
      </c>
      <c r="D9" s="52" t="s">
        <v>87</v>
      </c>
      <c r="E9" s="52" t="s">
        <v>90</v>
      </c>
      <c r="F9" s="41"/>
      <c r="G9" s="41"/>
      <c r="H9" s="41"/>
      <c r="I9" s="42"/>
      <c r="J9" s="41"/>
      <c r="K9" s="41"/>
      <c r="L9" s="41"/>
      <c r="M9" s="41"/>
      <c r="N9" s="41"/>
      <c r="O9" s="41"/>
      <c r="P9" s="39"/>
      <c r="Q9" s="41"/>
      <c r="R9" s="41"/>
      <c r="S9" s="41"/>
      <c r="T9" s="41"/>
      <c r="U9" s="41"/>
      <c r="V9" s="41"/>
      <c r="W9" s="39"/>
      <c r="X9" s="41"/>
      <c r="Y9" s="41"/>
      <c r="Z9" s="39"/>
      <c r="AA9" s="39"/>
      <c r="AB9" s="39"/>
      <c r="AC9" s="39"/>
    </row>
    <row r="10" spans="1:29">
      <c r="A10" s="39">
        <v>4</v>
      </c>
      <c r="B10" s="43" t="s">
        <v>111</v>
      </c>
      <c r="C10" s="44" t="s">
        <v>109</v>
      </c>
      <c r="D10" s="53" t="s">
        <v>107</v>
      </c>
      <c r="E10" s="53" t="s">
        <v>108</v>
      </c>
      <c r="F10" s="44"/>
      <c r="G10" s="44" t="s">
        <v>53</v>
      </c>
      <c r="H10" s="44" t="s">
        <v>53</v>
      </c>
      <c r="I10" s="45"/>
      <c r="J10" s="44"/>
      <c r="K10" s="44"/>
      <c r="L10" s="44" t="s">
        <v>53</v>
      </c>
      <c r="M10" s="44" t="s">
        <v>53</v>
      </c>
      <c r="N10" s="44" t="s">
        <v>53</v>
      </c>
      <c r="O10" s="44"/>
      <c r="P10" s="39"/>
      <c r="Q10" s="44"/>
      <c r="R10" s="44" t="s">
        <v>53</v>
      </c>
      <c r="S10" s="44" t="s">
        <v>53</v>
      </c>
      <c r="T10" s="44"/>
      <c r="U10" s="44"/>
      <c r="V10" s="44">
        <v>2</v>
      </c>
      <c r="W10" s="39"/>
      <c r="X10" s="44"/>
      <c r="Y10" s="44"/>
      <c r="Z10" s="39"/>
      <c r="AA10" s="39"/>
      <c r="AB10" s="39"/>
      <c r="AC10" s="39"/>
    </row>
    <row r="11" spans="1:29">
      <c r="A11" s="39">
        <v>5</v>
      </c>
      <c r="B11" s="40" t="s">
        <v>131</v>
      </c>
      <c r="C11" s="41" t="s">
        <v>130</v>
      </c>
      <c r="D11" s="52" t="s">
        <v>128</v>
      </c>
      <c r="E11" s="52" t="s">
        <v>129</v>
      </c>
      <c r="F11" s="41"/>
      <c r="G11" s="41">
        <v>1</v>
      </c>
      <c r="H11" s="41">
        <v>1</v>
      </c>
      <c r="I11" s="42" t="s">
        <v>53</v>
      </c>
      <c r="J11" s="41" t="s">
        <v>53</v>
      </c>
      <c r="K11" s="41" t="s">
        <v>53</v>
      </c>
      <c r="L11" s="41" t="s">
        <v>53</v>
      </c>
      <c r="M11" s="41" t="s">
        <v>53</v>
      </c>
      <c r="N11" s="41" t="s">
        <v>53</v>
      </c>
      <c r="O11" s="41"/>
      <c r="P11" s="39"/>
      <c r="Q11" s="41" t="s">
        <v>53</v>
      </c>
      <c r="R11" s="41" t="s">
        <v>53</v>
      </c>
      <c r="S11" s="41" t="s">
        <v>53</v>
      </c>
      <c r="T11" s="41" t="s">
        <v>53</v>
      </c>
      <c r="U11" s="41" t="s">
        <v>53</v>
      </c>
      <c r="V11" s="41">
        <v>2</v>
      </c>
      <c r="W11" s="39"/>
      <c r="X11" s="41" t="s">
        <v>53</v>
      </c>
      <c r="Y11" s="41">
        <v>1</v>
      </c>
      <c r="Z11" s="39"/>
      <c r="AA11" s="39"/>
      <c r="AB11" s="39"/>
      <c r="AC11" s="39"/>
    </row>
    <row r="12" spans="1:29">
      <c r="A12" s="39">
        <v>6</v>
      </c>
      <c r="B12" s="43" t="s">
        <v>148</v>
      </c>
      <c r="C12" s="44" t="s">
        <v>147</v>
      </c>
      <c r="D12" s="53" t="s">
        <v>145</v>
      </c>
      <c r="E12" s="53" t="s">
        <v>146</v>
      </c>
      <c r="F12" s="44"/>
      <c r="G12" s="44" t="s">
        <v>53</v>
      </c>
      <c r="H12" s="44">
        <v>1</v>
      </c>
      <c r="I12" s="45" t="s">
        <v>53</v>
      </c>
      <c r="J12" s="44" t="s">
        <v>53</v>
      </c>
      <c r="K12" s="44" t="s">
        <v>53</v>
      </c>
      <c r="L12" s="44" t="s">
        <v>53</v>
      </c>
      <c r="M12" s="44" t="s">
        <v>53</v>
      </c>
      <c r="N12" s="44" t="s">
        <v>53</v>
      </c>
      <c r="O12" s="44"/>
      <c r="P12" s="39"/>
      <c r="Q12" s="44" t="s">
        <v>53</v>
      </c>
      <c r="R12" s="44" t="s">
        <v>53</v>
      </c>
      <c r="S12" s="44" t="s">
        <v>53</v>
      </c>
      <c r="T12" s="44">
        <v>1</v>
      </c>
      <c r="U12" s="44" t="s">
        <v>53</v>
      </c>
      <c r="V12" s="44">
        <v>2</v>
      </c>
      <c r="W12" s="39"/>
      <c r="X12" s="44" t="s">
        <v>53</v>
      </c>
      <c r="Y12" s="44" t="s">
        <v>53</v>
      </c>
      <c r="Z12" s="39"/>
      <c r="AA12" s="39"/>
      <c r="AB12" s="39"/>
      <c r="AC12" s="39"/>
    </row>
    <row r="13" spans="1:29">
      <c r="A13" s="39">
        <v>7</v>
      </c>
      <c r="B13" s="40" t="s">
        <v>169</v>
      </c>
      <c r="C13" s="41" t="s">
        <v>168</v>
      </c>
      <c r="D13" s="52" t="s">
        <v>166</v>
      </c>
      <c r="E13" s="52" t="s">
        <v>167</v>
      </c>
      <c r="F13" s="41">
        <v>1</v>
      </c>
      <c r="G13" s="41" t="s">
        <v>53</v>
      </c>
      <c r="H13" s="41" t="s">
        <v>53</v>
      </c>
      <c r="I13" s="42" t="s">
        <v>53</v>
      </c>
      <c r="J13" s="41" t="s">
        <v>53</v>
      </c>
      <c r="K13" s="41" t="s">
        <v>53</v>
      </c>
      <c r="L13" s="41" t="s">
        <v>53</v>
      </c>
      <c r="M13" s="41" t="s">
        <v>53</v>
      </c>
      <c r="N13" s="41" t="s">
        <v>53</v>
      </c>
      <c r="O13" s="41"/>
      <c r="P13" s="39"/>
      <c r="Q13" s="41"/>
      <c r="R13" s="41" t="s">
        <v>53</v>
      </c>
      <c r="S13" s="41" t="s">
        <v>53</v>
      </c>
      <c r="T13" s="41" t="s">
        <v>53</v>
      </c>
      <c r="U13" s="41" t="s">
        <v>53</v>
      </c>
      <c r="V13" s="41">
        <v>2</v>
      </c>
      <c r="W13" s="39"/>
      <c r="X13" s="41" t="s">
        <v>53</v>
      </c>
      <c r="Y13" s="41"/>
      <c r="Z13" s="39"/>
      <c r="AA13" s="39"/>
      <c r="AB13" s="39"/>
      <c r="AC13" s="39"/>
    </row>
    <row r="14" spans="1:29">
      <c r="A14" s="39">
        <v>8</v>
      </c>
      <c r="B14" s="43" t="s">
        <v>183</v>
      </c>
      <c r="C14" s="44" t="s">
        <v>182</v>
      </c>
      <c r="D14" s="53" t="s">
        <v>180</v>
      </c>
      <c r="E14" s="53" t="s">
        <v>181</v>
      </c>
      <c r="F14" s="44">
        <v>1</v>
      </c>
      <c r="G14" s="44" t="s">
        <v>53</v>
      </c>
      <c r="H14" s="44" t="s">
        <v>53</v>
      </c>
      <c r="I14" s="45" t="s">
        <v>53</v>
      </c>
      <c r="J14" s="44" t="s">
        <v>53</v>
      </c>
      <c r="K14" s="44" t="s">
        <v>53</v>
      </c>
      <c r="L14" s="44" t="s">
        <v>53</v>
      </c>
      <c r="M14" s="44"/>
      <c r="N14" s="44" t="s">
        <v>53</v>
      </c>
      <c r="O14" s="44"/>
      <c r="P14" s="39"/>
      <c r="Q14" s="44" t="s">
        <v>53</v>
      </c>
      <c r="R14" s="44"/>
      <c r="S14" s="44"/>
      <c r="T14" s="44" t="s">
        <v>53</v>
      </c>
      <c r="U14" s="44"/>
      <c r="V14" s="44"/>
      <c r="W14" s="39"/>
      <c r="X14" s="44"/>
      <c r="Y14" s="44"/>
      <c r="Z14" s="39"/>
      <c r="AA14" s="39"/>
      <c r="AB14" s="39"/>
      <c r="AC14" s="39"/>
    </row>
    <row r="15" spans="1:29">
      <c r="A15" s="39">
        <v>9</v>
      </c>
      <c r="B15" s="40" t="s">
        <v>205</v>
      </c>
      <c r="C15" s="41" t="s">
        <v>204</v>
      </c>
      <c r="D15" s="52" t="s">
        <v>202</v>
      </c>
      <c r="E15" s="52" t="s">
        <v>203</v>
      </c>
      <c r="F15" s="41">
        <v>1</v>
      </c>
      <c r="G15" s="41" t="s">
        <v>53</v>
      </c>
      <c r="H15" s="41" t="s">
        <v>53</v>
      </c>
      <c r="I15" s="42" t="s">
        <v>53</v>
      </c>
      <c r="J15" s="41" t="s">
        <v>53</v>
      </c>
      <c r="K15" s="41" t="s">
        <v>53</v>
      </c>
      <c r="L15" s="41" t="s">
        <v>53</v>
      </c>
      <c r="M15" s="41" t="s">
        <v>53</v>
      </c>
      <c r="N15" s="41" t="s">
        <v>53</v>
      </c>
      <c r="O15" s="41"/>
      <c r="P15" s="39"/>
      <c r="Q15" s="41" t="s">
        <v>53</v>
      </c>
      <c r="R15" s="41" t="s">
        <v>53</v>
      </c>
      <c r="S15" s="41">
        <v>1</v>
      </c>
      <c r="T15" s="41" t="s">
        <v>53</v>
      </c>
      <c r="U15" s="41" t="s">
        <v>53</v>
      </c>
      <c r="V15" s="41">
        <v>2</v>
      </c>
      <c r="W15" s="39"/>
      <c r="X15" s="41" t="s">
        <v>53</v>
      </c>
      <c r="Y15" s="41">
        <v>1</v>
      </c>
      <c r="Z15" s="39"/>
      <c r="AA15" s="39"/>
      <c r="AB15" s="39"/>
      <c r="AC15" s="39"/>
    </row>
    <row r="16" spans="1:29">
      <c r="A16" s="39">
        <v>10</v>
      </c>
      <c r="B16" s="43" t="s">
        <v>226</v>
      </c>
      <c r="C16" s="44" t="s">
        <v>225</v>
      </c>
      <c r="D16" s="53" t="s">
        <v>223</v>
      </c>
      <c r="E16" s="53" t="s">
        <v>224</v>
      </c>
      <c r="F16" s="44">
        <v>1</v>
      </c>
      <c r="G16" s="44" t="s">
        <v>53</v>
      </c>
      <c r="H16" s="44" t="s">
        <v>53</v>
      </c>
      <c r="I16" s="45" t="s">
        <v>53</v>
      </c>
      <c r="J16" s="44">
        <v>2</v>
      </c>
      <c r="K16" s="44" t="s">
        <v>53</v>
      </c>
      <c r="L16" s="44">
        <v>1</v>
      </c>
      <c r="M16" s="44" t="s">
        <v>53</v>
      </c>
      <c r="N16" s="44">
        <v>2</v>
      </c>
      <c r="O16" s="44"/>
      <c r="P16" s="39"/>
      <c r="Q16" s="44" t="s">
        <v>53</v>
      </c>
      <c r="R16" s="44" t="s">
        <v>53</v>
      </c>
      <c r="S16" s="44" t="s">
        <v>53</v>
      </c>
      <c r="T16" s="44" t="s">
        <v>53</v>
      </c>
      <c r="U16" s="44" t="s">
        <v>53</v>
      </c>
      <c r="V16" s="44">
        <v>2</v>
      </c>
      <c r="W16" s="39"/>
      <c r="X16" s="44"/>
      <c r="Y16" s="44" t="s">
        <v>53</v>
      </c>
      <c r="Z16" s="39"/>
      <c r="AA16" s="39"/>
      <c r="AB16" s="39"/>
      <c r="AC16" s="39"/>
    </row>
    <row r="17" spans="1:29">
      <c r="A17" s="39">
        <v>11</v>
      </c>
      <c r="B17" s="40" t="s">
        <v>220</v>
      </c>
      <c r="C17" s="41" t="s">
        <v>122</v>
      </c>
      <c r="D17" s="52" t="s">
        <v>239</v>
      </c>
      <c r="E17" s="52" t="s">
        <v>240</v>
      </c>
      <c r="F17" s="41">
        <v>1</v>
      </c>
      <c r="G17" s="41" t="s">
        <v>53</v>
      </c>
      <c r="H17" s="41" t="s">
        <v>53</v>
      </c>
      <c r="I17" s="42" t="s">
        <v>53</v>
      </c>
      <c r="J17" s="41" t="s">
        <v>53</v>
      </c>
      <c r="K17" s="41">
        <v>1</v>
      </c>
      <c r="L17" s="41">
        <v>1</v>
      </c>
      <c r="M17" s="41" t="s">
        <v>53</v>
      </c>
      <c r="N17" s="41" t="s">
        <v>53</v>
      </c>
      <c r="O17" s="41"/>
      <c r="P17" s="39"/>
      <c r="Q17" s="41" t="s">
        <v>53</v>
      </c>
      <c r="R17" s="41"/>
      <c r="S17" s="41" t="s">
        <v>53</v>
      </c>
      <c r="T17" s="41"/>
      <c r="U17" s="41" t="s">
        <v>53</v>
      </c>
      <c r="V17" s="41">
        <v>2</v>
      </c>
      <c r="W17" s="39"/>
      <c r="X17" s="41"/>
      <c r="Y17" s="41"/>
      <c r="Z17" s="39"/>
      <c r="AA17" s="39"/>
      <c r="AB17" s="39"/>
      <c r="AC17" s="39"/>
    </row>
    <row r="18" spans="1:29">
      <c r="A18" s="39">
        <v>12</v>
      </c>
      <c r="B18" s="43" t="s">
        <v>258</v>
      </c>
      <c r="C18" s="44" t="s">
        <v>257</v>
      </c>
      <c r="D18" s="19" t="s">
        <v>255</v>
      </c>
      <c r="E18" s="19" t="s">
        <v>256</v>
      </c>
      <c r="F18" s="44"/>
      <c r="G18" s="44">
        <v>1</v>
      </c>
      <c r="H18" s="44">
        <v>1</v>
      </c>
      <c r="I18" s="42" t="s">
        <v>53</v>
      </c>
      <c r="J18" s="44" t="s">
        <v>53</v>
      </c>
      <c r="K18" s="44" t="s">
        <v>53</v>
      </c>
      <c r="L18" s="44" t="s">
        <v>53</v>
      </c>
      <c r="M18" s="44" t="s">
        <v>53</v>
      </c>
      <c r="N18" s="44" t="s">
        <v>53</v>
      </c>
      <c r="O18" s="44"/>
      <c r="P18" s="39"/>
      <c r="Q18" s="44" t="s">
        <v>53</v>
      </c>
      <c r="R18" s="44" t="s">
        <v>53</v>
      </c>
      <c r="S18" s="44" t="s">
        <v>53</v>
      </c>
      <c r="T18" s="44" t="s">
        <v>53</v>
      </c>
      <c r="U18" s="44" t="s">
        <v>53</v>
      </c>
      <c r="V18" s="44" t="s">
        <v>53</v>
      </c>
      <c r="W18" s="39"/>
      <c r="X18" s="44" t="s">
        <v>53</v>
      </c>
      <c r="Y18" s="44" t="s">
        <v>53</v>
      </c>
      <c r="Z18" s="39"/>
      <c r="AA18" s="39"/>
      <c r="AB18" s="39"/>
      <c r="AC18" s="39"/>
    </row>
    <row r="19" spans="1:29">
      <c r="A19" s="39">
        <v>13</v>
      </c>
      <c r="B19" s="40" t="s">
        <v>282</v>
      </c>
      <c r="C19" s="41" t="s">
        <v>280</v>
      </c>
      <c r="D19" s="52" t="s">
        <v>278</v>
      </c>
      <c r="E19" s="52" t="s">
        <v>279</v>
      </c>
      <c r="F19" s="41">
        <v>0.5</v>
      </c>
      <c r="G19" s="41" t="s">
        <v>53</v>
      </c>
      <c r="H19" s="41" t="s">
        <v>53</v>
      </c>
      <c r="I19" s="45" t="s">
        <v>53</v>
      </c>
      <c r="J19" s="41" t="s">
        <v>53</v>
      </c>
      <c r="K19" s="41"/>
      <c r="L19" s="41" t="s">
        <v>294</v>
      </c>
      <c r="M19" s="41" t="s">
        <v>53</v>
      </c>
      <c r="N19" s="41"/>
      <c r="O19" s="41"/>
      <c r="P19" s="39"/>
      <c r="Q19" s="41" t="s">
        <v>53</v>
      </c>
      <c r="R19" s="41"/>
      <c r="S19" s="41" t="s">
        <v>53</v>
      </c>
      <c r="T19" s="41" t="s">
        <v>53</v>
      </c>
      <c r="U19" s="41"/>
      <c r="V19" s="41"/>
      <c r="W19" s="39"/>
      <c r="X19" s="41"/>
      <c r="Y19" s="41" t="s">
        <v>53</v>
      </c>
      <c r="Z19" s="39"/>
      <c r="AA19" s="39"/>
      <c r="AB19" s="39"/>
      <c r="AC19" s="39"/>
    </row>
    <row r="20" spans="1:29">
      <c r="A20" s="39">
        <v>14</v>
      </c>
      <c r="B20" s="43" t="s">
        <v>303</v>
      </c>
      <c r="C20" s="44" t="s">
        <v>302</v>
      </c>
      <c r="D20" s="53" t="s">
        <v>300</v>
      </c>
      <c r="E20" s="53" t="s">
        <v>301</v>
      </c>
      <c r="F20" s="44"/>
      <c r="G20" s="44" t="s">
        <v>53</v>
      </c>
      <c r="H20" s="44" t="s">
        <v>53</v>
      </c>
      <c r="I20" s="42" t="s">
        <v>53</v>
      </c>
      <c r="J20" s="44" t="s">
        <v>53</v>
      </c>
      <c r="K20" s="44">
        <v>3</v>
      </c>
      <c r="L20" s="44" t="s">
        <v>53</v>
      </c>
      <c r="M20" s="44" t="s">
        <v>53</v>
      </c>
      <c r="N20" s="44" t="s">
        <v>53</v>
      </c>
      <c r="O20" s="44"/>
      <c r="P20" s="39"/>
      <c r="Q20" s="44" t="s">
        <v>53</v>
      </c>
      <c r="R20" s="44" t="s">
        <v>53</v>
      </c>
      <c r="S20" s="44" t="s">
        <v>53</v>
      </c>
      <c r="T20" s="44" t="s">
        <v>53</v>
      </c>
      <c r="U20" s="44" t="s">
        <v>53</v>
      </c>
      <c r="V20" s="44">
        <v>2</v>
      </c>
      <c r="W20" s="39"/>
      <c r="X20" s="44" t="s">
        <v>53</v>
      </c>
      <c r="Y20" s="44" t="s">
        <v>53</v>
      </c>
      <c r="Z20" s="39"/>
      <c r="AA20" s="39"/>
      <c r="AB20" s="39"/>
      <c r="AC20" s="39"/>
    </row>
    <row r="21" spans="1:29">
      <c r="A21" s="39">
        <v>15</v>
      </c>
      <c r="B21" s="40" t="s">
        <v>321</v>
      </c>
      <c r="C21" s="41" t="s">
        <v>320</v>
      </c>
      <c r="D21" s="52" t="s">
        <v>318</v>
      </c>
      <c r="E21" s="52" t="s">
        <v>319</v>
      </c>
      <c r="F21" s="41">
        <v>1</v>
      </c>
      <c r="G21" s="41" t="s">
        <v>53</v>
      </c>
      <c r="H21" s="41" t="s">
        <v>53</v>
      </c>
      <c r="I21" s="45">
        <v>1</v>
      </c>
      <c r="J21" s="41">
        <v>1</v>
      </c>
      <c r="K21" s="41" t="s">
        <v>53</v>
      </c>
      <c r="L21" s="41">
        <v>3</v>
      </c>
      <c r="M21" s="41" t="s">
        <v>53</v>
      </c>
      <c r="N21" s="41"/>
      <c r="O21" s="41"/>
      <c r="P21" s="39"/>
      <c r="Q21" s="41"/>
      <c r="R21" s="41"/>
      <c r="S21" s="41" t="s">
        <v>53</v>
      </c>
      <c r="T21" s="41" t="s">
        <v>53</v>
      </c>
      <c r="U21" s="41" t="s">
        <v>53</v>
      </c>
      <c r="V21" s="41">
        <v>2</v>
      </c>
      <c r="W21" s="39"/>
      <c r="X21" s="41"/>
      <c r="Y21" s="41"/>
      <c r="Z21" s="39"/>
      <c r="AA21" s="39"/>
      <c r="AB21" s="39"/>
      <c r="AC21" s="39"/>
    </row>
    <row r="22" spans="1:29">
      <c r="A22" s="39">
        <v>16</v>
      </c>
      <c r="B22" s="43" t="s">
        <v>296</v>
      </c>
      <c r="C22" s="44" t="s">
        <v>338</v>
      </c>
      <c r="D22" s="53" t="s">
        <v>336</v>
      </c>
      <c r="E22" s="53" t="s">
        <v>337</v>
      </c>
      <c r="F22" s="44">
        <v>1</v>
      </c>
      <c r="G22" s="44">
        <v>1</v>
      </c>
      <c r="H22" s="44">
        <v>1</v>
      </c>
      <c r="I22" s="42" t="s">
        <v>53</v>
      </c>
      <c r="J22" s="44" t="s">
        <v>53</v>
      </c>
      <c r="K22" s="44">
        <v>1</v>
      </c>
      <c r="L22" s="44">
        <v>2</v>
      </c>
      <c r="M22" s="44" t="s">
        <v>53</v>
      </c>
      <c r="N22" s="44" t="s">
        <v>53</v>
      </c>
      <c r="O22" s="44"/>
      <c r="P22" s="39"/>
      <c r="Q22" s="44">
        <v>1</v>
      </c>
      <c r="R22" s="44" t="s">
        <v>53</v>
      </c>
      <c r="S22" s="44">
        <v>1</v>
      </c>
      <c r="T22" s="44">
        <v>2</v>
      </c>
      <c r="U22" s="44" t="s">
        <v>53</v>
      </c>
      <c r="V22" s="44">
        <v>2</v>
      </c>
      <c r="W22" s="39"/>
      <c r="X22" s="44">
        <v>1</v>
      </c>
      <c r="Y22" s="44" t="s">
        <v>53</v>
      </c>
      <c r="Z22" s="39"/>
      <c r="AA22" s="39"/>
      <c r="AB22" s="39"/>
      <c r="AC22" s="39"/>
    </row>
    <row r="23" spans="1:29">
      <c r="A23" s="39">
        <v>17</v>
      </c>
      <c r="B23" s="40" t="s">
        <v>352</v>
      </c>
      <c r="C23" s="41" t="s">
        <v>351</v>
      </c>
      <c r="D23" s="52" t="s">
        <v>349</v>
      </c>
      <c r="E23" s="52" t="s">
        <v>350</v>
      </c>
      <c r="F23" s="41">
        <v>1</v>
      </c>
      <c r="G23" s="41" t="s">
        <v>53</v>
      </c>
      <c r="H23" s="41">
        <v>1</v>
      </c>
      <c r="I23" s="45" t="s">
        <v>53</v>
      </c>
      <c r="J23" s="41" t="s">
        <v>53</v>
      </c>
      <c r="K23" s="41" t="s">
        <v>53</v>
      </c>
      <c r="L23" s="41">
        <v>1</v>
      </c>
      <c r="M23" s="41">
        <v>1</v>
      </c>
      <c r="N23" s="41" t="s">
        <v>53</v>
      </c>
      <c r="O23" s="41"/>
      <c r="P23" s="39"/>
      <c r="Q23" s="41" t="s">
        <v>53</v>
      </c>
      <c r="R23" s="41" t="s">
        <v>53</v>
      </c>
      <c r="S23" s="41" t="s">
        <v>53</v>
      </c>
      <c r="T23" s="41">
        <v>1</v>
      </c>
      <c r="U23" s="41" t="s">
        <v>53</v>
      </c>
      <c r="V23" s="41">
        <v>2</v>
      </c>
      <c r="W23" s="39"/>
      <c r="X23" s="41">
        <v>1</v>
      </c>
      <c r="Y23" s="41">
        <v>2</v>
      </c>
      <c r="Z23" s="39"/>
      <c r="AA23" s="39"/>
      <c r="AB23" s="39"/>
      <c r="AC23" s="39"/>
    </row>
    <row r="24" spans="1:29">
      <c r="A24" s="39">
        <v>18</v>
      </c>
      <c r="B24" s="43" t="s">
        <v>365</v>
      </c>
      <c r="C24" s="44" t="s">
        <v>364</v>
      </c>
      <c r="D24" s="19" t="s">
        <v>362</v>
      </c>
      <c r="E24" s="19" t="s">
        <v>363</v>
      </c>
      <c r="F24" s="44"/>
      <c r="G24" s="44" t="s">
        <v>53</v>
      </c>
      <c r="H24" s="44">
        <v>2</v>
      </c>
      <c r="I24" s="42"/>
      <c r="J24" s="44" t="s">
        <v>53</v>
      </c>
      <c r="K24" s="44" t="s">
        <v>53</v>
      </c>
      <c r="L24" s="44" t="s">
        <v>53</v>
      </c>
      <c r="M24" s="44" t="s">
        <v>53</v>
      </c>
      <c r="N24" s="46">
        <v>2</v>
      </c>
      <c r="O24" s="44"/>
      <c r="P24" s="39"/>
      <c r="Q24" s="44"/>
      <c r="R24" s="44" t="s">
        <v>53</v>
      </c>
      <c r="S24" s="44" t="s">
        <v>53</v>
      </c>
      <c r="T24" s="44"/>
      <c r="U24" s="44"/>
      <c r="V24" s="44">
        <v>2</v>
      </c>
      <c r="W24" s="39"/>
      <c r="X24" s="44"/>
      <c r="Y24" s="44">
        <v>1</v>
      </c>
      <c r="Z24" s="39"/>
      <c r="AA24" s="39"/>
      <c r="AB24" s="39"/>
      <c r="AC24" s="39"/>
    </row>
    <row r="25" spans="1:29">
      <c r="A25" s="39">
        <v>19</v>
      </c>
      <c r="B25" s="40" t="s">
        <v>375</v>
      </c>
      <c r="C25" s="41" t="s">
        <v>374</v>
      </c>
      <c r="D25" s="52" t="s">
        <v>372</v>
      </c>
      <c r="E25" s="52" t="s">
        <v>373</v>
      </c>
      <c r="F25" s="41"/>
      <c r="G25" s="41" t="s">
        <v>53</v>
      </c>
      <c r="H25" s="41" t="s">
        <v>53</v>
      </c>
      <c r="I25" s="41" t="s">
        <v>53</v>
      </c>
      <c r="J25" s="41"/>
      <c r="K25" s="41" t="s">
        <v>53</v>
      </c>
      <c r="L25" s="41"/>
      <c r="M25" s="41"/>
      <c r="N25" s="41"/>
      <c r="O25" s="41"/>
      <c r="P25" s="39"/>
      <c r="Q25" s="41"/>
      <c r="R25" s="41"/>
      <c r="S25" s="41"/>
      <c r="T25" s="41"/>
      <c r="U25" s="41"/>
      <c r="V25" s="41"/>
      <c r="W25" s="39"/>
      <c r="X25" s="41"/>
      <c r="Y25" s="41"/>
      <c r="Z25" s="39"/>
      <c r="AA25" s="39"/>
      <c r="AB25" s="39"/>
      <c r="AC25" s="39"/>
    </row>
    <row r="26" spans="1:29">
      <c r="A26" s="39">
        <v>20</v>
      </c>
      <c r="B26" s="43" t="s">
        <v>383</v>
      </c>
      <c r="C26" s="44" t="s">
        <v>382</v>
      </c>
      <c r="D26" s="53" t="s">
        <v>380</v>
      </c>
      <c r="E26" s="53" t="s">
        <v>381</v>
      </c>
      <c r="F26" s="44">
        <v>1</v>
      </c>
      <c r="G26" s="44">
        <v>1</v>
      </c>
      <c r="H26" s="44" t="s">
        <v>53</v>
      </c>
      <c r="I26" s="44" t="s">
        <v>53</v>
      </c>
      <c r="J26" s="44" t="s">
        <v>53</v>
      </c>
      <c r="K26" s="44">
        <v>2</v>
      </c>
      <c r="L26" s="44" t="s">
        <v>53</v>
      </c>
      <c r="M26" s="44" t="s">
        <v>53</v>
      </c>
      <c r="N26" s="44"/>
      <c r="O26" s="44"/>
      <c r="P26" s="39"/>
      <c r="Q26" s="44" t="s">
        <v>53</v>
      </c>
      <c r="R26" s="44"/>
      <c r="S26" s="44"/>
      <c r="T26" s="44"/>
      <c r="U26" s="44" t="s">
        <v>53</v>
      </c>
      <c r="V26" s="44"/>
      <c r="W26" s="39"/>
      <c r="X26" s="44"/>
      <c r="Y26" s="44"/>
      <c r="Z26" s="39"/>
      <c r="AA26" s="39"/>
      <c r="AB26" s="39"/>
      <c r="AC26" s="39"/>
    </row>
    <row r="27" spans="1:29">
      <c r="A27" s="39">
        <v>21</v>
      </c>
      <c r="B27" s="40" t="s">
        <v>390</v>
      </c>
      <c r="C27" s="41" t="s">
        <v>389</v>
      </c>
      <c r="D27" s="19" t="s">
        <v>387</v>
      </c>
      <c r="E27" s="19" t="s">
        <v>388</v>
      </c>
      <c r="F27" s="41">
        <v>1</v>
      </c>
      <c r="G27" s="41" t="s">
        <v>53</v>
      </c>
      <c r="H27" s="41" t="s">
        <v>53</v>
      </c>
      <c r="I27" s="45" t="s">
        <v>53</v>
      </c>
      <c r="J27" s="41" t="s">
        <v>53</v>
      </c>
      <c r="K27" s="41" t="s">
        <v>53</v>
      </c>
      <c r="L27" s="41" t="s">
        <v>53</v>
      </c>
      <c r="M27" s="41" t="s">
        <v>53</v>
      </c>
      <c r="N27" s="41" t="s">
        <v>53</v>
      </c>
      <c r="O27" s="41"/>
      <c r="P27" s="39"/>
      <c r="Q27" s="41" t="s">
        <v>53</v>
      </c>
      <c r="R27" s="41" t="s">
        <v>53</v>
      </c>
      <c r="S27" s="41" t="s">
        <v>53</v>
      </c>
      <c r="T27" s="41" t="s">
        <v>53</v>
      </c>
      <c r="U27" s="41" t="s">
        <v>53</v>
      </c>
      <c r="V27" s="41">
        <v>2</v>
      </c>
      <c r="W27" s="39"/>
      <c r="X27" s="41" t="s">
        <v>53</v>
      </c>
      <c r="Y27" s="41">
        <v>1</v>
      </c>
      <c r="Z27" s="39"/>
      <c r="AA27" s="39"/>
      <c r="AB27" s="39"/>
      <c r="AC27" s="39"/>
    </row>
    <row r="28" spans="1:29">
      <c r="A28" s="39">
        <v>22</v>
      </c>
      <c r="B28" s="43" t="s">
        <v>220</v>
      </c>
      <c r="C28" s="44" t="s">
        <v>397</v>
      </c>
      <c r="D28" s="53" t="s">
        <v>395</v>
      </c>
      <c r="E28" s="53" t="s">
        <v>396</v>
      </c>
      <c r="F28" s="47"/>
      <c r="G28" s="44" t="s">
        <v>53</v>
      </c>
      <c r="H28" s="44" t="s">
        <v>53</v>
      </c>
      <c r="I28" s="45" t="s">
        <v>53</v>
      </c>
      <c r="J28" s="47">
        <v>1</v>
      </c>
      <c r="K28" s="44">
        <v>1</v>
      </c>
      <c r="L28" s="47"/>
      <c r="M28" s="44">
        <v>1</v>
      </c>
      <c r="N28" s="47"/>
      <c r="O28" s="44"/>
      <c r="P28" s="39"/>
      <c r="Q28" s="44"/>
      <c r="R28" s="47"/>
      <c r="S28" s="44"/>
      <c r="T28" s="47"/>
      <c r="U28" s="44"/>
      <c r="V28" s="47"/>
      <c r="W28" s="39"/>
      <c r="X28" s="47"/>
      <c r="Y28" s="44"/>
      <c r="Z28" s="39"/>
      <c r="AA28" s="39"/>
      <c r="AB28" s="39"/>
      <c r="AC28" s="39"/>
    </row>
    <row r="29" spans="1:29">
      <c r="A29" s="39">
        <v>23</v>
      </c>
      <c r="B29" s="40" t="s">
        <v>405</v>
      </c>
      <c r="C29" s="41" t="s">
        <v>404</v>
      </c>
      <c r="D29" s="52" t="s">
        <v>402</v>
      </c>
      <c r="E29" s="52" t="s">
        <v>403</v>
      </c>
      <c r="F29" s="41">
        <v>1</v>
      </c>
      <c r="G29" s="41">
        <v>1</v>
      </c>
      <c r="H29" s="41" t="s">
        <v>53</v>
      </c>
      <c r="I29" s="42" t="s">
        <v>53</v>
      </c>
      <c r="J29" s="41" t="s">
        <v>53</v>
      </c>
      <c r="K29" s="41">
        <v>1</v>
      </c>
      <c r="L29" s="41">
        <v>1</v>
      </c>
      <c r="M29" s="41" t="s">
        <v>53</v>
      </c>
      <c r="N29" s="41" t="s">
        <v>53</v>
      </c>
      <c r="O29" s="41"/>
      <c r="P29" s="39"/>
      <c r="Q29" s="41" t="s">
        <v>53</v>
      </c>
      <c r="R29" s="41" t="s">
        <v>53</v>
      </c>
      <c r="S29" s="41" t="s">
        <v>53</v>
      </c>
      <c r="T29" s="41" t="s">
        <v>53</v>
      </c>
      <c r="U29" s="41">
        <v>3</v>
      </c>
      <c r="V29" s="41">
        <v>2</v>
      </c>
      <c r="W29" s="39"/>
      <c r="X29" s="41">
        <v>1</v>
      </c>
      <c r="Y29" s="41" t="s">
        <v>408</v>
      </c>
      <c r="Z29" s="39"/>
      <c r="AA29" s="39"/>
      <c r="AB29" s="39"/>
      <c r="AC29" s="39"/>
    </row>
    <row r="30" spans="1:29">
      <c r="A30" s="39">
        <v>24</v>
      </c>
      <c r="B30" s="43" t="s">
        <v>47</v>
      </c>
      <c r="C30" s="44" t="s">
        <v>411</v>
      </c>
      <c r="D30" s="53" t="s">
        <v>409</v>
      </c>
      <c r="E30" s="53" t="s">
        <v>410</v>
      </c>
      <c r="F30" s="44"/>
      <c r="G30" s="44" t="s">
        <v>53</v>
      </c>
      <c r="H30" s="44" t="s">
        <v>53</v>
      </c>
      <c r="I30" s="45" t="s">
        <v>53</v>
      </c>
      <c r="J30" s="44" t="s">
        <v>53</v>
      </c>
      <c r="K30" s="44"/>
      <c r="L30" s="44" t="s">
        <v>53</v>
      </c>
      <c r="M30" s="44"/>
      <c r="N30" s="44"/>
      <c r="O30" s="44"/>
      <c r="P30" s="39"/>
      <c r="Q30" s="44"/>
      <c r="R30" s="44"/>
      <c r="S30" s="44"/>
      <c r="T30" s="44"/>
      <c r="U30" s="44"/>
      <c r="V30" s="44"/>
      <c r="W30" s="39"/>
      <c r="X30" s="44"/>
      <c r="Y30" s="44"/>
      <c r="Z30" s="39"/>
      <c r="AA30" s="39"/>
      <c r="AB30" s="39"/>
      <c r="AC30" s="39"/>
    </row>
    <row r="31" spans="1:29">
      <c r="A31" s="39">
        <v>25</v>
      </c>
      <c r="B31" s="40" t="s">
        <v>418</v>
      </c>
      <c r="C31" s="41" t="s">
        <v>417</v>
      </c>
      <c r="D31" s="52" t="s">
        <v>415</v>
      </c>
      <c r="E31" s="52" t="s">
        <v>416</v>
      </c>
      <c r="F31" s="41">
        <v>1</v>
      </c>
      <c r="G31" s="41" t="s">
        <v>53</v>
      </c>
      <c r="H31" s="41" t="s">
        <v>408</v>
      </c>
      <c r="I31" s="42">
        <v>1</v>
      </c>
      <c r="J31" s="41" t="s">
        <v>53</v>
      </c>
      <c r="K31" s="41"/>
      <c r="L31" s="41">
        <v>5</v>
      </c>
      <c r="M31" s="41" t="s">
        <v>53</v>
      </c>
      <c r="N31" s="41" t="s">
        <v>53</v>
      </c>
      <c r="O31" s="41"/>
      <c r="P31" s="39"/>
      <c r="Q31" s="41" t="s">
        <v>53</v>
      </c>
      <c r="R31" s="48" t="s">
        <v>294</v>
      </c>
      <c r="S31" s="41" t="s">
        <v>53</v>
      </c>
      <c r="T31" s="41" t="s">
        <v>53</v>
      </c>
      <c r="U31" s="41">
        <v>2</v>
      </c>
      <c r="V31" s="41">
        <v>2</v>
      </c>
      <c r="W31" s="39"/>
      <c r="X31" s="41"/>
      <c r="Y31" s="41"/>
      <c r="Z31" s="39"/>
      <c r="AA31" s="39"/>
      <c r="AB31" s="39"/>
      <c r="AC31" s="39"/>
    </row>
    <row r="32" spans="1:29">
      <c r="A32" s="39">
        <v>26</v>
      </c>
      <c r="B32" s="43" t="s">
        <v>425</v>
      </c>
      <c r="C32" s="44" t="s">
        <v>424</v>
      </c>
      <c r="D32" s="53" t="s">
        <v>422</v>
      </c>
      <c r="E32" s="53" t="s">
        <v>423</v>
      </c>
      <c r="F32" s="44">
        <v>1</v>
      </c>
      <c r="G32" s="44">
        <v>2</v>
      </c>
      <c r="H32" s="44" t="s">
        <v>53</v>
      </c>
      <c r="I32" s="45">
        <v>1</v>
      </c>
      <c r="J32" s="44">
        <v>1</v>
      </c>
      <c r="K32" s="44">
        <v>2</v>
      </c>
      <c r="L32" s="44">
        <v>2</v>
      </c>
      <c r="M32" s="44" t="s">
        <v>53</v>
      </c>
      <c r="N32" s="44" t="s">
        <v>53</v>
      </c>
      <c r="O32" s="44"/>
      <c r="P32" s="39"/>
      <c r="Q32" s="44" t="s">
        <v>53</v>
      </c>
      <c r="R32" s="44">
        <v>2</v>
      </c>
      <c r="S32" s="44" t="s">
        <v>53</v>
      </c>
      <c r="T32" s="44" t="s">
        <v>53</v>
      </c>
      <c r="U32" s="44" t="s">
        <v>53</v>
      </c>
      <c r="V32" s="44">
        <v>4</v>
      </c>
      <c r="W32" s="39"/>
      <c r="X32" s="44" t="s">
        <v>53</v>
      </c>
      <c r="Y32" s="44" t="s">
        <v>53</v>
      </c>
      <c r="Z32" s="39"/>
      <c r="AA32" s="39"/>
      <c r="AB32" s="39"/>
      <c r="AC32" s="39"/>
    </row>
    <row r="33" spans="1:29">
      <c r="A33" s="39">
        <v>27</v>
      </c>
      <c r="B33" s="40" t="s">
        <v>433</v>
      </c>
      <c r="C33" s="41" t="s">
        <v>432</v>
      </c>
      <c r="D33" s="52" t="s">
        <v>430</v>
      </c>
      <c r="E33" s="52" t="s">
        <v>431</v>
      </c>
      <c r="F33" s="41"/>
      <c r="G33" s="41"/>
      <c r="H33" s="41" t="s">
        <v>53</v>
      </c>
      <c r="I33" s="42" t="s">
        <v>53</v>
      </c>
      <c r="J33" s="41" t="s">
        <v>53</v>
      </c>
      <c r="K33" s="41" t="s">
        <v>53</v>
      </c>
      <c r="L33" s="41"/>
      <c r="M33" s="41" t="s">
        <v>408</v>
      </c>
      <c r="N33" s="41" t="s">
        <v>53</v>
      </c>
      <c r="O33" s="41"/>
      <c r="P33" s="39"/>
      <c r="Q33" s="41" t="s">
        <v>53</v>
      </c>
      <c r="R33" s="41"/>
      <c r="S33" s="41">
        <v>1</v>
      </c>
      <c r="T33" s="41" t="s">
        <v>53</v>
      </c>
      <c r="U33" s="41"/>
      <c r="V33" s="41">
        <v>2</v>
      </c>
      <c r="W33" s="39"/>
      <c r="X33" s="41" t="s">
        <v>53</v>
      </c>
      <c r="Y33" s="41" t="s">
        <v>408</v>
      </c>
      <c r="Z33" s="39"/>
      <c r="AA33" s="39"/>
      <c r="AB33" s="39"/>
      <c r="AC33" s="39"/>
    </row>
    <row r="34" spans="1:29">
      <c r="A34" s="39">
        <v>28</v>
      </c>
      <c r="B34" s="43" t="s">
        <v>282</v>
      </c>
      <c r="C34" s="44" t="s">
        <v>440</v>
      </c>
      <c r="D34" s="53" t="s">
        <v>438</v>
      </c>
      <c r="E34" s="53" t="s">
        <v>439</v>
      </c>
      <c r="F34" s="44">
        <v>2</v>
      </c>
      <c r="G34" s="44">
        <v>1</v>
      </c>
      <c r="H34" s="44">
        <v>3</v>
      </c>
      <c r="I34" s="44">
        <v>2</v>
      </c>
      <c r="J34" s="44" t="s">
        <v>53</v>
      </c>
      <c r="K34" s="44">
        <v>3.5</v>
      </c>
      <c r="L34" s="44" t="s">
        <v>408</v>
      </c>
      <c r="M34" s="44">
        <v>3</v>
      </c>
      <c r="N34" s="44" t="s">
        <v>53</v>
      </c>
      <c r="O34" s="44"/>
      <c r="P34" s="39"/>
      <c r="Q34" s="44">
        <v>2</v>
      </c>
      <c r="R34" s="44" t="s">
        <v>53</v>
      </c>
      <c r="S34" s="44" t="s">
        <v>53</v>
      </c>
      <c r="T34" s="44">
        <v>1</v>
      </c>
      <c r="U34" s="44" t="s">
        <v>53</v>
      </c>
      <c r="V34" s="44">
        <v>2</v>
      </c>
      <c r="W34" s="39"/>
      <c r="X34" s="44" t="s">
        <v>53</v>
      </c>
      <c r="Y34" s="44" t="s">
        <v>408</v>
      </c>
      <c r="Z34" s="39"/>
      <c r="AA34" s="39"/>
      <c r="AB34" s="39"/>
      <c r="AC34" s="39"/>
    </row>
    <row r="35" spans="1:29">
      <c r="A35" s="39">
        <v>29</v>
      </c>
      <c r="B35" s="40" t="s">
        <v>291</v>
      </c>
      <c r="C35" s="41" t="s">
        <v>446</v>
      </c>
      <c r="D35" s="52" t="s">
        <v>444</v>
      </c>
      <c r="E35" s="52" t="s">
        <v>445</v>
      </c>
      <c r="F35" s="41"/>
      <c r="G35" s="41" t="s">
        <v>53</v>
      </c>
      <c r="H35" s="41" t="s">
        <v>53</v>
      </c>
      <c r="I35" s="42" t="s">
        <v>53</v>
      </c>
      <c r="J35" s="41" t="s">
        <v>53</v>
      </c>
      <c r="K35" s="41" t="s">
        <v>408</v>
      </c>
      <c r="L35" s="41">
        <v>1</v>
      </c>
      <c r="M35" s="41" t="s">
        <v>53</v>
      </c>
      <c r="N35" s="41" t="s">
        <v>408</v>
      </c>
      <c r="O35" s="41"/>
      <c r="P35" s="39"/>
      <c r="Q35" s="41" t="s">
        <v>53</v>
      </c>
      <c r="R35" s="41" t="s">
        <v>53</v>
      </c>
      <c r="S35" s="41">
        <v>2</v>
      </c>
      <c r="T35" s="41" t="s">
        <v>53</v>
      </c>
      <c r="U35" s="41" t="s">
        <v>53</v>
      </c>
      <c r="V35" s="41">
        <v>2</v>
      </c>
      <c r="W35" s="39"/>
      <c r="X35" s="41" t="s">
        <v>53</v>
      </c>
      <c r="Y35" s="41">
        <v>2</v>
      </c>
      <c r="Z35" s="39"/>
      <c r="AA35" s="39"/>
      <c r="AB35" s="39"/>
      <c r="AC35" s="39"/>
    </row>
    <row r="36" spans="1:29">
      <c r="A36" s="39">
        <v>30</v>
      </c>
      <c r="B36" s="43" t="s">
        <v>453</v>
      </c>
      <c r="C36" s="44" t="s">
        <v>452</v>
      </c>
      <c r="D36" s="53" t="s">
        <v>450</v>
      </c>
      <c r="E36" s="53" t="s">
        <v>451</v>
      </c>
      <c r="F36" s="44"/>
      <c r="G36" s="44" t="s">
        <v>53</v>
      </c>
      <c r="H36" s="44" t="s">
        <v>53</v>
      </c>
      <c r="I36" s="49" t="s">
        <v>53</v>
      </c>
      <c r="J36" s="44" t="s">
        <v>53</v>
      </c>
      <c r="K36" s="44" t="s">
        <v>53</v>
      </c>
      <c r="L36" s="44" t="s">
        <v>53</v>
      </c>
      <c r="M36" s="44" t="s">
        <v>53</v>
      </c>
      <c r="N36" s="44" t="s">
        <v>53</v>
      </c>
      <c r="O36" s="44"/>
      <c r="P36" s="39"/>
      <c r="Q36" s="44" t="s">
        <v>53</v>
      </c>
      <c r="R36" s="44" t="s">
        <v>53</v>
      </c>
      <c r="S36" s="44" t="s">
        <v>53</v>
      </c>
      <c r="T36" s="44" t="s">
        <v>53</v>
      </c>
      <c r="U36" s="44">
        <v>3</v>
      </c>
      <c r="V36" s="44">
        <v>2</v>
      </c>
      <c r="W36" s="39"/>
      <c r="X36" s="44" t="s">
        <v>53</v>
      </c>
      <c r="Y36" s="44">
        <v>1</v>
      </c>
      <c r="Z36" s="39"/>
      <c r="AA36" s="39"/>
      <c r="AB36" s="39"/>
      <c r="AC36" s="39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sec 1</vt:lpstr>
      <vt:lpstr>sec 3</vt:lpstr>
      <vt:lpstr>sec 6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2026-08-30T19:50:42Z</dcterms:modified>
</cp:coreProperties>
</file>