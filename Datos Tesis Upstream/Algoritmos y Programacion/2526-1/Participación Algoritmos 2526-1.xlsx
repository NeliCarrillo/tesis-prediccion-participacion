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nelsoncarrillo/Downloads/tesis-prediccion-participacion/Datos Tesis Upstream/Algoritmos y Programacion/2526-1/"/>
    </mc:Choice>
  </mc:AlternateContent>
  <xr:revisionPtr revIDLastSave="0" documentId="13_ncr:1_{F70A8C8E-FC3D-A74C-B636-6A77C40DD13E}" xr6:coauthVersionLast="47" xr6:coauthVersionMax="47" xr10:uidLastSave="{00000000-0000-0000-0000-000000000000}"/>
  <bookViews>
    <workbookView xWindow="0" yWindow="600" windowWidth="28800" windowHeight="16100" activeTab="2" xr2:uid="{00000000-000D-0000-FFFF-FFFF00000000}"/>
  </bookViews>
  <sheets>
    <sheet name="Partic" sheetId="1" r:id="rId1"/>
    <sheet name="Total" sheetId="2" r:id="rId2"/>
    <sheet name="Estandar" sheetId="3" r:id="rId3"/>
    <sheet name="Cronograma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6" i="2" l="1"/>
  <c r="AM26" i="2" s="1"/>
  <c r="AL22" i="2"/>
  <c r="AM22" i="2" s="1"/>
  <c r="AL21" i="2"/>
  <c r="AL17" i="2"/>
  <c r="AM17" i="2" s="1"/>
  <c r="AL14" i="2"/>
  <c r="AM14" i="2" s="1"/>
  <c r="AL13" i="2"/>
  <c r="AM12" i="2"/>
  <c r="AL12" i="2"/>
  <c r="AL5" i="2"/>
  <c r="AM5" i="2" s="1"/>
  <c r="AL4" i="2"/>
  <c r="AM4" i="2" s="1"/>
  <c r="AM3" i="2"/>
  <c r="AL3" i="2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S28" i="1"/>
  <c r="AL28" i="2" s="1"/>
  <c r="AM28" i="2" s="1"/>
  <c r="S27" i="1"/>
  <c r="AL27" i="2" s="1"/>
  <c r="AM27" i="2" s="1"/>
  <c r="S26" i="1"/>
  <c r="S25" i="1"/>
  <c r="AL25" i="2" s="1"/>
  <c r="AM25" i="2" s="1"/>
  <c r="S24" i="1"/>
  <c r="AL24" i="2" s="1"/>
  <c r="AM24" i="2" s="1"/>
  <c r="S23" i="1"/>
  <c r="AL23" i="2" s="1"/>
  <c r="AM23" i="2" s="1"/>
  <c r="S22" i="1"/>
  <c r="S21" i="1"/>
  <c r="S20" i="1"/>
  <c r="AL20" i="2" s="1"/>
  <c r="AM20" i="2" s="1"/>
  <c r="S19" i="1"/>
  <c r="AL19" i="2" s="1"/>
  <c r="AM19" i="2" s="1"/>
  <c r="S18" i="1"/>
  <c r="AL18" i="2" s="1"/>
  <c r="AM18" i="2" s="1"/>
  <c r="S17" i="1"/>
  <c r="S16" i="1"/>
  <c r="AL16" i="2" s="1"/>
  <c r="AM16" i="2" s="1"/>
  <c r="S15" i="1"/>
  <c r="AL15" i="2" s="1"/>
  <c r="AM15" i="2" s="1"/>
  <c r="S14" i="1"/>
  <c r="S13" i="1"/>
  <c r="S12" i="1"/>
  <c r="S11" i="1"/>
  <c r="AL11" i="2" s="1"/>
  <c r="S10" i="1"/>
  <c r="AL10" i="2" s="1"/>
  <c r="S9" i="1"/>
  <c r="AL9" i="2" s="1"/>
  <c r="AM9" i="2" s="1"/>
  <c r="S8" i="1"/>
  <c r="AL8" i="2" s="1"/>
  <c r="AM8" i="2" s="1"/>
  <c r="S7" i="1"/>
  <c r="AL7" i="2" s="1"/>
  <c r="AM7" i="2" s="1"/>
  <c r="S6" i="1"/>
  <c r="AL6" i="2" s="1"/>
  <c r="AM6" i="2" s="1"/>
  <c r="S5" i="1"/>
  <c r="S4" i="1"/>
  <c r="S3" i="1"/>
  <c r="S2" i="1"/>
  <c r="AL2" i="2" s="1"/>
  <c r="AM2" i="2" s="1"/>
  <c r="S29" i="1" l="1"/>
</calcChain>
</file>

<file path=xl/sharedStrings.xml><?xml version="1.0" encoding="utf-8"?>
<sst xmlns="http://schemas.openxmlformats.org/spreadsheetml/2006/main" count="253" uniqueCount="131">
  <si>
    <t>CEDULA</t>
  </si>
  <si>
    <t>Nombre(s)</t>
  </si>
  <si>
    <t>APELLIDO</t>
  </si>
  <si>
    <t>Apellido(s)</t>
  </si>
  <si>
    <t>NOMBRE</t>
  </si>
  <si>
    <t>Número de ID</t>
  </si>
  <si>
    <t>Examen Parcial I</t>
  </si>
  <si>
    <t>Examen Parcial II</t>
  </si>
  <si>
    <t>Quiz 1 de programación</t>
  </si>
  <si>
    <t>Quiz 2 de programación (sec 1)</t>
  </si>
  <si>
    <t>Total Quizzes de programación</t>
  </si>
  <si>
    <t>Quiz 1 de Evaluación Continua - Bases conceptuales</t>
  </si>
  <si>
    <t>Dinámica de la clase 2 - Expresiones y asignaciones</t>
  </si>
  <si>
    <t>Quiz Prepa sem 1 - Expresiones y asignaciones</t>
  </si>
  <si>
    <t>Dinámica clase 3 - Estructuras de Decisión</t>
  </si>
  <si>
    <t>Dinámica clase 4 - Estructuras de Repetición</t>
  </si>
  <si>
    <t>Quiz prepa sem 2 - Estructuras de Repetición</t>
  </si>
  <si>
    <t>Dinámica clase 5 - Manejo de Arreglos</t>
  </si>
  <si>
    <t>Quiz prepa sem 3 - Manejo de Arreglos</t>
  </si>
  <si>
    <t>Quiz 6 de Evaluación Continua - Diccionarios</t>
  </si>
  <si>
    <t>Quiz 7 de Evaluación Continua - Pase de parámetros</t>
  </si>
  <si>
    <t>Actividad de Repaso (sec 1 y 5)</t>
  </si>
  <si>
    <t>Quiz 8 de Evaluación Continua - Introducción a la POO</t>
  </si>
  <si>
    <t>Dinámica clase 9 - Encapsulamiento</t>
  </si>
  <si>
    <t>Quiz prepa sem 6 - Encapsulamiento</t>
  </si>
  <si>
    <t>Quiz 10 de Evaluación Continua - Diagrama de Clases</t>
  </si>
  <si>
    <t>Quiz 11 de Evaluación Continua - Entrada de datos</t>
  </si>
  <si>
    <t>Dinámica clase 12 - Recursividad</t>
  </si>
  <si>
    <t>Quiz prepa sem 8 - Recursividad</t>
  </si>
  <si>
    <t>Dinámica clase 13 - Ordenamiento</t>
  </si>
  <si>
    <t>Quiz 14 de Evaluación Contínua - Búsqueda</t>
  </si>
  <si>
    <t>Quiz 15 de Evaluación Contínua - Complejidad</t>
  </si>
  <si>
    <t>Total Evaluación Continua</t>
  </si>
  <si>
    <t>Total</t>
  </si>
  <si>
    <t>Proyecto</t>
  </si>
  <si>
    <t>Bono Quiz 1 de programación</t>
  </si>
  <si>
    <t>Bono Quiz 2 de programación</t>
  </si>
  <si>
    <t>Bono Proyecto</t>
  </si>
  <si>
    <t>Bono Programación Competitiva</t>
  </si>
  <si>
    <t>Total Bonos</t>
  </si>
  <si>
    <t>Total del curso</t>
  </si>
  <si>
    <t>Partic</t>
  </si>
  <si>
    <t>Def</t>
  </si>
  <si>
    <t>Cesar</t>
  </si>
  <si>
    <t>Alonso</t>
  </si>
  <si>
    <t>Daniel</t>
  </si>
  <si>
    <t>Araujo</t>
  </si>
  <si>
    <t>Samuel</t>
  </si>
  <si>
    <t>Barriola</t>
  </si>
  <si>
    <t>Antonio</t>
  </si>
  <si>
    <t>Barroso</t>
  </si>
  <si>
    <t>Gustavo</t>
  </si>
  <si>
    <t>Becerra</t>
  </si>
  <si>
    <t>Oscar</t>
  </si>
  <si>
    <t>Blanco</t>
  </si>
  <si>
    <t>Juan</t>
  </si>
  <si>
    <t>Carnevali</t>
  </si>
  <si>
    <t>María</t>
  </si>
  <si>
    <t>Coll</t>
  </si>
  <si>
    <t>Ghazal El Bar</t>
  </si>
  <si>
    <t>Jose</t>
  </si>
  <si>
    <t>Gustavo Enrique</t>
  </si>
  <si>
    <t>Barroso Quintero</t>
  </si>
  <si>
    <t>Gonzalez</t>
  </si>
  <si>
    <t>Lara</t>
  </si>
  <si>
    <t>Diego</t>
  </si>
  <si>
    <t>Medina</t>
  </si>
  <si>
    <t>Víctor</t>
  </si>
  <si>
    <t>Navarro</t>
  </si>
  <si>
    <t>Jesus</t>
  </si>
  <si>
    <t>Ojeda</t>
  </si>
  <si>
    <t>Rafael</t>
  </si>
  <si>
    <t>Ordaz</t>
  </si>
  <si>
    <t>Javier</t>
  </si>
  <si>
    <t>Quintero</t>
  </si>
  <si>
    <t>María Camila</t>
  </si>
  <si>
    <t>Carnevali Amarillo</t>
  </si>
  <si>
    <t>Rodrigues</t>
  </si>
  <si>
    <t>Luis</t>
  </si>
  <si>
    <t>Rodriguez</t>
  </si>
  <si>
    <t>Rojas</t>
  </si>
  <si>
    <t>Santaella</t>
  </si>
  <si>
    <t>Willian</t>
  </si>
  <si>
    <t>Sierra</t>
  </si>
  <si>
    <t>Maria</t>
  </si>
  <si>
    <t>Solorzano</t>
  </si>
  <si>
    <t>Valeria</t>
  </si>
  <si>
    <t>Retirado</t>
  </si>
  <si>
    <t>Sulbaran</t>
  </si>
  <si>
    <t>Abraham</t>
  </si>
  <si>
    <t>Toscano</t>
  </si>
  <si>
    <t>Sebastian</t>
  </si>
  <si>
    <t>Valero</t>
  </si>
  <si>
    <t>Reinaldo</t>
  </si>
  <si>
    <t>Vergel</t>
  </si>
  <si>
    <t>Diego Alejandro</t>
  </si>
  <si>
    <t>Lara Barreto</t>
  </si>
  <si>
    <t>Victor</t>
  </si>
  <si>
    <t>Jesús</t>
  </si>
  <si>
    <t>Rafael Alejandro</t>
  </si>
  <si>
    <t>Ojeda Ortega</t>
  </si>
  <si>
    <t>Javier Antonio</t>
  </si>
  <si>
    <t>Ordaz Errante</t>
  </si>
  <si>
    <t>Diego Andres</t>
  </si>
  <si>
    <t>Rodriguez Andretta</t>
  </si>
  <si>
    <t>Valeria Jose</t>
  </si>
  <si>
    <t>Solorzano Flores</t>
  </si>
  <si>
    <r>
      <rPr>
        <b/>
        <sz val="10"/>
        <rFont val="Arial"/>
        <family val="2"/>
      </rPr>
      <t>Materia:</t>
    </r>
  </si>
  <si>
    <r>
      <rPr>
        <b/>
        <sz val="10"/>
        <rFont val="Arial"/>
        <family val="2"/>
      </rPr>
      <t>Trimestre:</t>
    </r>
  </si>
  <si>
    <r>
      <rPr>
        <b/>
        <sz val="10"/>
        <rFont val="Arial"/>
        <family val="2"/>
      </rPr>
      <t>Sección:</t>
    </r>
  </si>
  <si>
    <r>
      <rPr>
        <b/>
        <sz val="10"/>
        <rFont val="Arial"/>
        <family val="2"/>
      </rPr>
      <t>numero_lista</t>
    </r>
  </si>
  <si>
    <r>
      <rPr>
        <b/>
        <sz val="10"/>
        <rFont val="Arial"/>
        <family val="2"/>
      </rPr>
      <t>nombre</t>
    </r>
  </si>
  <si>
    <r>
      <rPr>
        <b/>
        <sz val="10"/>
        <rFont val="Arial"/>
        <family val="2"/>
      </rPr>
      <t>apellido</t>
    </r>
  </si>
  <si>
    <r>
      <rPr>
        <b/>
        <sz val="10"/>
        <rFont val="Arial"/>
        <family val="2"/>
      </rPr>
      <t>cedula</t>
    </r>
  </si>
  <si>
    <r>
      <rPr>
        <b/>
        <sz val="10"/>
        <rFont val="Arial"/>
        <family val="2"/>
      </rPr>
      <t>Semana 1</t>
    </r>
  </si>
  <si>
    <r>
      <rPr>
        <b/>
        <sz val="10"/>
        <rFont val="Arial"/>
        <family val="2"/>
      </rPr>
      <t>Semana 2</t>
    </r>
  </si>
  <si>
    <r>
      <rPr>
        <b/>
        <sz val="10"/>
        <rFont val="Arial"/>
        <family val="2"/>
      </rPr>
      <t>Semana 3</t>
    </r>
  </si>
  <si>
    <r>
      <rPr>
        <b/>
        <sz val="10"/>
        <rFont val="Arial"/>
        <family val="2"/>
      </rPr>
      <t>Semana 4</t>
    </r>
  </si>
  <si>
    <r>
      <rPr>
        <b/>
        <sz val="10"/>
        <rFont val="Arial"/>
        <family val="2"/>
      </rPr>
      <t>Semana 5</t>
    </r>
  </si>
  <si>
    <r>
      <rPr>
        <b/>
        <sz val="10"/>
        <rFont val="Arial"/>
        <family val="2"/>
      </rPr>
      <t>Semana 6</t>
    </r>
  </si>
  <si>
    <r>
      <rPr>
        <b/>
        <sz val="10"/>
        <rFont val="Arial"/>
        <family val="2"/>
      </rPr>
      <t>Semana 7</t>
    </r>
  </si>
  <si>
    <r>
      <rPr>
        <b/>
        <sz val="10"/>
        <rFont val="Arial"/>
        <family val="2"/>
      </rPr>
      <t>Semana 8</t>
    </r>
  </si>
  <si>
    <r>
      <rPr>
        <b/>
        <sz val="10"/>
        <rFont val="Arial"/>
        <family val="2"/>
      </rPr>
      <t>Semana 9</t>
    </r>
  </si>
  <si>
    <r>
      <rPr>
        <b/>
        <sz val="10"/>
        <rFont val="Arial"/>
        <family val="2"/>
      </rPr>
      <t>Semana 10</t>
    </r>
  </si>
  <si>
    <r>
      <rPr>
        <b/>
        <sz val="10"/>
        <rFont val="Arial"/>
        <family val="2"/>
      </rPr>
      <t>Semana 11</t>
    </r>
  </si>
  <si>
    <r>
      <rPr>
        <b/>
        <sz val="10"/>
        <rFont val="Arial"/>
        <family val="2"/>
      </rPr>
      <t>Semana 12</t>
    </r>
  </si>
  <si>
    <t>Algoritmos y Programación</t>
  </si>
  <si>
    <t>2526-1</t>
  </si>
  <si>
    <t>lunes</t>
  </si>
  <si>
    <t>miercoles</t>
  </si>
  <si>
    <t>carnet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</si>
</sst>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\ mmm"/>
    <numFmt numFmtId="165" formatCode="0&quot;/20&quot;"/>
  </numFmts>
  <fonts count="1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b/>
      <sz val="10"/>
      <color rgb="FF0000FF"/>
      <name val="Arial"/>
      <family val="2"/>
      <scheme val="minor"/>
    </font>
    <font>
      <b/>
      <sz val="10"/>
      <name val="Arial"/>
      <family val="2"/>
    </font>
    <font>
      <sz val="10"/>
      <color rgb="FF000000"/>
      <name val="Arial"/>
      <family val="2"/>
      <scheme val="minor"/>
    </font>
    <font>
      <b/>
      <sz val="11"/>
      <color rgb="FFFF0000"/>
      <name val="Calibri"/>
      <family val="2"/>
    </font>
    <font>
      <b/>
      <sz val="10"/>
      <color rgb="FFFF000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right"/>
    </xf>
    <xf numFmtId="0" fontId="4" fillId="0" borderId="1" xfId="0" applyFont="1" applyBorder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9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0" fontId="4" fillId="0" borderId="0" xfId="0" applyFont="1"/>
    <xf numFmtId="2" fontId="3" fillId="0" borderId="0" xfId="0" applyNumberFormat="1" applyFont="1" applyAlignment="1">
      <alignment horizontal="left"/>
    </xf>
    <xf numFmtId="0" fontId="7" fillId="0" borderId="0" xfId="0" applyFont="1"/>
    <xf numFmtId="0" fontId="8" fillId="0" borderId="1" xfId="0" applyFont="1" applyBorder="1"/>
    <xf numFmtId="16" fontId="9" fillId="0" borderId="0" xfId="0" applyNumberFormat="1" applyFont="1"/>
    <xf numFmtId="164" fontId="9" fillId="0" borderId="0" xfId="0" applyNumberFormat="1" applyFont="1"/>
    <xf numFmtId="164" fontId="10" fillId="0" borderId="0" xfId="0" applyNumberFormat="1" applyFont="1"/>
    <xf numFmtId="0" fontId="9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6"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Total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Partic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8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1" displayName="Table_1" ref="A1:T29" headerRowCount="0">
  <tableColumns count="20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B9BD3705-7331-994A-B9F3-A99F4A1B1AF4}" name="Columna1"/>
  </tableColumns>
  <tableStyleInfo name="Partic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_2" displayName="Table_2" ref="A1:AM28">
  <tableColumns count="39">
    <tableColumn id="1" xr3:uid="{00000000-0010-0000-0100-000001000000}" name="Nombre(s)"/>
    <tableColumn id="2" xr3:uid="{00000000-0010-0000-0100-000002000000}" name="Apellido(s)"/>
    <tableColumn id="3" xr3:uid="{00000000-0010-0000-0100-000003000000}" name="Número de ID"/>
    <tableColumn id="4" xr3:uid="{00000000-0010-0000-0100-000004000000}" name="Examen Parcial I"/>
    <tableColumn id="5" xr3:uid="{00000000-0010-0000-0100-000005000000}" name="Examen Parcial II"/>
    <tableColumn id="6" xr3:uid="{00000000-0010-0000-0100-000006000000}" name="Quiz 1 de programación"/>
    <tableColumn id="7" xr3:uid="{00000000-0010-0000-0100-000007000000}" name="Quiz 2 de programación (sec 1)"/>
    <tableColumn id="8" xr3:uid="{00000000-0010-0000-0100-000008000000}" name="Total Quizzes de programación"/>
    <tableColumn id="9" xr3:uid="{00000000-0010-0000-0100-000009000000}" name="Quiz 1 de Evaluación Continua - Bases conceptuales"/>
    <tableColumn id="10" xr3:uid="{00000000-0010-0000-0100-00000A000000}" name="Dinámica de la clase 2 - Expresiones y asignaciones"/>
    <tableColumn id="11" xr3:uid="{00000000-0010-0000-0100-00000B000000}" name="Quiz Prepa sem 1 - Expresiones y asignaciones"/>
    <tableColumn id="12" xr3:uid="{00000000-0010-0000-0100-00000C000000}" name="Dinámica clase 3 - Estructuras de Decisión"/>
    <tableColumn id="13" xr3:uid="{00000000-0010-0000-0100-00000D000000}" name="Dinámica clase 4 - Estructuras de Repetición"/>
    <tableColumn id="14" xr3:uid="{00000000-0010-0000-0100-00000E000000}" name="Quiz prepa sem 2 - Estructuras de Repetición"/>
    <tableColumn id="15" xr3:uid="{00000000-0010-0000-0100-00000F000000}" name="Dinámica clase 5 - Manejo de Arreglos"/>
    <tableColumn id="16" xr3:uid="{00000000-0010-0000-0100-000010000000}" name="Quiz prepa sem 3 - Manejo de Arreglos"/>
    <tableColumn id="17" xr3:uid="{00000000-0010-0000-0100-000011000000}" name="Quiz 6 de Evaluación Continua - Diccionarios"/>
    <tableColumn id="18" xr3:uid="{00000000-0010-0000-0100-000012000000}" name="Quiz 7 de Evaluación Continua - Pase de parámetros"/>
    <tableColumn id="19" xr3:uid="{00000000-0010-0000-0100-000013000000}" name="Actividad de Repaso (sec 1 y 5)"/>
    <tableColumn id="20" xr3:uid="{00000000-0010-0000-0100-000014000000}" name="Quiz 8 de Evaluación Continua - Introducción a la POO"/>
    <tableColumn id="21" xr3:uid="{00000000-0010-0000-0100-000015000000}" name="Dinámica clase 9 - Encapsulamiento"/>
    <tableColumn id="22" xr3:uid="{00000000-0010-0000-0100-000016000000}" name="Quiz prepa sem 6 - Encapsulamiento"/>
    <tableColumn id="23" xr3:uid="{00000000-0010-0000-0100-000017000000}" name="Quiz 10 de Evaluación Continua - Diagrama de Clases"/>
    <tableColumn id="24" xr3:uid="{00000000-0010-0000-0100-000018000000}" name="Quiz 11 de Evaluación Continua - Entrada de datos"/>
    <tableColumn id="25" xr3:uid="{00000000-0010-0000-0100-000019000000}" name="Dinámica clase 12 - Recursividad"/>
    <tableColumn id="26" xr3:uid="{00000000-0010-0000-0100-00001A000000}" name="Quiz prepa sem 8 - Recursividad"/>
    <tableColumn id="27" xr3:uid="{00000000-0010-0000-0100-00001B000000}" name="Dinámica clase 13 - Ordenamiento"/>
    <tableColumn id="28" xr3:uid="{00000000-0010-0000-0100-00001C000000}" name="Quiz 14 de Evaluación Contínua - Búsqueda"/>
    <tableColumn id="29" xr3:uid="{00000000-0010-0000-0100-00001D000000}" name="Quiz 15 de Evaluación Contínua - Complejidad"/>
    <tableColumn id="30" xr3:uid="{00000000-0010-0000-0100-00001E000000}" name="Total Evaluación Continua"/>
    <tableColumn id="31" xr3:uid="{00000000-0010-0000-0100-00001F000000}" name="Proyecto"/>
    <tableColumn id="32" xr3:uid="{00000000-0010-0000-0100-000020000000}" name="Bono Quiz 1 de programación"/>
    <tableColumn id="33" xr3:uid="{00000000-0010-0000-0100-000021000000}" name="Bono Quiz 2 de programación"/>
    <tableColumn id="34" xr3:uid="{00000000-0010-0000-0100-000022000000}" name="Bono Proyecto"/>
    <tableColumn id="35" xr3:uid="{00000000-0010-0000-0100-000023000000}" name="Bono Programación Competitiva"/>
    <tableColumn id="36" xr3:uid="{00000000-0010-0000-0100-000024000000}" name="Total Bonos"/>
    <tableColumn id="37" xr3:uid="{00000000-0010-0000-0100-000025000000}" name="Total del curso"/>
    <tableColumn id="38" xr3:uid="{00000000-0010-0000-0100-000026000000}" name="Partic"/>
    <tableColumn id="39" xr3:uid="{00000000-0010-0000-0100-000027000000}" name="Def"/>
  </tableColumns>
  <tableStyleInfo name="Tota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29"/>
  <sheetViews>
    <sheetView workbookViewId="0">
      <pane ySplit="1" topLeftCell="A2" activePane="bottomLeft" state="frozen"/>
      <selection pane="bottomLeft" activeCell="C32" sqref="C32"/>
    </sheetView>
  </sheetViews>
  <sheetFormatPr baseColWidth="10" defaultColWidth="12.6640625" defaultRowHeight="15.75" customHeight="1" x14ac:dyDescent="0.15"/>
  <cols>
    <col min="1" max="1" width="8.33203125" customWidth="1"/>
    <col min="2" max="2" width="10.6640625" customWidth="1"/>
    <col min="3" max="3" width="8.1640625" customWidth="1"/>
    <col min="4" max="4" width="12.33203125" customWidth="1"/>
    <col min="5" max="5" width="12" customWidth="1"/>
    <col min="6" max="6" width="13" customWidth="1"/>
    <col min="7" max="7" width="10.5" customWidth="1"/>
    <col min="8" max="8" width="12.6640625" customWidth="1"/>
    <col min="9" max="9" width="11.5" customWidth="1"/>
    <col min="10" max="15" width="5.6640625" customWidth="1"/>
    <col min="16" max="16" width="8.83203125" customWidth="1"/>
    <col min="17" max="17" width="10.6640625" customWidth="1"/>
    <col min="18" max="18" width="10.33203125" customWidth="1"/>
    <col min="19" max="19" width="4.83203125" customWidth="1"/>
  </cols>
  <sheetData>
    <row r="1" spans="1:34" x14ac:dyDescent="0.2">
      <c r="A1" s="17" t="s">
        <v>0</v>
      </c>
      <c r="B1" s="17" t="s">
        <v>2</v>
      </c>
      <c r="C1" s="17" t="s">
        <v>4</v>
      </c>
      <c r="D1" s="18">
        <v>45908</v>
      </c>
      <c r="E1" s="18">
        <v>45910</v>
      </c>
      <c r="F1" s="18">
        <v>45917</v>
      </c>
      <c r="G1" s="18">
        <v>45922</v>
      </c>
      <c r="H1" s="18">
        <v>45924</v>
      </c>
      <c r="I1" s="18">
        <v>45929</v>
      </c>
      <c r="J1" s="19">
        <v>45938</v>
      </c>
      <c r="K1" s="20">
        <v>45945</v>
      </c>
      <c r="L1" s="20">
        <v>45952</v>
      </c>
      <c r="M1" s="20">
        <v>45957</v>
      </c>
      <c r="N1" s="20">
        <v>45959</v>
      </c>
      <c r="O1" s="20">
        <v>45964</v>
      </c>
      <c r="P1" s="20">
        <v>45971</v>
      </c>
      <c r="Q1" s="20">
        <v>45973</v>
      </c>
      <c r="R1" s="19">
        <v>45978</v>
      </c>
      <c r="S1" s="21" t="s">
        <v>33</v>
      </c>
      <c r="T1" s="2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x14ac:dyDescent="0.2">
      <c r="A2" s="5">
        <v>29678921</v>
      </c>
      <c r="B2" s="5" t="s">
        <v>44</v>
      </c>
      <c r="C2" s="5" t="s">
        <v>43</v>
      </c>
      <c r="D2" s="7">
        <v>1</v>
      </c>
      <c r="E2" s="7"/>
      <c r="F2" s="7">
        <v>1</v>
      </c>
      <c r="G2" s="7">
        <v>1</v>
      </c>
      <c r="H2" s="7">
        <v>1</v>
      </c>
      <c r="I2" s="7"/>
      <c r="J2" s="8"/>
      <c r="K2" s="7"/>
      <c r="L2" s="7">
        <v>1</v>
      </c>
      <c r="M2" s="7"/>
      <c r="N2" s="7">
        <v>2</v>
      </c>
      <c r="O2" s="7"/>
      <c r="P2" s="7"/>
      <c r="Q2" s="7">
        <v>1</v>
      </c>
      <c r="R2" s="7">
        <v>1</v>
      </c>
      <c r="S2" s="11">
        <f t="shared" ref="S2:S28" si="0">SUM(D2:R2)/COUNTA(D$1:R$1)</f>
        <v>0.6</v>
      </c>
      <c r="T2">
        <v>1</v>
      </c>
    </row>
    <row r="3" spans="1:34" x14ac:dyDescent="0.2">
      <c r="A3" s="5">
        <v>31377471</v>
      </c>
      <c r="B3" s="5" t="s">
        <v>44</v>
      </c>
      <c r="C3" s="5" t="s">
        <v>45</v>
      </c>
      <c r="D3" s="7">
        <v>1</v>
      </c>
      <c r="E3" s="7"/>
      <c r="F3" s="7"/>
      <c r="G3" s="7">
        <v>2</v>
      </c>
      <c r="H3" s="7">
        <v>1</v>
      </c>
      <c r="I3" s="7">
        <v>2</v>
      </c>
      <c r="J3" s="8"/>
      <c r="K3" s="7">
        <v>1</v>
      </c>
      <c r="L3" s="7"/>
      <c r="M3" s="7"/>
      <c r="N3" s="7"/>
      <c r="O3" s="7">
        <v>4</v>
      </c>
      <c r="P3" s="7">
        <v>1</v>
      </c>
      <c r="Q3" s="7">
        <v>1</v>
      </c>
      <c r="R3" s="7"/>
      <c r="S3" s="11">
        <f t="shared" si="0"/>
        <v>0.8666666666666667</v>
      </c>
      <c r="T3">
        <v>2</v>
      </c>
    </row>
    <row r="4" spans="1:34" x14ac:dyDescent="0.2">
      <c r="A4" s="5">
        <v>30906297</v>
      </c>
      <c r="B4" s="5" t="s">
        <v>46</v>
      </c>
      <c r="C4" s="5" t="s">
        <v>47</v>
      </c>
      <c r="D4" s="7"/>
      <c r="E4" s="7">
        <v>1</v>
      </c>
      <c r="F4" s="7"/>
      <c r="G4" s="7">
        <v>1</v>
      </c>
      <c r="H4" s="7"/>
      <c r="I4" s="7">
        <v>3</v>
      </c>
      <c r="J4" s="7">
        <v>1</v>
      </c>
      <c r="K4" s="7"/>
      <c r="L4" s="7">
        <v>1</v>
      </c>
      <c r="M4" s="7">
        <v>1</v>
      </c>
      <c r="N4" s="7">
        <v>2</v>
      </c>
      <c r="O4" s="7">
        <v>1</v>
      </c>
      <c r="P4" s="7"/>
      <c r="Q4" s="7">
        <v>1</v>
      </c>
      <c r="R4" s="7">
        <v>3</v>
      </c>
      <c r="S4" s="11">
        <f t="shared" si="0"/>
        <v>1</v>
      </c>
      <c r="T4">
        <v>3</v>
      </c>
    </row>
    <row r="5" spans="1:34" x14ac:dyDescent="0.2">
      <c r="A5" s="5">
        <v>31985434</v>
      </c>
      <c r="B5" s="5" t="s">
        <v>48</v>
      </c>
      <c r="C5" s="5" t="s">
        <v>49</v>
      </c>
      <c r="D5" s="7">
        <v>1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>
        <v>1</v>
      </c>
      <c r="R5" s="7"/>
      <c r="S5" s="11">
        <f t="shared" si="0"/>
        <v>0.13333333333333333</v>
      </c>
      <c r="T5">
        <v>4</v>
      </c>
    </row>
    <row r="6" spans="1:34" x14ac:dyDescent="0.2">
      <c r="A6" s="5">
        <v>30497006</v>
      </c>
      <c r="B6" s="5" t="s">
        <v>50</v>
      </c>
      <c r="C6" s="5" t="s">
        <v>51</v>
      </c>
      <c r="D6" s="7">
        <v>1</v>
      </c>
      <c r="E6" s="7"/>
      <c r="F6" s="7">
        <v>1</v>
      </c>
      <c r="G6" s="7">
        <v>1</v>
      </c>
      <c r="H6" s="7"/>
      <c r="I6" s="7"/>
      <c r="J6" s="7"/>
      <c r="K6" s="7"/>
      <c r="L6" s="7"/>
      <c r="M6" s="7">
        <v>3</v>
      </c>
      <c r="N6" s="7"/>
      <c r="O6" s="7"/>
      <c r="P6" s="7"/>
      <c r="Q6" s="7">
        <v>1</v>
      </c>
      <c r="R6" s="7">
        <v>2</v>
      </c>
      <c r="S6" s="11">
        <f t="shared" si="0"/>
        <v>0.6</v>
      </c>
      <c r="T6">
        <v>5</v>
      </c>
    </row>
    <row r="7" spans="1:34" x14ac:dyDescent="0.2">
      <c r="A7" s="5">
        <v>32535152</v>
      </c>
      <c r="B7" s="5" t="s">
        <v>52</v>
      </c>
      <c r="C7" s="5" t="s">
        <v>53</v>
      </c>
      <c r="D7" s="7">
        <v>1</v>
      </c>
      <c r="E7" s="7">
        <v>1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11">
        <f t="shared" si="0"/>
        <v>0.13333333333333333</v>
      </c>
      <c r="T7">
        <v>6</v>
      </c>
    </row>
    <row r="8" spans="1:34" x14ac:dyDescent="0.2">
      <c r="A8" s="5">
        <v>30538925</v>
      </c>
      <c r="B8" s="5" t="s">
        <v>54</v>
      </c>
      <c r="C8" s="5" t="s">
        <v>55</v>
      </c>
      <c r="D8" s="7">
        <v>2</v>
      </c>
      <c r="E8" s="7">
        <v>1</v>
      </c>
      <c r="F8" s="7"/>
      <c r="G8" s="7"/>
      <c r="H8" s="7"/>
      <c r="I8" s="7">
        <v>1</v>
      </c>
      <c r="J8" s="7">
        <v>1</v>
      </c>
      <c r="K8" s="7"/>
      <c r="L8" s="7">
        <v>1</v>
      </c>
      <c r="M8" s="7">
        <v>1</v>
      </c>
      <c r="N8" s="7">
        <v>1</v>
      </c>
      <c r="O8" s="7">
        <v>3</v>
      </c>
      <c r="P8" s="7"/>
      <c r="Q8" s="7"/>
      <c r="R8" s="7"/>
      <c r="S8" s="11">
        <f t="shared" si="0"/>
        <v>0.73333333333333328</v>
      </c>
      <c r="T8">
        <v>7</v>
      </c>
    </row>
    <row r="9" spans="1:34" x14ac:dyDescent="0.2">
      <c r="A9" s="5">
        <v>29947837</v>
      </c>
      <c r="B9" s="5" t="s">
        <v>56</v>
      </c>
      <c r="C9" s="5" t="s">
        <v>57</v>
      </c>
      <c r="D9" s="7">
        <v>1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11">
        <f t="shared" si="0"/>
        <v>6.6666666666666666E-2</v>
      </c>
      <c r="T9">
        <v>8</v>
      </c>
    </row>
    <row r="10" spans="1:34" x14ac:dyDescent="0.2">
      <c r="A10" s="5">
        <v>31307883</v>
      </c>
      <c r="B10" s="5" t="s">
        <v>58</v>
      </c>
      <c r="C10" s="5" t="s">
        <v>55</v>
      </c>
      <c r="D10" s="7">
        <v>1</v>
      </c>
      <c r="E10" s="7">
        <v>2</v>
      </c>
      <c r="F10" s="7"/>
      <c r="G10" s="7">
        <v>1</v>
      </c>
      <c r="H10" s="7"/>
      <c r="I10" s="7">
        <v>3</v>
      </c>
      <c r="J10" s="8"/>
      <c r="K10" s="7"/>
      <c r="L10" s="7">
        <v>1</v>
      </c>
      <c r="M10" s="7">
        <v>1</v>
      </c>
      <c r="N10" s="7"/>
      <c r="O10" s="7">
        <v>1</v>
      </c>
      <c r="P10" s="7">
        <v>1</v>
      </c>
      <c r="Q10" s="7"/>
      <c r="R10" s="7">
        <v>1</v>
      </c>
      <c r="S10" s="11">
        <f t="shared" si="0"/>
        <v>0.8</v>
      </c>
      <c r="T10">
        <v>9</v>
      </c>
    </row>
    <row r="11" spans="1:34" x14ac:dyDescent="0.2">
      <c r="A11" s="5">
        <v>31873852</v>
      </c>
      <c r="B11" s="5" t="s">
        <v>59</v>
      </c>
      <c r="C11" s="5" t="s">
        <v>60</v>
      </c>
      <c r="D11" s="7">
        <v>1</v>
      </c>
      <c r="E11" s="7"/>
      <c r="F11" s="7">
        <v>1</v>
      </c>
      <c r="G11" s="7"/>
      <c r="H11" s="7"/>
      <c r="I11" s="7">
        <v>3</v>
      </c>
      <c r="J11" s="8"/>
      <c r="K11" s="7"/>
      <c r="L11" s="7"/>
      <c r="M11" s="7"/>
      <c r="N11" s="7"/>
      <c r="O11" s="7"/>
      <c r="P11" s="7"/>
      <c r="Q11" s="7"/>
      <c r="R11" s="7"/>
      <c r="S11" s="11">
        <f t="shared" si="0"/>
        <v>0.33333333333333331</v>
      </c>
      <c r="T11">
        <v>10</v>
      </c>
    </row>
    <row r="12" spans="1:34" x14ac:dyDescent="0.2">
      <c r="A12" s="5">
        <v>32515298</v>
      </c>
      <c r="B12" s="5" t="s">
        <v>63</v>
      </c>
      <c r="C12" s="5" t="s">
        <v>60</v>
      </c>
      <c r="D12" s="7">
        <v>1</v>
      </c>
      <c r="E12" s="7"/>
      <c r="F12" s="7"/>
      <c r="G12" s="7"/>
      <c r="H12" s="7"/>
      <c r="I12" s="7"/>
      <c r="J12" s="8"/>
      <c r="K12" s="7"/>
      <c r="L12" s="7"/>
      <c r="M12" s="7"/>
      <c r="N12" s="7"/>
      <c r="O12" s="7"/>
      <c r="P12" s="7"/>
      <c r="Q12" s="7"/>
      <c r="R12" s="7"/>
      <c r="S12" s="11">
        <f t="shared" si="0"/>
        <v>6.6666666666666666E-2</v>
      </c>
      <c r="T12">
        <v>11</v>
      </c>
    </row>
    <row r="13" spans="1:34" x14ac:dyDescent="0.2">
      <c r="A13" s="5">
        <v>31373493</v>
      </c>
      <c r="B13" s="5" t="s">
        <v>64</v>
      </c>
      <c r="C13" s="5" t="s">
        <v>65</v>
      </c>
      <c r="D13" s="7"/>
      <c r="E13" s="7">
        <v>1</v>
      </c>
      <c r="F13" s="7"/>
      <c r="G13" s="7"/>
      <c r="H13" s="7"/>
      <c r="I13" s="7"/>
      <c r="J13" s="8"/>
      <c r="K13" s="7"/>
      <c r="L13" s="7"/>
      <c r="M13" s="7"/>
      <c r="N13" s="7"/>
      <c r="O13" s="7"/>
      <c r="P13" s="7"/>
      <c r="Q13" s="7"/>
      <c r="R13" s="7"/>
      <c r="S13" s="11">
        <f t="shared" si="0"/>
        <v>6.6666666666666666E-2</v>
      </c>
      <c r="T13">
        <v>12</v>
      </c>
    </row>
    <row r="14" spans="1:34" x14ac:dyDescent="0.2">
      <c r="A14" s="5">
        <v>32347981</v>
      </c>
      <c r="B14" s="5" t="s">
        <v>66</v>
      </c>
      <c r="C14" s="5" t="s">
        <v>67</v>
      </c>
      <c r="D14" s="7">
        <v>1</v>
      </c>
      <c r="E14" s="7"/>
      <c r="F14" s="7"/>
      <c r="G14" s="7"/>
      <c r="H14" s="7"/>
      <c r="I14" s="7"/>
      <c r="J14" s="8"/>
      <c r="K14" s="7"/>
      <c r="L14" s="7"/>
      <c r="M14" s="7"/>
      <c r="N14" s="7"/>
      <c r="O14" s="7"/>
      <c r="P14" s="7"/>
      <c r="Q14" s="7"/>
      <c r="R14" s="7"/>
      <c r="S14" s="11">
        <f t="shared" si="0"/>
        <v>6.6666666666666666E-2</v>
      </c>
      <c r="T14">
        <v>13</v>
      </c>
    </row>
    <row r="15" spans="1:34" x14ac:dyDescent="0.2">
      <c r="A15" s="5">
        <v>32502105</v>
      </c>
      <c r="B15" s="5" t="s">
        <v>68</v>
      </c>
      <c r="C15" s="5" t="s">
        <v>69</v>
      </c>
      <c r="D15" s="7">
        <v>1</v>
      </c>
      <c r="E15" s="7"/>
      <c r="F15" s="7"/>
      <c r="G15" s="7"/>
      <c r="H15" s="7"/>
      <c r="I15" s="7"/>
      <c r="J15" s="8"/>
      <c r="K15" s="7"/>
      <c r="L15" s="7"/>
      <c r="M15" s="7">
        <v>2</v>
      </c>
      <c r="N15" s="7"/>
      <c r="O15" s="7"/>
      <c r="P15" s="7">
        <v>3</v>
      </c>
      <c r="Q15" s="7">
        <v>2</v>
      </c>
      <c r="R15" s="7"/>
      <c r="S15" s="11">
        <f t="shared" si="0"/>
        <v>0.53333333333333333</v>
      </c>
      <c r="T15">
        <v>14</v>
      </c>
    </row>
    <row r="16" spans="1:34" x14ac:dyDescent="0.2">
      <c r="A16" s="5">
        <v>28318117</v>
      </c>
      <c r="B16" s="5" t="s">
        <v>70</v>
      </c>
      <c r="C16" s="5" t="s">
        <v>71</v>
      </c>
      <c r="D16" s="7">
        <v>1</v>
      </c>
      <c r="E16" s="7"/>
      <c r="F16" s="7"/>
      <c r="G16" s="7"/>
      <c r="H16" s="7"/>
      <c r="I16" s="7"/>
      <c r="J16" s="8"/>
      <c r="K16" s="7"/>
      <c r="L16" s="7"/>
      <c r="M16" s="7"/>
      <c r="N16" s="7"/>
      <c r="O16" s="7"/>
      <c r="P16" s="7"/>
      <c r="Q16" s="7"/>
      <c r="R16" s="7">
        <v>1</v>
      </c>
      <c r="S16" s="11">
        <f t="shared" si="0"/>
        <v>0.13333333333333333</v>
      </c>
      <c r="T16">
        <v>15</v>
      </c>
    </row>
    <row r="17" spans="1:20" x14ac:dyDescent="0.2">
      <c r="A17" s="5">
        <v>30346514</v>
      </c>
      <c r="B17" s="5" t="s">
        <v>72</v>
      </c>
      <c r="C17" s="5" t="s">
        <v>73</v>
      </c>
      <c r="D17" s="7">
        <v>1</v>
      </c>
      <c r="E17" s="7"/>
      <c r="F17" s="7"/>
      <c r="G17" s="7">
        <v>1</v>
      </c>
      <c r="H17" s="7">
        <v>1</v>
      </c>
      <c r="I17" s="7"/>
      <c r="J17" s="8"/>
      <c r="K17" s="7"/>
      <c r="L17" s="7"/>
      <c r="M17" s="7"/>
      <c r="N17" s="7"/>
      <c r="O17" s="7"/>
      <c r="P17" s="7"/>
      <c r="Q17" s="7"/>
      <c r="R17" s="7">
        <v>1</v>
      </c>
      <c r="S17" s="11">
        <f t="shared" si="0"/>
        <v>0.26666666666666666</v>
      </c>
      <c r="T17">
        <v>16</v>
      </c>
    </row>
    <row r="18" spans="1:20" x14ac:dyDescent="0.2">
      <c r="A18" s="5">
        <v>32124905</v>
      </c>
      <c r="B18" s="5" t="s">
        <v>74</v>
      </c>
      <c r="C18" s="5" t="s">
        <v>60</v>
      </c>
      <c r="D18" s="7">
        <v>1</v>
      </c>
      <c r="E18" s="7"/>
      <c r="F18" s="7"/>
      <c r="G18" s="7"/>
      <c r="H18" s="7"/>
      <c r="I18" s="7"/>
      <c r="J18" s="8"/>
      <c r="K18" s="7"/>
      <c r="L18" s="7"/>
      <c r="M18" s="7"/>
      <c r="N18" s="7"/>
      <c r="O18" s="7"/>
      <c r="P18" s="7"/>
      <c r="Q18" s="7"/>
      <c r="R18" s="7"/>
      <c r="S18" s="11">
        <f t="shared" si="0"/>
        <v>6.6666666666666666E-2</v>
      </c>
      <c r="T18">
        <v>17</v>
      </c>
    </row>
    <row r="19" spans="1:20" x14ac:dyDescent="0.2">
      <c r="A19" s="5">
        <v>32397222</v>
      </c>
      <c r="B19" s="5" t="s">
        <v>77</v>
      </c>
      <c r="C19" s="5" t="s">
        <v>78</v>
      </c>
      <c r="D19" s="7">
        <v>1</v>
      </c>
      <c r="E19" s="7">
        <v>1</v>
      </c>
      <c r="F19" s="7"/>
      <c r="G19" s="7"/>
      <c r="H19" s="7"/>
      <c r="I19" s="7"/>
      <c r="J19" s="8"/>
      <c r="K19" s="7"/>
      <c r="L19" s="7"/>
      <c r="M19" s="7"/>
      <c r="N19" s="7"/>
      <c r="O19" s="7"/>
      <c r="P19" s="7"/>
      <c r="Q19" s="7"/>
      <c r="R19" s="7"/>
      <c r="S19" s="11">
        <f t="shared" si="0"/>
        <v>0.13333333333333333</v>
      </c>
      <c r="T19">
        <v>18</v>
      </c>
    </row>
    <row r="20" spans="1:20" x14ac:dyDescent="0.2">
      <c r="A20" s="5">
        <v>30156914</v>
      </c>
      <c r="B20" s="5" t="s">
        <v>79</v>
      </c>
      <c r="C20" s="5" t="s">
        <v>65</v>
      </c>
      <c r="D20" s="7"/>
      <c r="E20" s="7"/>
      <c r="F20" s="7"/>
      <c r="G20" s="7"/>
      <c r="H20" s="7"/>
      <c r="I20" s="7"/>
      <c r="J20" s="8"/>
      <c r="K20" s="7"/>
      <c r="L20" s="7"/>
      <c r="M20" s="7"/>
      <c r="N20" s="7"/>
      <c r="O20" s="7"/>
      <c r="P20" s="7"/>
      <c r="Q20" s="7"/>
      <c r="R20" s="7"/>
      <c r="S20" s="11">
        <f t="shared" si="0"/>
        <v>0</v>
      </c>
      <c r="T20">
        <v>19</v>
      </c>
    </row>
    <row r="21" spans="1:20" x14ac:dyDescent="0.2">
      <c r="A21" s="5">
        <v>32333927</v>
      </c>
      <c r="B21" s="5" t="s">
        <v>80</v>
      </c>
      <c r="C21" s="5" t="s">
        <v>55</v>
      </c>
      <c r="D21" s="7">
        <v>1</v>
      </c>
      <c r="E21" s="7">
        <v>2</v>
      </c>
      <c r="F21" s="7"/>
      <c r="G21" s="7">
        <v>2</v>
      </c>
      <c r="H21" s="7"/>
      <c r="I21" s="7"/>
      <c r="J21" s="8"/>
      <c r="K21" s="7"/>
      <c r="L21" s="7"/>
      <c r="M21" s="7"/>
      <c r="N21" s="7"/>
      <c r="O21" s="7"/>
      <c r="P21" s="7">
        <v>3</v>
      </c>
      <c r="Q21" s="7">
        <v>2</v>
      </c>
      <c r="R21" s="7"/>
      <c r="S21" s="11">
        <f t="shared" si="0"/>
        <v>0.66666666666666663</v>
      </c>
      <c r="T21">
        <v>20</v>
      </c>
    </row>
    <row r="22" spans="1:20" x14ac:dyDescent="0.2">
      <c r="A22" s="5">
        <v>27714378</v>
      </c>
      <c r="B22" s="5" t="s">
        <v>81</v>
      </c>
      <c r="C22" s="5" t="s">
        <v>82</v>
      </c>
      <c r="D22" s="7">
        <v>1</v>
      </c>
      <c r="E22" s="7"/>
      <c r="F22" s="7"/>
      <c r="G22" s="7"/>
      <c r="H22" s="7"/>
      <c r="I22" s="7"/>
      <c r="J22" s="8"/>
      <c r="K22" s="7"/>
      <c r="L22" s="7"/>
      <c r="M22" s="7"/>
      <c r="N22" s="7"/>
      <c r="O22" s="7"/>
      <c r="P22" s="7"/>
      <c r="Q22" s="7"/>
      <c r="R22" s="7"/>
      <c r="S22" s="11">
        <f t="shared" si="0"/>
        <v>6.6666666666666666E-2</v>
      </c>
      <c r="T22">
        <v>21</v>
      </c>
    </row>
    <row r="23" spans="1:20" x14ac:dyDescent="0.2">
      <c r="A23" s="5">
        <v>29662246</v>
      </c>
      <c r="B23" s="5" t="s">
        <v>83</v>
      </c>
      <c r="C23" s="5" t="s">
        <v>84</v>
      </c>
      <c r="D23" s="7"/>
      <c r="E23" s="7"/>
      <c r="F23" s="7"/>
      <c r="G23" s="7"/>
      <c r="H23" s="7"/>
      <c r="I23" s="7"/>
      <c r="J23" s="8"/>
      <c r="K23" s="7"/>
      <c r="L23" s="7"/>
      <c r="M23" s="7"/>
      <c r="N23" s="7"/>
      <c r="O23" s="7"/>
      <c r="P23" s="7"/>
      <c r="Q23" s="7"/>
      <c r="R23" s="7"/>
      <c r="S23" s="11">
        <f t="shared" si="0"/>
        <v>0</v>
      </c>
      <c r="T23">
        <v>22</v>
      </c>
    </row>
    <row r="24" spans="1:20" x14ac:dyDescent="0.2">
      <c r="A24" s="5">
        <v>31623260</v>
      </c>
      <c r="B24" s="5" t="s">
        <v>85</v>
      </c>
      <c r="C24" s="5" t="s">
        <v>86</v>
      </c>
      <c r="D24" s="7">
        <v>1</v>
      </c>
      <c r="E24" s="7">
        <v>1</v>
      </c>
      <c r="F24" s="7"/>
      <c r="G24" s="7">
        <v>2</v>
      </c>
      <c r="H24" s="7">
        <v>1</v>
      </c>
      <c r="I24" s="7"/>
      <c r="J24" s="8"/>
      <c r="K24" s="7"/>
      <c r="L24" s="7">
        <v>1</v>
      </c>
      <c r="M24" s="7"/>
      <c r="N24" s="7"/>
      <c r="O24" s="7"/>
      <c r="P24" s="7"/>
      <c r="Q24" s="7"/>
      <c r="R24" s="7">
        <v>1</v>
      </c>
      <c r="S24" s="11">
        <f t="shared" si="0"/>
        <v>0.46666666666666667</v>
      </c>
      <c r="T24">
        <v>23</v>
      </c>
    </row>
    <row r="25" spans="1:20" x14ac:dyDescent="0.2">
      <c r="A25" s="5">
        <v>32080790</v>
      </c>
      <c r="B25" s="5" t="s">
        <v>88</v>
      </c>
      <c r="C25" s="5" t="s">
        <v>89</v>
      </c>
      <c r="D25" s="7">
        <v>1</v>
      </c>
      <c r="E25" s="7"/>
      <c r="F25" s="7"/>
      <c r="G25" s="7"/>
      <c r="H25" s="7"/>
      <c r="I25" s="7"/>
      <c r="J25" s="8"/>
      <c r="K25" s="7"/>
      <c r="L25" s="7"/>
      <c r="M25" s="7"/>
      <c r="N25" s="7"/>
      <c r="O25" s="7"/>
      <c r="P25" s="7"/>
      <c r="Q25" s="7"/>
      <c r="R25" s="7"/>
      <c r="S25" s="11">
        <f t="shared" si="0"/>
        <v>6.6666666666666666E-2</v>
      </c>
      <c r="T25">
        <v>24</v>
      </c>
    </row>
    <row r="26" spans="1:20" x14ac:dyDescent="0.2">
      <c r="A26" s="5">
        <v>29678946</v>
      </c>
      <c r="B26" s="5" t="s">
        <v>90</v>
      </c>
      <c r="C26" s="5" t="s">
        <v>91</v>
      </c>
      <c r="D26" s="7"/>
      <c r="E26" s="7"/>
      <c r="F26" s="7"/>
      <c r="G26" s="7"/>
      <c r="H26" s="7"/>
      <c r="I26" s="7"/>
      <c r="J26" s="8"/>
      <c r="K26" s="7"/>
      <c r="L26" s="7"/>
      <c r="M26" s="7"/>
      <c r="N26" s="7"/>
      <c r="O26" s="7"/>
      <c r="P26" s="7"/>
      <c r="Q26" s="7"/>
      <c r="R26" s="7"/>
      <c r="S26" s="11">
        <f t="shared" si="0"/>
        <v>0</v>
      </c>
      <c r="T26">
        <v>25</v>
      </c>
    </row>
    <row r="27" spans="1:20" x14ac:dyDescent="0.2">
      <c r="A27" s="5">
        <v>34202891</v>
      </c>
      <c r="B27" s="5" t="s">
        <v>92</v>
      </c>
      <c r="C27" s="5" t="s">
        <v>93</v>
      </c>
      <c r="D27" s="7">
        <v>1</v>
      </c>
      <c r="E27" s="7"/>
      <c r="F27" s="7"/>
      <c r="G27" s="7"/>
      <c r="H27" s="7"/>
      <c r="I27" s="7"/>
      <c r="J27" s="8"/>
      <c r="K27" s="7"/>
      <c r="L27" s="7"/>
      <c r="M27" s="7"/>
      <c r="N27" s="7"/>
      <c r="O27" s="7"/>
      <c r="P27" s="7"/>
      <c r="Q27" s="7"/>
      <c r="R27" s="7"/>
      <c r="S27" s="11">
        <f t="shared" si="0"/>
        <v>6.6666666666666666E-2</v>
      </c>
      <c r="T27">
        <v>26</v>
      </c>
    </row>
    <row r="28" spans="1:20" x14ac:dyDescent="0.2">
      <c r="A28" s="5">
        <v>31707262</v>
      </c>
      <c r="B28" s="5" t="s">
        <v>94</v>
      </c>
      <c r="C28" s="5" t="s">
        <v>47</v>
      </c>
      <c r="D28" s="7">
        <v>1</v>
      </c>
      <c r="E28" s="7"/>
      <c r="F28" s="7"/>
      <c r="G28" s="7"/>
      <c r="H28" s="7"/>
      <c r="I28" s="7"/>
      <c r="J28" s="8"/>
      <c r="K28" s="7"/>
      <c r="L28" s="7"/>
      <c r="M28" s="7"/>
      <c r="N28" s="7"/>
      <c r="O28" s="7"/>
      <c r="P28" s="7"/>
      <c r="Q28" s="7"/>
      <c r="R28" s="7"/>
      <c r="S28" s="11">
        <f t="shared" si="0"/>
        <v>6.6666666666666666E-2</v>
      </c>
      <c r="T28">
        <v>27</v>
      </c>
    </row>
    <row r="29" spans="1:20" x14ac:dyDescent="0.2">
      <c r="A29" s="14"/>
      <c r="B29" s="14"/>
      <c r="C29" s="14"/>
      <c r="D29" s="7">
        <f t="shared" ref="D29:R29" si="1">SUM(D2:D28)</f>
        <v>23</v>
      </c>
      <c r="E29" s="7">
        <f t="shared" si="1"/>
        <v>10</v>
      </c>
      <c r="F29" s="7">
        <f t="shared" si="1"/>
        <v>3</v>
      </c>
      <c r="G29" s="7">
        <f t="shared" si="1"/>
        <v>11</v>
      </c>
      <c r="H29" s="7">
        <f t="shared" si="1"/>
        <v>4</v>
      </c>
      <c r="I29" s="7">
        <f t="shared" si="1"/>
        <v>12</v>
      </c>
      <c r="J29" s="7">
        <f t="shared" si="1"/>
        <v>2</v>
      </c>
      <c r="K29" s="7">
        <f t="shared" si="1"/>
        <v>1</v>
      </c>
      <c r="L29" s="7">
        <f t="shared" si="1"/>
        <v>5</v>
      </c>
      <c r="M29" s="7">
        <f t="shared" si="1"/>
        <v>8</v>
      </c>
      <c r="N29" s="7">
        <f t="shared" si="1"/>
        <v>5</v>
      </c>
      <c r="O29" s="7">
        <f t="shared" si="1"/>
        <v>9</v>
      </c>
      <c r="P29" s="7">
        <f t="shared" si="1"/>
        <v>8</v>
      </c>
      <c r="Q29" s="7">
        <f t="shared" si="1"/>
        <v>9</v>
      </c>
      <c r="R29" s="7">
        <f t="shared" si="1"/>
        <v>10</v>
      </c>
      <c r="S29" s="11">
        <f>AVERAGE(S2:S28)</f>
        <v>0.29629629629629622</v>
      </c>
      <c r="T29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M28"/>
  <sheetViews>
    <sheetView workbookViewId="0">
      <pane xSplit="2" ySplit="1" topLeftCell="W2" activePane="bottomRight" state="frozen"/>
      <selection pane="topRight" activeCell="C1" sqref="C1"/>
      <selection pane="bottomLeft" activeCell="A2" sqref="A2"/>
      <selection pane="bottomRight" activeCell="A2" sqref="A2:C28"/>
    </sheetView>
  </sheetViews>
  <sheetFormatPr baseColWidth="10" defaultColWidth="12.6640625" defaultRowHeight="15.75" customHeight="1" x14ac:dyDescent="0.15"/>
  <cols>
    <col min="31" max="31" width="7.6640625" customWidth="1"/>
    <col min="36" max="36" width="10.5" customWidth="1"/>
    <col min="38" max="38" width="5.1640625" customWidth="1"/>
    <col min="39" max="39" width="7.6640625" customWidth="1"/>
  </cols>
  <sheetData>
    <row r="1" spans="1:39" ht="15.75" customHeight="1" x14ac:dyDescent="0.15">
      <c r="A1" s="1" t="s">
        <v>1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2" t="s">
        <v>32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2" t="s">
        <v>39</v>
      </c>
      <c r="AK1" s="2" t="s">
        <v>40</v>
      </c>
      <c r="AL1" s="1" t="s">
        <v>41</v>
      </c>
      <c r="AM1" s="1" t="s">
        <v>42</v>
      </c>
    </row>
    <row r="2" spans="1:39" ht="15.75" customHeight="1" x14ac:dyDescent="0.15">
      <c r="A2" s="1" t="s">
        <v>43</v>
      </c>
      <c r="B2" s="1" t="s">
        <v>44</v>
      </c>
      <c r="C2" s="1">
        <v>29678921</v>
      </c>
      <c r="D2" s="4">
        <v>13.5</v>
      </c>
      <c r="E2" s="4">
        <v>14.5</v>
      </c>
      <c r="F2" s="4">
        <v>19</v>
      </c>
      <c r="G2" s="4">
        <v>11.6</v>
      </c>
      <c r="H2" s="6">
        <v>15.3</v>
      </c>
      <c r="I2" s="4">
        <v>18</v>
      </c>
      <c r="J2" s="4">
        <v>20</v>
      </c>
      <c r="K2" s="4">
        <v>19.8</v>
      </c>
      <c r="L2" s="4">
        <v>15</v>
      </c>
      <c r="M2" s="4">
        <v>20</v>
      </c>
      <c r="N2" s="4">
        <v>20</v>
      </c>
      <c r="O2" s="4">
        <v>5</v>
      </c>
      <c r="P2" s="4">
        <v>18</v>
      </c>
      <c r="Q2" s="4">
        <v>20</v>
      </c>
      <c r="R2" s="4">
        <v>15</v>
      </c>
      <c r="S2" s="4">
        <v>20</v>
      </c>
      <c r="T2" s="4">
        <v>20</v>
      </c>
      <c r="U2" s="4">
        <v>20</v>
      </c>
      <c r="V2" s="4">
        <v>20</v>
      </c>
      <c r="W2" s="4">
        <v>20</v>
      </c>
      <c r="X2" s="4">
        <v>20</v>
      </c>
      <c r="Y2" s="4">
        <v>20</v>
      </c>
      <c r="Z2" s="4">
        <v>20</v>
      </c>
      <c r="AA2" s="4">
        <v>19.649999999999999</v>
      </c>
      <c r="AB2" s="4">
        <v>20</v>
      </c>
      <c r="AC2" s="4">
        <v>18</v>
      </c>
      <c r="AD2" s="6">
        <v>19.420000000000002</v>
      </c>
      <c r="AE2" s="4">
        <v>19</v>
      </c>
      <c r="AF2" s="4">
        <v>20</v>
      </c>
      <c r="AG2" s="1"/>
      <c r="AH2" s="4">
        <v>10</v>
      </c>
      <c r="AI2" s="1"/>
      <c r="AJ2" s="6">
        <v>3</v>
      </c>
      <c r="AK2" s="9">
        <v>16.940000000000001</v>
      </c>
      <c r="AL2" s="10">
        <f>Partic!S2</f>
        <v>0.6</v>
      </c>
      <c r="AM2" s="12">
        <f t="shared" ref="AM2:AM9" si="0">AK2+AL2</f>
        <v>17.540000000000003</v>
      </c>
    </row>
    <row r="3" spans="1:39" ht="15.75" customHeight="1" x14ac:dyDescent="0.15">
      <c r="A3" s="1" t="s">
        <v>45</v>
      </c>
      <c r="B3" s="1" t="s">
        <v>44</v>
      </c>
      <c r="C3" s="1">
        <v>31377471</v>
      </c>
      <c r="D3" s="4">
        <v>13</v>
      </c>
      <c r="E3" s="4">
        <v>13.5</v>
      </c>
      <c r="F3" s="4">
        <v>13.2</v>
      </c>
      <c r="G3" s="4">
        <v>5.2</v>
      </c>
      <c r="H3" s="6">
        <v>9.1999999999999993</v>
      </c>
      <c r="I3" s="4">
        <v>20</v>
      </c>
      <c r="J3" s="4">
        <v>20</v>
      </c>
      <c r="K3" s="4">
        <v>19.8</v>
      </c>
      <c r="L3" s="4">
        <v>15</v>
      </c>
      <c r="M3" s="4">
        <v>20</v>
      </c>
      <c r="N3" s="4">
        <v>17</v>
      </c>
      <c r="O3" s="4">
        <v>10</v>
      </c>
      <c r="P3" s="4">
        <v>20</v>
      </c>
      <c r="Q3" s="4">
        <v>20</v>
      </c>
      <c r="R3" s="4">
        <v>17</v>
      </c>
      <c r="S3" s="4">
        <v>20</v>
      </c>
      <c r="T3" s="4">
        <v>14</v>
      </c>
      <c r="U3" s="4">
        <v>20</v>
      </c>
      <c r="V3" s="4">
        <v>20</v>
      </c>
      <c r="W3" s="4">
        <v>20</v>
      </c>
      <c r="X3" s="4">
        <v>19</v>
      </c>
      <c r="Y3" s="4">
        <v>20</v>
      </c>
      <c r="Z3" s="4">
        <v>20</v>
      </c>
      <c r="AA3" s="4">
        <v>19.649999999999999</v>
      </c>
      <c r="AB3" s="4">
        <v>18</v>
      </c>
      <c r="AC3" s="4">
        <v>18</v>
      </c>
      <c r="AD3" s="6">
        <v>19.37</v>
      </c>
      <c r="AE3" s="4">
        <v>19</v>
      </c>
      <c r="AF3" s="4">
        <v>10</v>
      </c>
      <c r="AG3" s="1"/>
      <c r="AH3" s="4">
        <v>10</v>
      </c>
      <c r="AI3" s="1"/>
      <c r="AJ3" s="6">
        <v>2.5</v>
      </c>
      <c r="AK3" s="9">
        <v>15.31</v>
      </c>
      <c r="AL3" s="10">
        <f>Partic!S3</f>
        <v>0.8666666666666667</v>
      </c>
      <c r="AM3" s="12">
        <f t="shared" si="0"/>
        <v>16.176666666666666</v>
      </c>
    </row>
    <row r="4" spans="1:39" ht="15.75" customHeight="1" x14ac:dyDescent="0.15">
      <c r="A4" s="1" t="s">
        <v>47</v>
      </c>
      <c r="B4" s="1" t="s">
        <v>46</v>
      </c>
      <c r="C4" s="1">
        <v>30906297</v>
      </c>
      <c r="D4" s="4">
        <v>12.5</v>
      </c>
      <c r="E4" s="4">
        <v>13</v>
      </c>
      <c r="F4" s="4">
        <v>6.6</v>
      </c>
      <c r="G4" s="4">
        <v>19</v>
      </c>
      <c r="H4" s="6">
        <v>12.8</v>
      </c>
      <c r="I4" s="4">
        <v>12</v>
      </c>
      <c r="J4" s="1"/>
      <c r="K4" s="4">
        <v>18.89</v>
      </c>
      <c r="L4" s="1"/>
      <c r="M4" s="1"/>
      <c r="N4" s="4">
        <v>20</v>
      </c>
      <c r="O4" s="1"/>
      <c r="P4" s="4">
        <v>18</v>
      </c>
      <c r="Q4" s="4">
        <v>16</v>
      </c>
      <c r="R4" s="4">
        <v>19</v>
      </c>
      <c r="S4" s="1"/>
      <c r="T4" s="4">
        <v>19</v>
      </c>
      <c r="U4" s="4">
        <v>0</v>
      </c>
      <c r="V4" s="4">
        <v>19</v>
      </c>
      <c r="W4" s="4">
        <v>19</v>
      </c>
      <c r="X4" s="4">
        <v>18</v>
      </c>
      <c r="Y4" s="4">
        <v>10</v>
      </c>
      <c r="Z4" s="4">
        <v>20</v>
      </c>
      <c r="AA4" s="4">
        <v>7</v>
      </c>
      <c r="AB4" s="4">
        <v>18</v>
      </c>
      <c r="AC4" s="4">
        <v>20</v>
      </c>
      <c r="AD4" s="6">
        <v>12.69</v>
      </c>
      <c r="AE4" s="4">
        <v>15</v>
      </c>
      <c r="AF4" s="1"/>
      <c r="AG4" s="1"/>
      <c r="AH4" s="1"/>
      <c r="AI4" s="1"/>
      <c r="AJ4" s="2"/>
      <c r="AK4" s="9">
        <v>13.2</v>
      </c>
      <c r="AL4" s="10">
        <f>Partic!S4</f>
        <v>1</v>
      </c>
      <c r="AM4" s="12">
        <f t="shared" si="0"/>
        <v>14.2</v>
      </c>
    </row>
    <row r="5" spans="1:39" ht="15.75" customHeight="1" x14ac:dyDescent="0.15">
      <c r="A5" s="1" t="s">
        <v>49</v>
      </c>
      <c r="B5" s="1" t="s">
        <v>48</v>
      </c>
      <c r="C5" s="1">
        <v>31985434</v>
      </c>
      <c r="D5" s="4">
        <v>18</v>
      </c>
      <c r="E5" s="4">
        <v>14.5</v>
      </c>
      <c r="F5" s="4">
        <v>6.6</v>
      </c>
      <c r="G5" s="4">
        <v>5.2</v>
      </c>
      <c r="H5" s="6">
        <v>5.9</v>
      </c>
      <c r="I5" s="4">
        <v>15</v>
      </c>
      <c r="J5" s="4">
        <v>20</v>
      </c>
      <c r="K5" s="4">
        <v>20</v>
      </c>
      <c r="L5" s="4">
        <v>20</v>
      </c>
      <c r="M5" s="4">
        <v>20</v>
      </c>
      <c r="N5" s="4">
        <v>13</v>
      </c>
      <c r="O5" s="4">
        <v>20</v>
      </c>
      <c r="P5" s="4">
        <v>12</v>
      </c>
      <c r="Q5" s="4">
        <v>20</v>
      </c>
      <c r="R5" s="4">
        <v>17</v>
      </c>
      <c r="S5" s="1"/>
      <c r="T5" s="4">
        <v>20</v>
      </c>
      <c r="U5" s="4">
        <v>20</v>
      </c>
      <c r="V5" s="4">
        <v>20</v>
      </c>
      <c r="W5" s="4">
        <v>20</v>
      </c>
      <c r="X5" s="4">
        <v>17</v>
      </c>
      <c r="Y5" s="4">
        <v>20</v>
      </c>
      <c r="Z5" s="4">
        <v>20</v>
      </c>
      <c r="AA5" s="4">
        <v>19.649999999999999</v>
      </c>
      <c r="AB5" s="4">
        <v>16</v>
      </c>
      <c r="AC5" s="4">
        <v>18</v>
      </c>
      <c r="AD5" s="6">
        <v>18.38</v>
      </c>
      <c r="AE5" s="4">
        <v>14</v>
      </c>
      <c r="AF5" s="1"/>
      <c r="AG5" s="1"/>
      <c r="AH5" s="4">
        <v>10</v>
      </c>
      <c r="AI5" s="1"/>
      <c r="AJ5" s="6">
        <v>2</v>
      </c>
      <c r="AK5" s="9">
        <v>14.56</v>
      </c>
      <c r="AL5" s="10">
        <f>Partic!S5</f>
        <v>0.13333333333333333</v>
      </c>
      <c r="AM5" s="12">
        <f t="shared" si="0"/>
        <v>14.693333333333333</v>
      </c>
    </row>
    <row r="6" spans="1:39" ht="15.75" customHeight="1" x14ac:dyDescent="0.15">
      <c r="A6" s="1" t="s">
        <v>61</v>
      </c>
      <c r="B6" s="1" t="s">
        <v>62</v>
      </c>
      <c r="C6" s="1">
        <v>30497006</v>
      </c>
      <c r="D6" s="4">
        <v>10</v>
      </c>
      <c r="E6" s="4">
        <v>13</v>
      </c>
      <c r="F6" s="1"/>
      <c r="G6" s="4">
        <v>12.6</v>
      </c>
      <c r="H6" s="6">
        <v>6.3</v>
      </c>
      <c r="I6" s="4">
        <v>10</v>
      </c>
      <c r="J6" s="1"/>
      <c r="K6" s="4">
        <v>16</v>
      </c>
      <c r="L6" s="1"/>
      <c r="M6" s="1"/>
      <c r="N6" s="4">
        <v>14</v>
      </c>
      <c r="O6" s="1"/>
      <c r="P6" s="4">
        <v>20</v>
      </c>
      <c r="Q6" s="4">
        <v>18</v>
      </c>
      <c r="R6" s="4">
        <v>13</v>
      </c>
      <c r="S6" s="4">
        <v>20</v>
      </c>
      <c r="T6" s="4">
        <v>19</v>
      </c>
      <c r="U6" s="1"/>
      <c r="V6" s="4">
        <v>20</v>
      </c>
      <c r="W6" s="4">
        <v>17.25</v>
      </c>
      <c r="X6" s="4">
        <v>19</v>
      </c>
      <c r="Y6" s="1"/>
      <c r="Z6" s="4">
        <v>17</v>
      </c>
      <c r="AA6" s="4">
        <v>18.600000000000001</v>
      </c>
      <c r="AB6" s="4">
        <v>20</v>
      </c>
      <c r="AC6" s="4">
        <v>14</v>
      </c>
      <c r="AD6" s="6">
        <v>12.79</v>
      </c>
      <c r="AE6" s="4">
        <v>19</v>
      </c>
      <c r="AF6" s="1"/>
      <c r="AG6" s="1"/>
      <c r="AH6" s="4">
        <v>10</v>
      </c>
      <c r="AI6" s="1"/>
      <c r="AJ6" s="6">
        <v>2</v>
      </c>
      <c r="AK6" s="9">
        <v>12.62</v>
      </c>
      <c r="AL6" s="10">
        <f>Partic!S6</f>
        <v>0.6</v>
      </c>
      <c r="AM6" s="12">
        <f t="shared" si="0"/>
        <v>13.219999999999999</v>
      </c>
    </row>
    <row r="7" spans="1:39" ht="15.75" customHeight="1" x14ac:dyDescent="0.15">
      <c r="A7" s="1" t="s">
        <v>53</v>
      </c>
      <c r="B7" s="1" t="s">
        <v>52</v>
      </c>
      <c r="C7" s="1">
        <v>32535152</v>
      </c>
      <c r="D7" s="4">
        <v>16</v>
      </c>
      <c r="E7" s="4">
        <v>13.5</v>
      </c>
      <c r="F7" s="4">
        <v>8</v>
      </c>
      <c r="G7" s="4">
        <v>20</v>
      </c>
      <c r="H7" s="6">
        <v>14</v>
      </c>
      <c r="I7" s="4">
        <v>14.3</v>
      </c>
      <c r="J7" s="4">
        <v>15</v>
      </c>
      <c r="K7" s="4">
        <v>15</v>
      </c>
      <c r="L7" s="4">
        <v>20</v>
      </c>
      <c r="M7" s="1"/>
      <c r="N7" s="4">
        <v>20</v>
      </c>
      <c r="O7" s="1"/>
      <c r="P7" s="4">
        <v>16</v>
      </c>
      <c r="Q7" s="4">
        <v>20</v>
      </c>
      <c r="R7" s="4">
        <v>19</v>
      </c>
      <c r="S7" s="1"/>
      <c r="T7" s="4">
        <v>19</v>
      </c>
      <c r="U7" s="1"/>
      <c r="V7" s="4">
        <v>20</v>
      </c>
      <c r="W7" s="4">
        <v>19.25</v>
      </c>
      <c r="X7" s="4">
        <v>19</v>
      </c>
      <c r="Y7" s="1"/>
      <c r="Z7" s="4">
        <v>20</v>
      </c>
      <c r="AA7" s="4">
        <v>18.600000000000001</v>
      </c>
      <c r="AB7" s="4">
        <v>18</v>
      </c>
      <c r="AC7" s="1"/>
      <c r="AD7" s="6">
        <v>13.66</v>
      </c>
      <c r="AE7" s="4">
        <v>14</v>
      </c>
      <c r="AF7" s="1"/>
      <c r="AG7" s="1"/>
      <c r="AH7" s="1"/>
      <c r="AI7" s="1"/>
      <c r="AJ7" s="2"/>
      <c r="AK7" s="9">
        <v>14.23</v>
      </c>
      <c r="AL7" s="10">
        <f>Partic!S7</f>
        <v>0.13333333333333333</v>
      </c>
      <c r="AM7" s="12">
        <f t="shared" si="0"/>
        <v>14.363333333333333</v>
      </c>
    </row>
    <row r="8" spans="1:39" ht="15.75" customHeight="1" x14ac:dyDescent="0.15">
      <c r="A8" s="1" t="s">
        <v>55</v>
      </c>
      <c r="B8" s="1" t="s">
        <v>54</v>
      </c>
      <c r="C8" s="1">
        <v>30538925</v>
      </c>
      <c r="D8" s="4">
        <v>9.5</v>
      </c>
      <c r="E8" s="4">
        <v>14</v>
      </c>
      <c r="F8" s="4">
        <v>2.6</v>
      </c>
      <c r="G8" s="4">
        <v>15</v>
      </c>
      <c r="H8" s="6">
        <v>8.8000000000000007</v>
      </c>
      <c r="I8" s="4">
        <v>17</v>
      </c>
      <c r="J8" s="4">
        <v>20</v>
      </c>
      <c r="K8" s="4">
        <v>19.8</v>
      </c>
      <c r="L8" s="4">
        <v>10</v>
      </c>
      <c r="M8" s="1"/>
      <c r="N8" s="4">
        <v>20</v>
      </c>
      <c r="O8" s="4">
        <v>0</v>
      </c>
      <c r="P8" s="4">
        <v>18</v>
      </c>
      <c r="Q8" s="4">
        <v>16</v>
      </c>
      <c r="R8" s="1"/>
      <c r="S8" s="1"/>
      <c r="T8" s="4">
        <v>17</v>
      </c>
      <c r="U8" s="1"/>
      <c r="V8" s="4">
        <v>20</v>
      </c>
      <c r="W8" s="4">
        <v>11.2</v>
      </c>
      <c r="X8" s="4">
        <v>20</v>
      </c>
      <c r="Y8" s="4">
        <v>20</v>
      </c>
      <c r="Z8" s="4">
        <v>13</v>
      </c>
      <c r="AA8" s="4">
        <v>19.649999999999999</v>
      </c>
      <c r="AB8" s="4">
        <v>16</v>
      </c>
      <c r="AC8" s="1"/>
      <c r="AD8" s="6">
        <v>12.88</v>
      </c>
      <c r="AE8" s="4">
        <v>15</v>
      </c>
      <c r="AF8" s="4">
        <v>0</v>
      </c>
      <c r="AG8" s="1"/>
      <c r="AH8" s="1"/>
      <c r="AI8" s="1"/>
      <c r="AJ8" s="6">
        <v>0</v>
      </c>
      <c r="AK8" s="9">
        <v>12.04</v>
      </c>
      <c r="AL8" s="10">
        <f>Partic!S8</f>
        <v>0.73333333333333328</v>
      </c>
      <c r="AM8" s="12">
        <f t="shared" si="0"/>
        <v>12.773333333333332</v>
      </c>
    </row>
    <row r="9" spans="1:39" ht="15.75" customHeight="1" x14ac:dyDescent="0.15">
      <c r="A9" s="1" t="s">
        <v>75</v>
      </c>
      <c r="B9" s="1" t="s">
        <v>76</v>
      </c>
      <c r="C9" s="1">
        <v>29947837</v>
      </c>
      <c r="D9" s="1"/>
      <c r="E9" s="1"/>
      <c r="F9" s="1"/>
      <c r="G9" s="1"/>
      <c r="H9" s="2"/>
      <c r="I9" s="4">
        <v>11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6">
        <v>0.55000000000000004</v>
      </c>
      <c r="AE9" s="1"/>
      <c r="AF9" s="1"/>
      <c r="AG9" s="1"/>
      <c r="AH9" s="1"/>
      <c r="AI9" s="1"/>
      <c r="AJ9" s="2"/>
      <c r="AK9" s="9">
        <v>0.11</v>
      </c>
      <c r="AL9" s="10">
        <f>Partic!S9</f>
        <v>6.6666666666666666E-2</v>
      </c>
      <c r="AM9" s="12">
        <f t="shared" si="0"/>
        <v>0.17666666666666667</v>
      </c>
    </row>
    <row r="10" spans="1:39" ht="15.75" customHeight="1" x14ac:dyDescent="0.15">
      <c r="A10" s="1" t="s">
        <v>55</v>
      </c>
      <c r="B10" s="1" t="s">
        <v>58</v>
      </c>
      <c r="C10" s="1">
        <v>31307883</v>
      </c>
      <c r="D10" s="4">
        <v>16</v>
      </c>
      <c r="E10" s="4">
        <v>10.5</v>
      </c>
      <c r="F10" s="4">
        <v>17.2</v>
      </c>
      <c r="G10" s="4">
        <v>18</v>
      </c>
      <c r="H10" s="6">
        <v>17.600000000000001</v>
      </c>
      <c r="I10" s="4">
        <v>15</v>
      </c>
      <c r="J10" s="4">
        <v>20</v>
      </c>
      <c r="K10" s="4">
        <v>19</v>
      </c>
      <c r="L10" s="4">
        <v>15</v>
      </c>
      <c r="M10" s="4">
        <v>20</v>
      </c>
      <c r="N10" s="4">
        <v>20</v>
      </c>
      <c r="O10" s="4">
        <v>10</v>
      </c>
      <c r="P10" s="4">
        <v>18</v>
      </c>
      <c r="Q10" s="4">
        <v>15</v>
      </c>
      <c r="R10" s="4">
        <v>15</v>
      </c>
      <c r="S10" s="1"/>
      <c r="T10" s="4">
        <v>15</v>
      </c>
      <c r="U10" s="4">
        <v>18</v>
      </c>
      <c r="V10" s="4">
        <v>13</v>
      </c>
      <c r="W10" s="4">
        <v>14.25</v>
      </c>
      <c r="X10" s="4">
        <v>20</v>
      </c>
      <c r="Y10" s="4">
        <v>20</v>
      </c>
      <c r="Z10" s="4">
        <v>20</v>
      </c>
      <c r="AA10" s="4">
        <v>19.649999999999999</v>
      </c>
      <c r="AB10" s="4">
        <v>14</v>
      </c>
      <c r="AC10" s="4">
        <v>14</v>
      </c>
      <c r="AD10" s="6">
        <v>16.75</v>
      </c>
      <c r="AE10" s="4">
        <v>17</v>
      </c>
      <c r="AF10" s="1"/>
      <c r="AG10" s="1"/>
      <c r="AH10" s="1"/>
      <c r="AI10" s="1"/>
      <c r="AJ10" s="2"/>
      <c r="AK10" s="9">
        <v>15.57</v>
      </c>
      <c r="AL10" s="10">
        <f>Partic!S10</f>
        <v>0.8</v>
      </c>
      <c r="AM10" s="13">
        <v>17</v>
      </c>
    </row>
    <row r="11" spans="1:39" ht="15.75" customHeight="1" x14ac:dyDescent="0.15">
      <c r="A11" s="1" t="s">
        <v>60</v>
      </c>
      <c r="B11" s="1" t="s">
        <v>59</v>
      </c>
      <c r="C11" s="1">
        <v>31873852</v>
      </c>
      <c r="D11" s="4">
        <v>2</v>
      </c>
      <c r="E11" s="1"/>
      <c r="F11" s="4">
        <v>6.8</v>
      </c>
      <c r="G11" s="1"/>
      <c r="H11" s="6">
        <v>3.4</v>
      </c>
      <c r="I11" s="4">
        <v>13</v>
      </c>
      <c r="J11" s="4">
        <v>15</v>
      </c>
      <c r="K11" s="1"/>
      <c r="L11" s="1"/>
      <c r="M11" s="4">
        <v>20</v>
      </c>
      <c r="N11" s="1"/>
      <c r="O11" s="4">
        <v>15</v>
      </c>
      <c r="P11" s="1"/>
      <c r="Q11" s="4">
        <v>20</v>
      </c>
      <c r="R11" s="4">
        <v>15</v>
      </c>
      <c r="S11" s="4">
        <v>20</v>
      </c>
      <c r="T11" s="4">
        <v>15</v>
      </c>
      <c r="U11" s="4">
        <v>20</v>
      </c>
      <c r="V11" s="1"/>
      <c r="W11" s="4">
        <v>11.6</v>
      </c>
      <c r="X11" s="1"/>
      <c r="Y11" s="1"/>
      <c r="Z11" s="1"/>
      <c r="AA11" s="1"/>
      <c r="AB11" s="1"/>
      <c r="AC11" s="1"/>
      <c r="AD11" s="6">
        <v>8.23</v>
      </c>
      <c r="AE11" s="1"/>
      <c r="AF11" s="1"/>
      <c r="AG11" s="1"/>
      <c r="AH11" s="1"/>
      <c r="AI11" s="1"/>
      <c r="AJ11" s="2"/>
      <c r="AK11" s="9">
        <v>2.73</v>
      </c>
      <c r="AL11" s="10">
        <f>Partic!S11</f>
        <v>0.33333333333333331</v>
      </c>
      <c r="AM11" s="12" t="s">
        <v>87</v>
      </c>
    </row>
    <row r="12" spans="1:39" ht="15.75" customHeight="1" x14ac:dyDescent="0.15">
      <c r="A12" s="1" t="s">
        <v>60</v>
      </c>
      <c r="B12" s="1" t="s">
        <v>63</v>
      </c>
      <c r="C12" s="1">
        <v>32515298</v>
      </c>
      <c r="D12" s="4">
        <v>11.5</v>
      </c>
      <c r="E12" s="4">
        <v>12</v>
      </c>
      <c r="F12" s="4">
        <v>4</v>
      </c>
      <c r="G12" s="4">
        <v>10.6</v>
      </c>
      <c r="H12" s="6">
        <v>7.3</v>
      </c>
      <c r="I12" s="4">
        <v>12</v>
      </c>
      <c r="J12" s="4">
        <v>20</v>
      </c>
      <c r="K12" s="1"/>
      <c r="L12" s="4">
        <v>20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4">
        <v>16.899999999999999</v>
      </c>
      <c r="Z12" s="1"/>
      <c r="AA12" s="1"/>
      <c r="AB12" s="1"/>
      <c r="AC12" s="1"/>
      <c r="AD12" s="6">
        <v>3.45</v>
      </c>
      <c r="AE12" s="4">
        <v>10</v>
      </c>
      <c r="AF12" s="1"/>
      <c r="AG12" s="1"/>
      <c r="AH12" s="1"/>
      <c r="AI12" s="1"/>
      <c r="AJ12" s="2"/>
      <c r="AK12" s="9">
        <v>8.85</v>
      </c>
      <c r="AL12" s="10">
        <f>Partic!S12</f>
        <v>6.6666666666666666E-2</v>
      </c>
      <c r="AM12" s="12">
        <f>AK12+AL12</f>
        <v>8.9166666666666661</v>
      </c>
    </row>
    <row r="13" spans="1:39" ht="15.75" customHeight="1" x14ac:dyDescent="0.15">
      <c r="A13" s="1" t="s">
        <v>95</v>
      </c>
      <c r="B13" s="1" t="s">
        <v>96</v>
      </c>
      <c r="C13" s="1">
        <v>31373493</v>
      </c>
      <c r="D13" s="1"/>
      <c r="E13" s="1"/>
      <c r="F13" s="1"/>
      <c r="G13" s="1"/>
      <c r="H13" s="2"/>
      <c r="I13" s="1"/>
      <c r="J13" s="4">
        <v>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6">
        <v>0</v>
      </c>
      <c r="AE13" s="1"/>
      <c r="AF13" s="1"/>
      <c r="AG13" s="1"/>
      <c r="AH13" s="1"/>
      <c r="AI13" s="1"/>
      <c r="AJ13" s="2"/>
      <c r="AK13" s="9">
        <v>0</v>
      </c>
      <c r="AL13" s="10">
        <f>Partic!S13</f>
        <v>6.6666666666666666E-2</v>
      </c>
      <c r="AM13" s="12" t="s">
        <v>87</v>
      </c>
    </row>
    <row r="14" spans="1:39" ht="15.75" customHeight="1" x14ac:dyDescent="0.15">
      <c r="A14" s="1" t="s">
        <v>97</v>
      </c>
      <c r="B14" s="1" t="s">
        <v>66</v>
      </c>
      <c r="C14" s="1">
        <v>32347981</v>
      </c>
      <c r="D14" s="4">
        <v>19</v>
      </c>
      <c r="E14" s="4">
        <v>17.5</v>
      </c>
      <c r="F14" s="4">
        <v>13.2</v>
      </c>
      <c r="G14" s="4">
        <v>15.6</v>
      </c>
      <c r="H14" s="6">
        <v>14.4</v>
      </c>
      <c r="I14" s="4">
        <v>18</v>
      </c>
      <c r="J14" s="1"/>
      <c r="K14" s="4">
        <v>15</v>
      </c>
      <c r="L14" s="4">
        <v>20</v>
      </c>
      <c r="M14" s="4">
        <v>20</v>
      </c>
      <c r="N14" s="4">
        <v>20</v>
      </c>
      <c r="O14" s="4">
        <v>0</v>
      </c>
      <c r="P14" s="4">
        <v>20</v>
      </c>
      <c r="Q14" s="4">
        <v>17</v>
      </c>
      <c r="R14" s="4">
        <v>20</v>
      </c>
      <c r="S14" s="4">
        <v>20</v>
      </c>
      <c r="T14" s="4">
        <v>19</v>
      </c>
      <c r="U14" s="4">
        <v>20</v>
      </c>
      <c r="V14" s="4">
        <v>19</v>
      </c>
      <c r="W14" s="4">
        <v>18.25</v>
      </c>
      <c r="X14" s="4">
        <v>18</v>
      </c>
      <c r="Y14" s="4">
        <v>16.899999999999999</v>
      </c>
      <c r="Z14" s="4">
        <v>9</v>
      </c>
      <c r="AA14" s="4">
        <v>19.649999999999999</v>
      </c>
      <c r="AB14" s="4">
        <v>18</v>
      </c>
      <c r="AC14" s="4">
        <v>16</v>
      </c>
      <c r="AD14" s="6">
        <v>17.190000000000001</v>
      </c>
      <c r="AE14" s="4">
        <v>19</v>
      </c>
      <c r="AF14" s="1"/>
      <c r="AG14" s="1"/>
      <c r="AH14" s="1"/>
      <c r="AI14" s="1"/>
      <c r="AJ14" s="2"/>
      <c r="AK14" s="9">
        <v>17.420000000000002</v>
      </c>
      <c r="AL14" s="10">
        <f>Partic!S14</f>
        <v>6.6666666666666666E-2</v>
      </c>
      <c r="AM14" s="12">
        <f t="shared" ref="AM14:AM20" si="1">AK14+AL14</f>
        <v>17.486666666666668</v>
      </c>
    </row>
    <row r="15" spans="1:39" ht="15.75" customHeight="1" x14ac:dyDescent="0.15">
      <c r="A15" s="1" t="s">
        <v>98</v>
      </c>
      <c r="B15" s="1" t="s">
        <v>68</v>
      </c>
      <c r="C15" s="1">
        <v>32502105</v>
      </c>
      <c r="D15" s="4">
        <v>6</v>
      </c>
      <c r="E15" s="4">
        <v>10</v>
      </c>
      <c r="F15" s="4">
        <v>1.6</v>
      </c>
      <c r="G15" s="4">
        <v>4.2</v>
      </c>
      <c r="H15" s="6">
        <v>2.9</v>
      </c>
      <c r="I15" s="4">
        <v>15</v>
      </c>
      <c r="J15" s="4">
        <v>15</v>
      </c>
      <c r="K15" s="4">
        <v>20</v>
      </c>
      <c r="L15" s="1"/>
      <c r="M15" s="4">
        <v>6</v>
      </c>
      <c r="N15" s="4">
        <v>20</v>
      </c>
      <c r="O15" s="4">
        <v>0</v>
      </c>
      <c r="P15" s="4">
        <v>20</v>
      </c>
      <c r="Q15" s="4">
        <v>20</v>
      </c>
      <c r="R15" s="4">
        <v>19</v>
      </c>
      <c r="S15" s="1"/>
      <c r="T15" s="4">
        <v>16</v>
      </c>
      <c r="U15" s="4">
        <v>20</v>
      </c>
      <c r="V15" s="4">
        <v>18</v>
      </c>
      <c r="W15" s="4">
        <v>17</v>
      </c>
      <c r="X15" s="4">
        <v>18</v>
      </c>
      <c r="Y15" s="4">
        <v>15.8</v>
      </c>
      <c r="Z15" s="4">
        <v>11</v>
      </c>
      <c r="AA15" s="4">
        <v>19.649999999999999</v>
      </c>
      <c r="AB15" s="4">
        <v>16</v>
      </c>
      <c r="AC15" s="4">
        <v>14</v>
      </c>
      <c r="AD15" s="6">
        <v>15.02</v>
      </c>
      <c r="AE15" s="4">
        <v>15</v>
      </c>
      <c r="AF15" s="1"/>
      <c r="AG15" s="1"/>
      <c r="AH15" s="4">
        <v>10</v>
      </c>
      <c r="AI15" s="1"/>
      <c r="AJ15" s="6">
        <v>2</v>
      </c>
      <c r="AK15" s="9">
        <v>10.18</v>
      </c>
      <c r="AL15" s="10">
        <f>Partic!S15</f>
        <v>0.53333333333333333</v>
      </c>
      <c r="AM15" s="12">
        <f t="shared" si="1"/>
        <v>10.713333333333333</v>
      </c>
    </row>
    <row r="16" spans="1:39" ht="15.75" customHeight="1" x14ac:dyDescent="0.15">
      <c r="A16" s="1" t="s">
        <v>99</v>
      </c>
      <c r="B16" s="1" t="s">
        <v>100</v>
      </c>
      <c r="C16" s="1">
        <v>28318117</v>
      </c>
      <c r="D16" s="4">
        <v>15</v>
      </c>
      <c r="E16" s="4">
        <v>17</v>
      </c>
      <c r="F16" s="1"/>
      <c r="G16" s="4">
        <v>13.6</v>
      </c>
      <c r="H16" s="6">
        <v>6.8</v>
      </c>
      <c r="I16" s="4">
        <v>18</v>
      </c>
      <c r="J16" s="4">
        <v>20</v>
      </c>
      <c r="K16" s="1"/>
      <c r="L16" s="4">
        <v>0</v>
      </c>
      <c r="M16" s="4">
        <v>20</v>
      </c>
      <c r="N16" s="1"/>
      <c r="O16" s="4">
        <v>10</v>
      </c>
      <c r="P16" s="1"/>
      <c r="Q16" s="4">
        <v>20</v>
      </c>
      <c r="R16" s="4">
        <v>15</v>
      </c>
      <c r="S16" s="4">
        <v>20</v>
      </c>
      <c r="T16" s="1"/>
      <c r="U16" s="1"/>
      <c r="V16" s="1"/>
      <c r="W16" s="4">
        <v>17.25</v>
      </c>
      <c r="X16" s="4">
        <v>15</v>
      </c>
      <c r="Y16" s="1"/>
      <c r="Z16" s="1"/>
      <c r="AA16" s="4">
        <v>19.649999999999999</v>
      </c>
      <c r="AB16" s="4">
        <v>18</v>
      </c>
      <c r="AC16" s="4">
        <v>18</v>
      </c>
      <c r="AD16" s="6">
        <v>10.55</v>
      </c>
      <c r="AE16" s="4">
        <v>19</v>
      </c>
      <c r="AF16" s="1"/>
      <c r="AG16" s="1"/>
      <c r="AH16" s="4">
        <v>10</v>
      </c>
      <c r="AI16" s="1"/>
      <c r="AJ16" s="6">
        <v>2</v>
      </c>
      <c r="AK16" s="9">
        <v>14.07</v>
      </c>
      <c r="AL16" s="10">
        <f>Partic!S16</f>
        <v>0.13333333333333333</v>
      </c>
      <c r="AM16" s="12">
        <f t="shared" si="1"/>
        <v>14.203333333333333</v>
      </c>
    </row>
    <row r="17" spans="1:39" ht="15.75" customHeight="1" x14ac:dyDescent="0.15">
      <c r="A17" s="1" t="s">
        <v>101</v>
      </c>
      <c r="B17" s="1" t="s">
        <v>102</v>
      </c>
      <c r="C17" s="1">
        <v>30346514</v>
      </c>
      <c r="D17" s="4">
        <v>12.5</v>
      </c>
      <c r="E17" s="4">
        <v>16</v>
      </c>
      <c r="F17" s="4">
        <v>10.8</v>
      </c>
      <c r="G17" s="4">
        <v>15.6</v>
      </c>
      <c r="H17" s="6">
        <v>13.2</v>
      </c>
      <c r="I17" s="4">
        <v>14</v>
      </c>
      <c r="J17" s="4">
        <v>5</v>
      </c>
      <c r="K17" s="4">
        <v>14</v>
      </c>
      <c r="L17" s="4">
        <v>15</v>
      </c>
      <c r="M17" s="4">
        <v>20</v>
      </c>
      <c r="N17" s="4">
        <v>20</v>
      </c>
      <c r="O17" s="4">
        <v>10</v>
      </c>
      <c r="P17" s="4">
        <v>20</v>
      </c>
      <c r="Q17" s="4">
        <v>20</v>
      </c>
      <c r="R17" s="4">
        <v>12</v>
      </c>
      <c r="S17" s="4">
        <v>20</v>
      </c>
      <c r="T17" s="4">
        <v>20</v>
      </c>
      <c r="U17" s="4">
        <v>20</v>
      </c>
      <c r="V17" s="4">
        <v>20</v>
      </c>
      <c r="W17" s="4">
        <v>20</v>
      </c>
      <c r="X17" s="4">
        <v>19</v>
      </c>
      <c r="Y17" s="4">
        <v>20</v>
      </c>
      <c r="Z17" s="4">
        <v>19</v>
      </c>
      <c r="AA17" s="4">
        <v>19.649999999999999</v>
      </c>
      <c r="AB17" s="4">
        <v>20</v>
      </c>
      <c r="AC17" s="4">
        <v>18</v>
      </c>
      <c r="AD17" s="6">
        <v>18.28</v>
      </c>
      <c r="AE17" s="4">
        <v>19</v>
      </c>
      <c r="AF17" s="4">
        <v>20</v>
      </c>
      <c r="AG17" s="1"/>
      <c r="AH17" s="1"/>
      <c r="AI17" s="1"/>
      <c r="AJ17" s="6">
        <v>1</v>
      </c>
      <c r="AK17" s="9">
        <v>16</v>
      </c>
      <c r="AL17" s="10">
        <f>Partic!S17</f>
        <v>0.26666666666666666</v>
      </c>
      <c r="AM17" s="12">
        <f t="shared" si="1"/>
        <v>16.266666666666666</v>
      </c>
    </row>
    <row r="18" spans="1:39" ht="15.75" customHeight="1" x14ac:dyDescent="0.15">
      <c r="A18" s="1" t="s">
        <v>60</v>
      </c>
      <c r="B18" s="1" t="s">
        <v>74</v>
      </c>
      <c r="C18" s="1">
        <v>32124905</v>
      </c>
      <c r="D18" s="4">
        <v>14</v>
      </c>
      <c r="E18" s="4">
        <v>13</v>
      </c>
      <c r="F18" s="4">
        <v>0.6</v>
      </c>
      <c r="G18" s="4">
        <v>1</v>
      </c>
      <c r="H18" s="6">
        <v>0.8</v>
      </c>
      <c r="I18" s="4">
        <v>15</v>
      </c>
      <c r="J18" s="4">
        <v>15</v>
      </c>
      <c r="K18" s="1"/>
      <c r="L18" s="4">
        <v>7.5</v>
      </c>
      <c r="M18" s="4">
        <v>16</v>
      </c>
      <c r="N18" s="1"/>
      <c r="O18" s="4">
        <v>0</v>
      </c>
      <c r="P18" s="1"/>
      <c r="Q18" s="4">
        <v>12</v>
      </c>
      <c r="R18" s="4">
        <v>14</v>
      </c>
      <c r="S18" s="1"/>
      <c r="T18" s="1"/>
      <c r="U18" s="4">
        <v>0</v>
      </c>
      <c r="V18" s="1"/>
      <c r="W18" s="4">
        <v>7</v>
      </c>
      <c r="X18" s="4">
        <v>15</v>
      </c>
      <c r="Y18" s="4">
        <v>20</v>
      </c>
      <c r="Z18" s="4">
        <v>17</v>
      </c>
      <c r="AA18" s="4">
        <v>17.55</v>
      </c>
      <c r="AB18" s="1"/>
      <c r="AC18" s="1"/>
      <c r="AD18" s="6">
        <v>7.8</v>
      </c>
      <c r="AE18" s="4">
        <v>15</v>
      </c>
      <c r="AF18" s="1"/>
      <c r="AG18" s="1"/>
      <c r="AH18" s="4">
        <v>10</v>
      </c>
      <c r="AI18" s="1"/>
      <c r="AJ18" s="6">
        <v>2</v>
      </c>
      <c r="AK18" s="9">
        <v>10.52</v>
      </c>
      <c r="AL18" s="10">
        <f>Partic!S18</f>
        <v>6.6666666666666666E-2</v>
      </c>
      <c r="AM18" s="12">
        <f t="shared" si="1"/>
        <v>10.586666666666666</v>
      </c>
    </row>
    <row r="19" spans="1:39" ht="15.75" customHeight="1" x14ac:dyDescent="0.15">
      <c r="A19" s="1" t="s">
        <v>78</v>
      </c>
      <c r="B19" s="1" t="s">
        <v>77</v>
      </c>
      <c r="C19" s="1">
        <v>32397222</v>
      </c>
      <c r="D19" s="4">
        <v>18</v>
      </c>
      <c r="E19" s="4">
        <v>10.5</v>
      </c>
      <c r="F19" s="4">
        <v>1.6</v>
      </c>
      <c r="G19" s="4">
        <v>2</v>
      </c>
      <c r="H19" s="6">
        <v>1.8</v>
      </c>
      <c r="I19" s="4">
        <v>12</v>
      </c>
      <c r="J19" s="4">
        <v>15</v>
      </c>
      <c r="K19" s="1"/>
      <c r="L19" s="1"/>
      <c r="M19" s="4">
        <v>20</v>
      </c>
      <c r="N19" s="1"/>
      <c r="O19" s="4">
        <v>5</v>
      </c>
      <c r="P19" s="1"/>
      <c r="Q19" s="4">
        <v>15</v>
      </c>
      <c r="R19" s="4">
        <v>14</v>
      </c>
      <c r="S19" s="1"/>
      <c r="T19" s="4">
        <v>18</v>
      </c>
      <c r="U19" s="4">
        <v>16</v>
      </c>
      <c r="V19" s="1"/>
      <c r="W19" s="4">
        <v>15.2</v>
      </c>
      <c r="X19" s="4">
        <v>16</v>
      </c>
      <c r="Y19" s="4">
        <v>18.600000000000001</v>
      </c>
      <c r="Z19" s="4">
        <v>19</v>
      </c>
      <c r="AA19" s="4">
        <v>19.350000000000001</v>
      </c>
      <c r="AB19" s="4">
        <v>16</v>
      </c>
      <c r="AC19" s="4">
        <v>18</v>
      </c>
      <c r="AD19" s="6">
        <v>11.86</v>
      </c>
      <c r="AE19" s="4">
        <v>14</v>
      </c>
      <c r="AF19" s="1"/>
      <c r="AG19" s="1"/>
      <c r="AH19" s="4">
        <v>10</v>
      </c>
      <c r="AI19" s="1"/>
      <c r="AJ19" s="6">
        <v>2</v>
      </c>
      <c r="AK19" s="9">
        <v>11.63</v>
      </c>
      <c r="AL19" s="10">
        <f>Partic!S19</f>
        <v>0.13333333333333333</v>
      </c>
      <c r="AM19" s="12">
        <f t="shared" si="1"/>
        <v>11.763333333333334</v>
      </c>
    </row>
    <row r="20" spans="1:39" ht="15.75" customHeight="1" x14ac:dyDescent="0.15">
      <c r="A20" s="1" t="s">
        <v>103</v>
      </c>
      <c r="B20" s="1" t="s">
        <v>104</v>
      </c>
      <c r="C20" s="1">
        <v>30156914</v>
      </c>
      <c r="D20" s="1"/>
      <c r="E20" s="1"/>
      <c r="F20" s="1"/>
      <c r="G20" s="1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2"/>
      <c r="AE20" s="1"/>
      <c r="AF20" s="1"/>
      <c r="AG20" s="1"/>
      <c r="AH20" s="1"/>
      <c r="AI20" s="1"/>
      <c r="AJ20" s="2"/>
      <c r="AK20" s="15"/>
      <c r="AL20" s="10">
        <f>Partic!S20</f>
        <v>0</v>
      </c>
      <c r="AM20" s="12">
        <f t="shared" si="1"/>
        <v>0</v>
      </c>
    </row>
    <row r="21" spans="1:39" ht="15.75" customHeight="1" x14ac:dyDescent="0.15">
      <c r="A21" s="1" t="s">
        <v>55</v>
      </c>
      <c r="B21" s="1" t="s">
        <v>80</v>
      </c>
      <c r="C21" s="1">
        <v>32333927</v>
      </c>
      <c r="D21" s="4">
        <v>8</v>
      </c>
      <c r="E21" s="4">
        <v>8</v>
      </c>
      <c r="F21" s="4">
        <v>7.8</v>
      </c>
      <c r="G21" s="4">
        <v>12.2</v>
      </c>
      <c r="H21" s="6">
        <v>10</v>
      </c>
      <c r="I21" s="4">
        <v>20</v>
      </c>
      <c r="J21" s="4">
        <v>10</v>
      </c>
      <c r="K21" s="4">
        <v>17</v>
      </c>
      <c r="L21" s="4">
        <v>15</v>
      </c>
      <c r="M21" s="4">
        <v>12</v>
      </c>
      <c r="N21" s="4">
        <v>18</v>
      </c>
      <c r="O21" s="4">
        <v>5</v>
      </c>
      <c r="P21" s="4">
        <v>20</v>
      </c>
      <c r="Q21" s="4">
        <v>16</v>
      </c>
      <c r="R21" s="4">
        <v>13</v>
      </c>
      <c r="S21" s="1"/>
      <c r="T21" s="4">
        <v>14</v>
      </c>
      <c r="U21" s="4">
        <v>16</v>
      </c>
      <c r="V21" s="4">
        <v>17</v>
      </c>
      <c r="W21" s="4">
        <v>18</v>
      </c>
      <c r="X21" s="4">
        <v>15</v>
      </c>
      <c r="Y21" s="4">
        <v>15.8</v>
      </c>
      <c r="Z21" s="4">
        <v>12</v>
      </c>
      <c r="AA21" s="4">
        <v>19.649999999999999</v>
      </c>
      <c r="AB21" s="4">
        <v>18</v>
      </c>
      <c r="AC21" s="4">
        <v>18</v>
      </c>
      <c r="AD21" s="6">
        <v>15.47</v>
      </c>
      <c r="AE21" s="4">
        <v>15</v>
      </c>
      <c r="AF21" s="1"/>
      <c r="AG21" s="1"/>
      <c r="AH21" s="4">
        <v>10</v>
      </c>
      <c r="AI21" s="1"/>
      <c r="AJ21" s="6">
        <v>2</v>
      </c>
      <c r="AK21" s="9">
        <v>11.69</v>
      </c>
      <c r="AL21" s="10">
        <f>Partic!S21</f>
        <v>0.66666666666666663</v>
      </c>
      <c r="AM21" s="13">
        <v>13</v>
      </c>
    </row>
    <row r="22" spans="1:39" ht="15.75" customHeight="1" x14ac:dyDescent="0.15">
      <c r="A22" s="1" t="s">
        <v>82</v>
      </c>
      <c r="B22" s="1" t="s">
        <v>81</v>
      </c>
      <c r="C22" s="1">
        <v>27714378</v>
      </c>
      <c r="D22" s="4">
        <v>19.5</v>
      </c>
      <c r="E22" s="4">
        <v>16</v>
      </c>
      <c r="F22" s="4">
        <v>14.4</v>
      </c>
      <c r="G22" s="4">
        <v>10.199999999999999</v>
      </c>
      <c r="H22" s="6">
        <v>12.3</v>
      </c>
      <c r="I22" s="4">
        <v>18</v>
      </c>
      <c r="J22" s="4">
        <v>20</v>
      </c>
      <c r="K22" s="4">
        <v>18</v>
      </c>
      <c r="L22" s="4">
        <v>20</v>
      </c>
      <c r="M22" s="4">
        <v>20</v>
      </c>
      <c r="N22" s="4">
        <v>5</v>
      </c>
      <c r="O22" s="4">
        <v>20</v>
      </c>
      <c r="P22" s="4">
        <v>18</v>
      </c>
      <c r="Q22" s="4">
        <v>20</v>
      </c>
      <c r="R22" s="4">
        <v>16</v>
      </c>
      <c r="S22" s="4">
        <v>20</v>
      </c>
      <c r="T22" s="4">
        <v>20</v>
      </c>
      <c r="U22" s="4">
        <v>20</v>
      </c>
      <c r="V22" s="4">
        <v>20</v>
      </c>
      <c r="W22" s="4">
        <v>20</v>
      </c>
      <c r="X22" s="4">
        <v>20</v>
      </c>
      <c r="Y22" s="4">
        <v>16.600000000000001</v>
      </c>
      <c r="Z22" s="4">
        <v>20</v>
      </c>
      <c r="AA22" s="4">
        <v>19.649999999999999</v>
      </c>
      <c r="AB22" s="4">
        <v>16</v>
      </c>
      <c r="AC22" s="4">
        <v>20</v>
      </c>
      <c r="AD22" s="6">
        <v>19.36</v>
      </c>
      <c r="AE22" s="4">
        <v>19</v>
      </c>
      <c r="AF22" s="1"/>
      <c r="AG22" s="1"/>
      <c r="AH22" s="1"/>
      <c r="AI22" s="1"/>
      <c r="AJ22" s="2"/>
      <c r="AK22" s="9">
        <v>17.23</v>
      </c>
      <c r="AL22" s="10">
        <f>Partic!S22</f>
        <v>6.6666666666666666E-2</v>
      </c>
      <c r="AM22" s="12">
        <f t="shared" ref="AM22:AM28" si="2">AK22+AL22</f>
        <v>17.296666666666667</v>
      </c>
    </row>
    <row r="23" spans="1:39" ht="15.75" customHeight="1" x14ac:dyDescent="0.15">
      <c r="A23" s="1" t="s">
        <v>84</v>
      </c>
      <c r="B23" s="1" t="s">
        <v>83</v>
      </c>
      <c r="C23" s="1">
        <v>29662246</v>
      </c>
      <c r="D23" s="1"/>
      <c r="E23" s="1"/>
      <c r="F23" s="1"/>
      <c r="G23" s="1"/>
      <c r="H23" s="2"/>
      <c r="I23" s="4">
        <v>9</v>
      </c>
      <c r="J23" s="1"/>
      <c r="K23" s="1"/>
      <c r="L23" s="1"/>
      <c r="M23" s="1"/>
      <c r="N23" s="1"/>
      <c r="O23" s="4">
        <v>5</v>
      </c>
      <c r="P23" s="1"/>
      <c r="Q23" s="4">
        <v>16</v>
      </c>
      <c r="R23" s="1"/>
      <c r="S23" s="1"/>
      <c r="T23" s="1"/>
      <c r="U23" s="1"/>
      <c r="V23" s="4">
        <v>16</v>
      </c>
      <c r="W23" s="4">
        <v>13</v>
      </c>
      <c r="X23" s="4">
        <v>16</v>
      </c>
      <c r="Y23" s="4">
        <v>14.4</v>
      </c>
      <c r="Z23" s="4">
        <v>13</v>
      </c>
      <c r="AA23" s="4">
        <v>11.45</v>
      </c>
      <c r="AB23" s="4">
        <v>20</v>
      </c>
      <c r="AC23" s="1"/>
      <c r="AD23" s="6">
        <v>6.69</v>
      </c>
      <c r="AE23" s="4">
        <v>10</v>
      </c>
      <c r="AF23" s="1"/>
      <c r="AG23" s="1"/>
      <c r="AH23" s="1"/>
      <c r="AI23" s="1"/>
      <c r="AJ23" s="2"/>
      <c r="AK23" s="9">
        <v>3.34</v>
      </c>
      <c r="AL23" s="10">
        <f>Partic!S23</f>
        <v>0</v>
      </c>
      <c r="AM23" s="12">
        <f t="shared" si="2"/>
        <v>3.34</v>
      </c>
    </row>
    <row r="24" spans="1:39" ht="15.75" customHeight="1" x14ac:dyDescent="0.15">
      <c r="A24" s="1" t="s">
        <v>105</v>
      </c>
      <c r="B24" s="1" t="s">
        <v>106</v>
      </c>
      <c r="C24" s="1">
        <v>31623260</v>
      </c>
      <c r="D24" s="4">
        <v>17.5</v>
      </c>
      <c r="E24" s="4">
        <v>14.5</v>
      </c>
      <c r="F24" s="4">
        <v>16.8</v>
      </c>
      <c r="G24" s="4">
        <v>19</v>
      </c>
      <c r="H24" s="6">
        <v>17.899999999999999</v>
      </c>
      <c r="I24" s="4">
        <v>14</v>
      </c>
      <c r="J24" s="4">
        <v>20</v>
      </c>
      <c r="K24" s="4">
        <v>20</v>
      </c>
      <c r="L24" s="4">
        <v>15</v>
      </c>
      <c r="M24" s="4">
        <v>20</v>
      </c>
      <c r="N24" s="4">
        <v>18</v>
      </c>
      <c r="O24" s="4">
        <v>5</v>
      </c>
      <c r="P24" s="4">
        <v>20</v>
      </c>
      <c r="Q24" s="4">
        <v>20</v>
      </c>
      <c r="R24" s="4">
        <v>10</v>
      </c>
      <c r="S24" s="4">
        <v>20</v>
      </c>
      <c r="T24" s="4">
        <v>19</v>
      </c>
      <c r="U24" s="4">
        <v>20</v>
      </c>
      <c r="V24" s="4">
        <v>20</v>
      </c>
      <c r="W24" s="4">
        <v>17</v>
      </c>
      <c r="X24" s="4">
        <v>17</v>
      </c>
      <c r="Y24" s="4">
        <v>20</v>
      </c>
      <c r="Z24" s="4">
        <v>17</v>
      </c>
      <c r="AA24" s="4">
        <v>17.850000000000001</v>
      </c>
      <c r="AB24" s="4">
        <v>12</v>
      </c>
      <c r="AC24" s="4">
        <v>20</v>
      </c>
      <c r="AD24" s="6">
        <v>18.09</v>
      </c>
      <c r="AE24" s="4">
        <v>17</v>
      </c>
      <c r="AF24" s="4">
        <v>15</v>
      </c>
      <c r="AG24" s="1"/>
      <c r="AH24" s="1"/>
      <c r="AI24" s="1"/>
      <c r="AJ24" s="6">
        <v>0.75</v>
      </c>
      <c r="AK24" s="9">
        <v>17.149999999999999</v>
      </c>
      <c r="AL24" s="10">
        <f>Partic!S24</f>
        <v>0.46666666666666667</v>
      </c>
      <c r="AM24" s="12">
        <f t="shared" si="2"/>
        <v>17.616666666666664</v>
      </c>
    </row>
    <row r="25" spans="1:39" ht="15.75" customHeight="1" x14ac:dyDescent="0.15">
      <c r="A25" s="1" t="s">
        <v>89</v>
      </c>
      <c r="B25" s="1" t="s">
        <v>88</v>
      </c>
      <c r="C25" s="1">
        <v>32080790</v>
      </c>
      <c r="D25" s="4">
        <v>15.5</v>
      </c>
      <c r="E25" s="4">
        <v>13.5</v>
      </c>
      <c r="F25" s="4">
        <v>1.6</v>
      </c>
      <c r="G25" s="4">
        <v>18.600000000000001</v>
      </c>
      <c r="H25" s="6">
        <v>10.1</v>
      </c>
      <c r="I25" s="4">
        <v>12</v>
      </c>
      <c r="J25" s="4">
        <v>0</v>
      </c>
      <c r="K25" s="1"/>
      <c r="L25" s="4">
        <v>20</v>
      </c>
      <c r="M25" s="1"/>
      <c r="N25" s="1"/>
      <c r="O25" s="4">
        <v>5</v>
      </c>
      <c r="P25" s="1"/>
      <c r="Q25" s="4">
        <v>16</v>
      </c>
      <c r="R25" s="4">
        <v>20</v>
      </c>
      <c r="S25" s="4">
        <v>20</v>
      </c>
      <c r="T25" s="1"/>
      <c r="U25" s="1"/>
      <c r="V25" s="1"/>
      <c r="W25" s="4">
        <v>18.45</v>
      </c>
      <c r="X25" s="4">
        <v>18</v>
      </c>
      <c r="Y25" s="4">
        <v>18.600000000000001</v>
      </c>
      <c r="Z25" s="1"/>
      <c r="AA25" s="4">
        <v>19.649999999999999</v>
      </c>
      <c r="AB25" s="1"/>
      <c r="AC25" s="4">
        <v>18</v>
      </c>
      <c r="AD25" s="6">
        <v>9.2899999999999991</v>
      </c>
      <c r="AE25" s="4">
        <v>15</v>
      </c>
      <c r="AF25" s="1"/>
      <c r="AG25" s="1"/>
      <c r="AH25" s="4">
        <v>10</v>
      </c>
      <c r="AI25" s="1"/>
      <c r="AJ25" s="6">
        <v>2</v>
      </c>
      <c r="AK25" s="9">
        <v>13.08</v>
      </c>
      <c r="AL25" s="10">
        <f>Partic!S25</f>
        <v>6.6666666666666666E-2</v>
      </c>
      <c r="AM25" s="12">
        <f t="shared" si="2"/>
        <v>13.146666666666667</v>
      </c>
    </row>
    <row r="26" spans="1:39" ht="15.75" customHeight="1" x14ac:dyDescent="0.15">
      <c r="A26" s="1" t="s">
        <v>91</v>
      </c>
      <c r="B26" s="1" t="s">
        <v>90</v>
      </c>
      <c r="C26" s="1">
        <v>29678946</v>
      </c>
      <c r="D26" s="1"/>
      <c r="E26" s="1"/>
      <c r="F26" s="1"/>
      <c r="G26" s="1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2"/>
      <c r="AE26" s="1"/>
      <c r="AF26" s="1"/>
      <c r="AG26" s="1"/>
      <c r="AH26" s="1"/>
      <c r="AI26" s="1"/>
      <c r="AJ26" s="2"/>
      <c r="AK26" s="15"/>
      <c r="AL26" s="10">
        <f>Partic!S26</f>
        <v>0</v>
      </c>
      <c r="AM26" s="12">
        <f t="shared" si="2"/>
        <v>0</v>
      </c>
    </row>
    <row r="27" spans="1:39" ht="15.75" customHeight="1" x14ac:dyDescent="0.15">
      <c r="A27" s="1" t="s">
        <v>93</v>
      </c>
      <c r="B27" s="1" t="s">
        <v>92</v>
      </c>
      <c r="C27" s="1">
        <v>34202891</v>
      </c>
      <c r="D27" s="4">
        <v>17.5</v>
      </c>
      <c r="E27" s="4">
        <v>18.5</v>
      </c>
      <c r="F27" s="4">
        <v>15</v>
      </c>
      <c r="G27" s="4">
        <v>17</v>
      </c>
      <c r="H27" s="6">
        <v>16</v>
      </c>
      <c r="I27" s="4">
        <v>20</v>
      </c>
      <c r="J27" s="4">
        <v>15</v>
      </c>
      <c r="K27" s="4">
        <v>20</v>
      </c>
      <c r="L27" s="4">
        <v>15</v>
      </c>
      <c r="M27" s="4">
        <v>20</v>
      </c>
      <c r="N27" s="4">
        <v>17</v>
      </c>
      <c r="O27" s="4">
        <v>20</v>
      </c>
      <c r="P27" s="4">
        <v>15</v>
      </c>
      <c r="Q27" s="4">
        <v>18</v>
      </c>
      <c r="R27" s="4">
        <v>14</v>
      </c>
      <c r="S27" s="4">
        <v>20</v>
      </c>
      <c r="T27" s="4">
        <v>20</v>
      </c>
      <c r="U27" s="4">
        <v>20</v>
      </c>
      <c r="V27" s="4">
        <v>20</v>
      </c>
      <c r="W27" s="4">
        <v>18.25</v>
      </c>
      <c r="X27" s="4">
        <v>20</v>
      </c>
      <c r="Y27" s="4">
        <v>16.899999999999999</v>
      </c>
      <c r="Z27" s="4">
        <v>15</v>
      </c>
      <c r="AA27" s="4">
        <v>19.649999999999999</v>
      </c>
      <c r="AB27" s="4">
        <v>16</v>
      </c>
      <c r="AC27" s="4">
        <v>16</v>
      </c>
      <c r="AD27" s="6">
        <v>18.79</v>
      </c>
      <c r="AE27" s="4">
        <v>19</v>
      </c>
      <c r="AF27" s="1"/>
      <c r="AG27" s="1"/>
      <c r="AH27" s="1"/>
      <c r="AI27" s="1"/>
      <c r="AJ27" s="2"/>
      <c r="AK27" s="9">
        <v>17.96</v>
      </c>
      <c r="AL27" s="10">
        <f>Partic!S27</f>
        <v>6.6666666666666666E-2</v>
      </c>
      <c r="AM27" s="12">
        <f t="shared" si="2"/>
        <v>18.026666666666667</v>
      </c>
    </row>
    <row r="28" spans="1:39" ht="15.75" customHeight="1" x14ac:dyDescent="0.15">
      <c r="A28" s="1" t="s">
        <v>47</v>
      </c>
      <c r="B28" s="1" t="s">
        <v>94</v>
      </c>
      <c r="C28" s="1">
        <v>31707262</v>
      </c>
      <c r="D28" s="4">
        <v>10.5</v>
      </c>
      <c r="E28" s="4">
        <v>12.5</v>
      </c>
      <c r="F28" s="4">
        <v>7.6</v>
      </c>
      <c r="G28" s="4">
        <v>12.6</v>
      </c>
      <c r="H28" s="6">
        <v>10.1</v>
      </c>
      <c r="I28" s="4">
        <v>15</v>
      </c>
      <c r="J28" s="4">
        <v>10</v>
      </c>
      <c r="K28" s="4">
        <v>18</v>
      </c>
      <c r="L28" s="1"/>
      <c r="M28" s="4">
        <v>0</v>
      </c>
      <c r="N28" s="4">
        <v>15</v>
      </c>
      <c r="O28" s="4">
        <v>0</v>
      </c>
      <c r="P28" s="4">
        <v>15</v>
      </c>
      <c r="Q28" s="4">
        <v>18</v>
      </c>
      <c r="R28" s="4">
        <v>7</v>
      </c>
      <c r="S28" s="1"/>
      <c r="T28" s="4">
        <v>15</v>
      </c>
      <c r="U28" s="4">
        <v>20</v>
      </c>
      <c r="V28" s="4">
        <v>20</v>
      </c>
      <c r="W28" s="4">
        <v>12</v>
      </c>
      <c r="X28" s="4">
        <v>19</v>
      </c>
      <c r="Y28" s="1"/>
      <c r="Z28" s="4">
        <v>14</v>
      </c>
      <c r="AA28" s="4">
        <v>7</v>
      </c>
      <c r="AB28" s="4">
        <v>20</v>
      </c>
      <c r="AC28" s="1"/>
      <c r="AD28" s="6">
        <v>11.25</v>
      </c>
      <c r="AE28" s="4">
        <v>14</v>
      </c>
      <c r="AF28" s="4">
        <v>0</v>
      </c>
      <c r="AG28" s="1"/>
      <c r="AH28" s="1"/>
      <c r="AI28" s="1"/>
      <c r="AJ28" s="6">
        <v>0</v>
      </c>
      <c r="AK28" s="9">
        <v>11.67</v>
      </c>
      <c r="AL28" s="10">
        <f>Partic!S28</f>
        <v>6.6666666666666666E-2</v>
      </c>
      <c r="AM28" s="12">
        <f t="shared" si="2"/>
        <v>11.736666666666666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37"/>
  <sheetViews>
    <sheetView tabSelected="1" workbookViewId="0">
      <selection activeCell="E12" sqref="E12:E33"/>
    </sheetView>
  </sheetViews>
  <sheetFormatPr baseColWidth="10" defaultColWidth="8.83203125" defaultRowHeight="13" x14ac:dyDescent="0.15"/>
  <cols>
    <col min="1" max="5" width="16" customWidth="1"/>
    <col min="6" max="29" width="9" customWidth="1"/>
  </cols>
  <sheetData>
    <row r="1" spans="1:32" ht="15" x14ac:dyDescent="0.2">
      <c r="A1" t="s">
        <v>107</v>
      </c>
      <c r="B1" s="14" t="s">
        <v>126</v>
      </c>
    </row>
    <row r="2" spans="1:32" x14ac:dyDescent="0.15">
      <c r="A2" t="s">
        <v>108</v>
      </c>
      <c r="B2" s="16" t="s">
        <v>127</v>
      </c>
    </row>
    <row r="3" spans="1:32" x14ac:dyDescent="0.15">
      <c r="A3" t="s">
        <v>109</v>
      </c>
      <c r="B3" s="16">
        <v>1</v>
      </c>
    </row>
    <row r="5" spans="1:32" x14ac:dyDescent="0.15">
      <c r="A5" s="23" t="s">
        <v>110</v>
      </c>
      <c r="B5" s="23" t="s">
        <v>111</v>
      </c>
      <c r="C5" s="23" t="s">
        <v>112</v>
      </c>
      <c r="D5" s="23" t="s">
        <v>113</v>
      </c>
      <c r="E5" s="25" t="s">
        <v>130</v>
      </c>
      <c r="F5" s="23" t="s">
        <v>114</v>
      </c>
      <c r="G5" s="23"/>
      <c r="H5" s="23" t="s">
        <v>115</v>
      </c>
      <c r="I5" s="23"/>
      <c r="J5" s="23" t="s">
        <v>116</v>
      </c>
      <c r="K5" s="23"/>
      <c r="L5" s="23" t="s">
        <v>117</v>
      </c>
      <c r="M5" s="23"/>
      <c r="N5" s="23" t="s">
        <v>118</v>
      </c>
      <c r="O5" s="23"/>
      <c r="P5" s="23" t="s">
        <v>119</v>
      </c>
      <c r="Q5" s="23"/>
      <c r="R5" s="23" t="s">
        <v>120</v>
      </c>
      <c r="S5" s="23"/>
      <c r="T5" s="23" t="s">
        <v>121</v>
      </c>
      <c r="U5" s="23"/>
      <c r="V5" s="23" t="s">
        <v>122</v>
      </c>
      <c r="W5" s="23"/>
      <c r="X5" s="23" t="s">
        <v>123</v>
      </c>
      <c r="Y5" s="23"/>
      <c r="Z5" s="23" t="s">
        <v>124</v>
      </c>
      <c r="AA5" s="23"/>
      <c r="AB5" s="23" t="s">
        <v>125</v>
      </c>
      <c r="AC5" s="23"/>
    </row>
    <row r="6" spans="1:32" x14ac:dyDescent="0.15">
      <c r="A6" s="23"/>
      <c r="B6" s="23"/>
      <c r="C6" s="23"/>
      <c r="D6" s="23"/>
      <c r="E6" s="24"/>
      <c r="F6" s="16" t="s">
        <v>128</v>
      </c>
      <c r="G6" s="16" t="s">
        <v>129</v>
      </c>
      <c r="H6" s="16" t="s">
        <v>128</v>
      </c>
      <c r="I6" s="16" t="s">
        <v>129</v>
      </c>
      <c r="J6" s="16" t="s">
        <v>128</v>
      </c>
      <c r="K6" s="16" t="s">
        <v>129</v>
      </c>
      <c r="L6" s="16" t="s">
        <v>128</v>
      </c>
      <c r="M6" s="16" t="s">
        <v>129</v>
      </c>
      <c r="N6" s="16" t="s">
        <v>128</v>
      </c>
      <c r="O6" s="16" t="s">
        <v>129</v>
      </c>
      <c r="P6" s="16" t="s">
        <v>128</v>
      </c>
      <c r="Q6" s="16" t="s">
        <v>129</v>
      </c>
      <c r="R6" s="16" t="s">
        <v>128</v>
      </c>
      <c r="S6" s="16" t="s">
        <v>129</v>
      </c>
      <c r="T6" s="16" t="s">
        <v>128</v>
      </c>
      <c r="U6" s="16" t="s">
        <v>129</v>
      </c>
      <c r="V6" s="16" t="s">
        <v>128</v>
      </c>
      <c r="W6" s="16" t="s">
        <v>129</v>
      </c>
      <c r="X6" s="16" t="s">
        <v>128</v>
      </c>
      <c r="Y6" s="16" t="s">
        <v>129</v>
      </c>
      <c r="Z6" s="16" t="s">
        <v>128</v>
      </c>
      <c r="AA6" s="16" t="s">
        <v>129</v>
      </c>
      <c r="AB6" s="16" t="s">
        <v>128</v>
      </c>
      <c r="AC6" s="16" t="s">
        <v>129</v>
      </c>
    </row>
    <row r="7" spans="1:32" ht="15" x14ac:dyDescent="0.2">
      <c r="A7" s="22">
        <v>1</v>
      </c>
      <c r="B7" s="7" t="s">
        <v>43</v>
      </c>
      <c r="C7" s="7" t="s">
        <v>44</v>
      </c>
      <c r="D7" s="7">
        <v>29678921</v>
      </c>
      <c r="E7" s="5">
        <v>20221110498</v>
      </c>
      <c r="F7" s="7">
        <v>1</v>
      </c>
      <c r="G7" s="7"/>
      <c r="H7" s="22"/>
      <c r="I7" s="7">
        <v>1</v>
      </c>
      <c r="J7" s="7">
        <v>1</v>
      </c>
      <c r="K7" s="7">
        <v>1</v>
      </c>
      <c r="L7" s="7"/>
      <c r="M7" s="22"/>
      <c r="N7" s="22"/>
      <c r="O7" s="8"/>
      <c r="P7" s="22"/>
      <c r="Q7" s="7"/>
      <c r="R7" s="22"/>
      <c r="S7" s="7">
        <v>1</v>
      </c>
      <c r="T7" s="7"/>
      <c r="U7" s="7">
        <v>2</v>
      </c>
      <c r="V7" s="7"/>
      <c r="W7" s="22"/>
      <c r="X7" s="7"/>
      <c r="Y7" s="7">
        <v>1</v>
      </c>
      <c r="Z7" s="7">
        <v>1</v>
      </c>
      <c r="AA7" s="22"/>
      <c r="AB7" s="22"/>
      <c r="AC7" s="22"/>
      <c r="AD7" s="22"/>
      <c r="AE7" s="22"/>
      <c r="AF7" s="22"/>
    </row>
    <row r="8" spans="1:32" ht="15" x14ac:dyDescent="0.2">
      <c r="A8" s="22">
        <v>2</v>
      </c>
      <c r="B8" s="7" t="s">
        <v>45</v>
      </c>
      <c r="C8" s="7" t="s">
        <v>44</v>
      </c>
      <c r="D8" s="7">
        <v>31377471</v>
      </c>
      <c r="E8" s="5">
        <v>20251110176</v>
      </c>
      <c r="F8" s="7">
        <v>1</v>
      </c>
      <c r="G8" s="7"/>
      <c r="H8" s="22"/>
      <c r="I8" s="7"/>
      <c r="J8" s="7">
        <v>2</v>
      </c>
      <c r="K8" s="7">
        <v>1</v>
      </c>
      <c r="L8" s="7">
        <v>2</v>
      </c>
      <c r="M8" s="22"/>
      <c r="N8" s="22"/>
      <c r="O8" s="8"/>
      <c r="P8" s="22"/>
      <c r="Q8" s="7">
        <v>1</v>
      </c>
      <c r="R8" s="22"/>
      <c r="S8" s="7"/>
      <c r="T8" s="7"/>
      <c r="U8" s="7"/>
      <c r="V8" s="7">
        <v>4</v>
      </c>
      <c r="W8" s="22"/>
      <c r="X8" s="7">
        <v>1</v>
      </c>
      <c r="Y8" s="7">
        <v>1</v>
      </c>
      <c r="Z8" s="7"/>
      <c r="AA8" s="22"/>
      <c r="AB8" s="22"/>
      <c r="AC8" s="22"/>
      <c r="AD8" s="22"/>
      <c r="AE8" s="22"/>
      <c r="AF8" s="22"/>
    </row>
    <row r="9" spans="1:32" x14ac:dyDescent="0.15">
      <c r="A9" s="22">
        <v>3</v>
      </c>
      <c r="B9" s="7" t="s">
        <v>47</v>
      </c>
      <c r="C9" s="7" t="s">
        <v>46</v>
      </c>
      <c r="D9" s="7">
        <v>30906297</v>
      </c>
      <c r="E9" s="7"/>
      <c r="F9" s="7"/>
      <c r="G9" s="7">
        <v>1</v>
      </c>
      <c r="H9" s="22"/>
      <c r="I9" s="7"/>
      <c r="J9" s="7">
        <v>1</v>
      </c>
      <c r="K9" s="7"/>
      <c r="L9" s="7">
        <v>3</v>
      </c>
      <c r="M9" s="22"/>
      <c r="N9" s="22"/>
      <c r="O9" s="7">
        <v>1</v>
      </c>
      <c r="P9" s="22"/>
      <c r="Q9" s="7"/>
      <c r="R9" s="22"/>
      <c r="S9" s="7">
        <v>1</v>
      </c>
      <c r="T9" s="7">
        <v>1</v>
      </c>
      <c r="U9" s="7">
        <v>2</v>
      </c>
      <c r="V9" s="7">
        <v>1</v>
      </c>
      <c r="W9" s="22"/>
      <c r="X9" s="7"/>
      <c r="Y9" s="7">
        <v>1</v>
      </c>
      <c r="Z9" s="7">
        <v>3</v>
      </c>
      <c r="AA9" s="22"/>
      <c r="AB9" s="22"/>
      <c r="AC9" s="22"/>
      <c r="AD9" s="22"/>
      <c r="AE9" s="22"/>
      <c r="AF9" s="22"/>
    </row>
    <row r="10" spans="1:32" ht="15" x14ac:dyDescent="0.2">
      <c r="A10" s="22">
        <v>4</v>
      </c>
      <c r="B10" s="7" t="s">
        <v>49</v>
      </c>
      <c r="C10" s="7" t="s">
        <v>48</v>
      </c>
      <c r="D10" s="7">
        <v>31985434</v>
      </c>
      <c r="E10" s="5">
        <v>20251110305</v>
      </c>
      <c r="F10" s="7">
        <v>1</v>
      </c>
      <c r="G10" s="7"/>
      <c r="H10" s="22"/>
      <c r="I10" s="7"/>
      <c r="J10" s="7"/>
      <c r="K10" s="7"/>
      <c r="L10" s="7"/>
      <c r="M10" s="22"/>
      <c r="N10" s="22"/>
      <c r="O10" s="7"/>
      <c r="P10" s="22"/>
      <c r="Q10" s="7"/>
      <c r="R10" s="22"/>
      <c r="S10" s="7"/>
      <c r="T10" s="7"/>
      <c r="U10" s="7"/>
      <c r="V10" s="7"/>
      <c r="W10" s="22"/>
      <c r="X10" s="7"/>
      <c r="Y10" s="7">
        <v>1</v>
      </c>
      <c r="Z10" s="7"/>
      <c r="AA10" s="22"/>
      <c r="AB10" s="22"/>
      <c r="AC10" s="22"/>
      <c r="AD10" s="22"/>
      <c r="AE10" s="22"/>
      <c r="AF10" s="22"/>
    </row>
    <row r="11" spans="1:32" x14ac:dyDescent="0.15">
      <c r="A11" s="22">
        <v>5</v>
      </c>
      <c r="B11" s="7" t="s">
        <v>61</v>
      </c>
      <c r="C11" s="7" t="s">
        <v>62</v>
      </c>
      <c r="D11" s="7">
        <v>30497006</v>
      </c>
      <c r="E11" s="7"/>
      <c r="F11" s="7">
        <v>1</v>
      </c>
      <c r="G11" s="7"/>
      <c r="H11" s="22"/>
      <c r="I11" s="7">
        <v>1</v>
      </c>
      <c r="J11" s="7">
        <v>1</v>
      </c>
      <c r="K11" s="7"/>
      <c r="L11" s="7"/>
      <c r="M11" s="22"/>
      <c r="N11" s="22"/>
      <c r="O11" s="7"/>
      <c r="P11" s="22"/>
      <c r="Q11" s="7"/>
      <c r="R11" s="22"/>
      <c r="S11" s="7"/>
      <c r="T11" s="7">
        <v>3</v>
      </c>
      <c r="U11" s="7"/>
      <c r="V11" s="7"/>
      <c r="W11" s="22"/>
      <c r="X11" s="7"/>
      <c r="Y11" s="7">
        <v>1</v>
      </c>
      <c r="Z11" s="7">
        <v>2</v>
      </c>
      <c r="AA11" s="22"/>
      <c r="AB11" s="22"/>
      <c r="AC11" s="22"/>
      <c r="AD11" s="22"/>
      <c r="AE11" s="22"/>
      <c r="AF11" s="22"/>
    </row>
    <row r="12" spans="1:32" ht="15" x14ac:dyDescent="0.2">
      <c r="A12" s="22">
        <v>6</v>
      </c>
      <c r="B12" s="7" t="s">
        <v>53</v>
      </c>
      <c r="C12" s="7" t="s">
        <v>52</v>
      </c>
      <c r="D12" s="7">
        <v>32535152</v>
      </c>
      <c r="E12" s="5">
        <v>20251110436</v>
      </c>
      <c r="F12" s="7">
        <v>1</v>
      </c>
      <c r="G12" s="7">
        <v>1</v>
      </c>
      <c r="H12" s="22"/>
      <c r="I12" s="7"/>
      <c r="J12" s="7"/>
      <c r="K12" s="7"/>
      <c r="L12" s="7"/>
      <c r="M12" s="22"/>
      <c r="N12" s="22"/>
      <c r="O12" s="7"/>
      <c r="P12" s="22"/>
      <c r="Q12" s="7"/>
      <c r="R12" s="22"/>
      <c r="S12" s="7"/>
      <c r="T12" s="7"/>
      <c r="U12" s="7"/>
      <c r="V12" s="7"/>
      <c r="W12" s="22"/>
      <c r="X12" s="7"/>
      <c r="Y12" s="7"/>
      <c r="Z12" s="7"/>
      <c r="AA12" s="22"/>
      <c r="AB12" s="22"/>
      <c r="AC12" s="22"/>
      <c r="AD12" s="22"/>
      <c r="AE12" s="22"/>
      <c r="AF12" s="22"/>
    </row>
    <row r="13" spans="1:32" ht="15" x14ac:dyDescent="0.2">
      <c r="A13" s="22">
        <v>7</v>
      </c>
      <c r="B13" s="7" t="s">
        <v>55</v>
      </c>
      <c r="C13" s="7" t="s">
        <v>54</v>
      </c>
      <c r="D13" s="7">
        <v>30538925</v>
      </c>
      <c r="E13" s="5">
        <v>20251120012</v>
      </c>
      <c r="F13" s="7">
        <v>2</v>
      </c>
      <c r="G13" s="7">
        <v>1</v>
      </c>
      <c r="H13" s="22"/>
      <c r="I13" s="7"/>
      <c r="J13" s="7"/>
      <c r="K13" s="7"/>
      <c r="L13" s="7">
        <v>1</v>
      </c>
      <c r="M13" s="22"/>
      <c r="N13" s="22"/>
      <c r="O13" s="7">
        <v>1</v>
      </c>
      <c r="P13" s="22"/>
      <c r="Q13" s="7"/>
      <c r="R13" s="22"/>
      <c r="S13" s="7">
        <v>1</v>
      </c>
      <c r="T13" s="7">
        <v>1</v>
      </c>
      <c r="U13" s="7">
        <v>1</v>
      </c>
      <c r="V13" s="7">
        <v>3</v>
      </c>
      <c r="W13" s="22"/>
      <c r="X13" s="7"/>
      <c r="Y13" s="7"/>
      <c r="Z13" s="7"/>
      <c r="AA13" s="22"/>
      <c r="AB13" s="22"/>
      <c r="AC13" s="22"/>
      <c r="AD13" s="22"/>
      <c r="AE13" s="22"/>
      <c r="AF13" s="22"/>
    </row>
    <row r="14" spans="1:32" ht="15" x14ac:dyDescent="0.2">
      <c r="A14" s="22">
        <v>8</v>
      </c>
      <c r="B14" s="7" t="s">
        <v>75</v>
      </c>
      <c r="C14" s="7" t="s">
        <v>76</v>
      </c>
      <c r="D14" s="7">
        <v>29947837</v>
      </c>
      <c r="E14" s="5">
        <v>20201120021</v>
      </c>
      <c r="F14" s="7">
        <v>1</v>
      </c>
      <c r="G14" s="7"/>
      <c r="H14" s="22"/>
      <c r="I14" s="7"/>
      <c r="J14" s="7"/>
      <c r="K14" s="7"/>
      <c r="L14" s="7"/>
      <c r="M14" s="22"/>
      <c r="N14" s="22"/>
      <c r="O14" s="7"/>
      <c r="P14" s="22"/>
      <c r="Q14" s="7"/>
      <c r="R14" s="22"/>
      <c r="S14" s="7"/>
      <c r="T14" s="7"/>
      <c r="U14" s="7"/>
      <c r="V14" s="7"/>
      <c r="W14" s="22"/>
      <c r="X14" s="7"/>
      <c r="Y14" s="7"/>
      <c r="Z14" s="7"/>
      <c r="AA14" s="22"/>
      <c r="AB14" s="22"/>
      <c r="AC14" s="22"/>
      <c r="AD14" s="22"/>
      <c r="AE14" s="22"/>
      <c r="AF14" s="22"/>
    </row>
    <row r="15" spans="1:32" ht="15" x14ac:dyDescent="0.2">
      <c r="A15" s="22">
        <v>9</v>
      </c>
      <c r="B15" s="7" t="s">
        <v>55</v>
      </c>
      <c r="C15" s="7" t="s">
        <v>58</v>
      </c>
      <c r="D15" s="7">
        <v>31307883</v>
      </c>
      <c r="E15" s="5">
        <v>20251110060</v>
      </c>
      <c r="F15" s="7">
        <v>1</v>
      </c>
      <c r="G15" s="7">
        <v>2</v>
      </c>
      <c r="H15" s="22"/>
      <c r="I15" s="7"/>
      <c r="J15" s="7">
        <v>1</v>
      </c>
      <c r="K15" s="7"/>
      <c r="L15" s="7">
        <v>3</v>
      </c>
      <c r="M15" s="22"/>
      <c r="N15" s="22"/>
      <c r="O15" s="8"/>
      <c r="P15" s="22"/>
      <c r="Q15" s="7"/>
      <c r="R15" s="22"/>
      <c r="S15" s="7">
        <v>1</v>
      </c>
      <c r="T15" s="7">
        <v>1</v>
      </c>
      <c r="U15" s="7"/>
      <c r="V15" s="7">
        <v>1</v>
      </c>
      <c r="W15" s="22"/>
      <c r="X15" s="7">
        <v>1</v>
      </c>
      <c r="Y15" s="7"/>
      <c r="Z15" s="7">
        <v>1</v>
      </c>
      <c r="AA15" s="22"/>
      <c r="AB15" s="22"/>
      <c r="AC15" s="22"/>
      <c r="AD15" s="22"/>
      <c r="AE15" s="22"/>
      <c r="AF15" s="22"/>
    </row>
    <row r="16" spans="1:32" ht="15" x14ac:dyDescent="0.2">
      <c r="A16" s="22">
        <v>10</v>
      </c>
      <c r="B16" s="7" t="s">
        <v>60</v>
      </c>
      <c r="C16" s="7" t="s">
        <v>59</v>
      </c>
      <c r="D16" s="7">
        <v>31873852</v>
      </c>
      <c r="E16" s="5">
        <v>20251130018</v>
      </c>
      <c r="F16" s="7">
        <v>1</v>
      </c>
      <c r="G16" s="7"/>
      <c r="H16" s="22"/>
      <c r="I16" s="7">
        <v>1</v>
      </c>
      <c r="J16" s="7"/>
      <c r="K16" s="7"/>
      <c r="L16" s="7">
        <v>3</v>
      </c>
      <c r="M16" s="22"/>
      <c r="N16" s="22"/>
      <c r="O16" s="8"/>
      <c r="P16" s="22"/>
      <c r="Q16" s="7"/>
      <c r="R16" s="22"/>
      <c r="S16" s="7"/>
      <c r="T16" s="7"/>
      <c r="U16" s="7"/>
      <c r="V16" s="7"/>
      <c r="W16" s="22"/>
      <c r="X16" s="7"/>
      <c r="Y16" s="7"/>
      <c r="Z16" s="7"/>
      <c r="AA16" s="22"/>
      <c r="AB16" s="22"/>
      <c r="AC16" s="22"/>
      <c r="AD16" s="22"/>
      <c r="AE16" s="22"/>
      <c r="AF16" s="22"/>
    </row>
    <row r="17" spans="1:32" ht="15" x14ac:dyDescent="0.2">
      <c r="A17" s="22">
        <v>11</v>
      </c>
      <c r="B17" s="7" t="s">
        <v>60</v>
      </c>
      <c r="C17" s="7" t="s">
        <v>63</v>
      </c>
      <c r="D17" s="7">
        <v>32515298</v>
      </c>
      <c r="E17" s="5">
        <v>20251110065</v>
      </c>
      <c r="F17" s="7">
        <v>1</v>
      </c>
      <c r="G17" s="7"/>
      <c r="H17" s="22"/>
      <c r="I17" s="7"/>
      <c r="J17" s="7"/>
      <c r="K17" s="7"/>
      <c r="L17" s="7"/>
      <c r="M17" s="22"/>
      <c r="N17" s="22"/>
      <c r="O17" s="8"/>
      <c r="P17" s="22"/>
      <c r="Q17" s="7"/>
      <c r="R17" s="22"/>
      <c r="S17" s="7"/>
      <c r="T17" s="7"/>
      <c r="U17" s="7"/>
      <c r="V17" s="7"/>
      <c r="W17" s="22"/>
      <c r="X17" s="7"/>
      <c r="Y17" s="7"/>
      <c r="Z17" s="7"/>
      <c r="AA17" s="22"/>
      <c r="AB17" s="22"/>
      <c r="AC17" s="22"/>
      <c r="AD17" s="22"/>
      <c r="AE17" s="22"/>
      <c r="AF17" s="22"/>
    </row>
    <row r="18" spans="1:32" ht="15" x14ac:dyDescent="0.2">
      <c r="A18" s="22">
        <v>12</v>
      </c>
      <c r="B18" s="7" t="s">
        <v>95</v>
      </c>
      <c r="C18" s="7" t="s">
        <v>96</v>
      </c>
      <c r="D18" s="7">
        <v>31373493</v>
      </c>
      <c r="E18" s="5">
        <v>20231120158</v>
      </c>
      <c r="F18" s="7"/>
      <c r="G18" s="7">
        <v>1</v>
      </c>
      <c r="H18" s="22"/>
      <c r="I18" s="7"/>
      <c r="J18" s="7"/>
      <c r="K18" s="7"/>
      <c r="L18" s="7"/>
      <c r="M18" s="22"/>
      <c r="N18" s="22"/>
      <c r="O18" s="8"/>
      <c r="P18" s="22"/>
      <c r="Q18" s="7"/>
      <c r="R18" s="22"/>
      <c r="S18" s="7"/>
      <c r="T18" s="7"/>
      <c r="U18" s="7"/>
      <c r="V18" s="7"/>
      <c r="W18" s="22"/>
      <c r="X18" s="7"/>
      <c r="Y18" s="7"/>
      <c r="Z18" s="7"/>
      <c r="AA18" s="22"/>
      <c r="AB18" s="22"/>
      <c r="AC18" s="22"/>
      <c r="AD18" s="22"/>
      <c r="AE18" s="22"/>
      <c r="AF18" s="22"/>
    </row>
    <row r="19" spans="1:32" ht="15" x14ac:dyDescent="0.2">
      <c r="A19" s="22">
        <v>13</v>
      </c>
      <c r="B19" s="7" t="s">
        <v>97</v>
      </c>
      <c r="C19" s="7" t="s">
        <v>66</v>
      </c>
      <c r="D19" s="7">
        <v>32347981</v>
      </c>
      <c r="E19" s="5">
        <v>20251110214</v>
      </c>
      <c r="F19" s="7">
        <v>1</v>
      </c>
      <c r="G19" s="7"/>
      <c r="H19" s="22"/>
      <c r="I19" s="7"/>
      <c r="J19" s="7"/>
      <c r="K19" s="7"/>
      <c r="L19" s="7"/>
      <c r="M19" s="22"/>
      <c r="N19" s="22"/>
      <c r="O19" s="8"/>
      <c r="P19" s="22"/>
      <c r="Q19" s="7"/>
      <c r="R19" s="22"/>
      <c r="S19" s="7"/>
      <c r="T19" s="7"/>
      <c r="U19" s="7"/>
      <c r="V19" s="7"/>
      <c r="W19" s="22"/>
      <c r="X19" s="7"/>
      <c r="Y19" s="7"/>
      <c r="Z19" s="7"/>
      <c r="AA19" s="22"/>
      <c r="AB19" s="22"/>
      <c r="AC19" s="22"/>
      <c r="AD19" s="22"/>
      <c r="AE19" s="22"/>
      <c r="AF19" s="22"/>
    </row>
    <row r="20" spans="1:32" ht="15" x14ac:dyDescent="0.2">
      <c r="A20" s="22">
        <v>14</v>
      </c>
      <c r="B20" s="7" t="s">
        <v>98</v>
      </c>
      <c r="C20" s="7" t="s">
        <v>68</v>
      </c>
      <c r="D20" s="7">
        <v>32502105</v>
      </c>
      <c r="E20" s="5">
        <v>20251120137</v>
      </c>
      <c r="F20" s="7">
        <v>1</v>
      </c>
      <c r="G20" s="7"/>
      <c r="H20" s="22"/>
      <c r="I20" s="7"/>
      <c r="J20" s="7"/>
      <c r="K20" s="7"/>
      <c r="L20" s="7"/>
      <c r="M20" s="22"/>
      <c r="N20" s="22"/>
      <c r="O20" s="8"/>
      <c r="P20" s="22"/>
      <c r="Q20" s="7"/>
      <c r="R20" s="22"/>
      <c r="S20" s="7"/>
      <c r="T20" s="7">
        <v>2</v>
      </c>
      <c r="U20" s="7"/>
      <c r="V20" s="7"/>
      <c r="W20" s="22"/>
      <c r="X20" s="7">
        <v>3</v>
      </c>
      <c r="Y20" s="7">
        <v>2</v>
      </c>
      <c r="Z20" s="7"/>
      <c r="AA20" s="22"/>
      <c r="AB20" s="22"/>
      <c r="AC20" s="22"/>
      <c r="AD20" s="22"/>
      <c r="AE20" s="22"/>
      <c r="AF20" s="22"/>
    </row>
    <row r="21" spans="1:32" ht="15" x14ac:dyDescent="0.2">
      <c r="A21" s="22">
        <v>15</v>
      </c>
      <c r="B21" s="7" t="s">
        <v>99</v>
      </c>
      <c r="C21" s="7" t="s">
        <v>100</v>
      </c>
      <c r="D21" s="7">
        <v>28318117</v>
      </c>
      <c r="E21" s="5">
        <v>20211110543</v>
      </c>
      <c r="F21" s="7">
        <v>1</v>
      </c>
      <c r="G21" s="7"/>
      <c r="H21" s="22"/>
      <c r="I21" s="7"/>
      <c r="J21" s="7"/>
      <c r="K21" s="7"/>
      <c r="L21" s="7"/>
      <c r="M21" s="22"/>
      <c r="N21" s="22"/>
      <c r="O21" s="8"/>
      <c r="P21" s="22"/>
      <c r="Q21" s="7"/>
      <c r="R21" s="22"/>
      <c r="S21" s="7"/>
      <c r="T21" s="7"/>
      <c r="U21" s="7"/>
      <c r="V21" s="7"/>
      <c r="W21" s="22"/>
      <c r="X21" s="7"/>
      <c r="Y21" s="7"/>
      <c r="Z21" s="7">
        <v>1</v>
      </c>
      <c r="AA21" s="22"/>
      <c r="AB21" s="22"/>
      <c r="AC21" s="22"/>
      <c r="AD21" s="22"/>
      <c r="AE21" s="22"/>
      <c r="AF21" s="22"/>
    </row>
    <row r="22" spans="1:32" ht="15" x14ac:dyDescent="0.2">
      <c r="A22" s="22">
        <v>16</v>
      </c>
      <c r="B22" s="7" t="s">
        <v>101</v>
      </c>
      <c r="C22" s="7" t="s">
        <v>102</v>
      </c>
      <c r="D22" s="7">
        <v>30346514</v>
      </c>
      <c r="E22" s="5">
        <v>20231110814</v>
      </c>
      <c r="F22" s="7">
        <v>1</v>
      </c>
      <c r="G22" s="7"/>
      <c r="H22" s="22"/>
      <c r="I22" s="7"/>
      <c r="J22" s="7">
        <v>1</v>
      </c>
      <c r="K22" s="7">
        <v>1</v>
      </c>
      <c r="L22" s="7"/>
      <c r="M22" s="22"/>
      <c r="N22" s="22"/>
      <c r="O22" s="8"/>
      <c r="P22" s="22"/>
      <c r="Q22" s="7"/>
      <c r="R22" s="22"/>
      <c r="S22" s="7"/>
      <c r="T22" s="7"/>
      <c r="U22" s="7"/>
      <c r="V22" s="7"/>
      <c r="W22" s="22"/>
      <c r="X22" s="7"/>
      <c r="Y22" s="7"/>
      <c r="Z22" s="7">
        <v>1</v>
      </c>
      <c r="AA22" s="22"/>
      <c r="AB22" s="22"/>
      <c r="AC22" s="22"/>
      <c r="AD22" s="22"/>
      <c r="AE22" s="22"/>
      <c r="AF22" s="22"/>
    </row>
    <row r="23" spans="1:32" ht="15" x14ac:dyDescent="0.2">
      <c r="A23" s="22">
        <v>17</v>
      </c>
      <c r="B23" s="7" t="s">
        <v>60</v>
      </c>
      <c r="C23" s="7" t="s">
        <v>74</v>
      </c>
      <c r="D23" s="7">
        <v>32124905</v>
      </c>
      <c r="E23" s="5">
        <v>20251130008</v>
      </c>
      <c r="F23" s="7">
        <v>1</v>
      </c>
      <c r="G23" s="7"/>
      <c r="H23" s="22"/>
      <c r="I23" s="7"/>
      <c r="J23" s="7"/>
      <c r="K23" s="7"/>
      <c r="L23" s="7"/>
      <c r="M23" s="22"/>
      <c r="N23" s="22"/>
      <c r="O23" s="8"/>
      <c r="P23" s="22"/>
      <c r="Q23" s="7"/>
      <c r="R23" s="22"/>
      <c r="S23" s="7"/>
      <c r="T23" s="7"/>
      <c r="U23" s="7"/>
      <c r="V23" s="7"/>
      <c r="W23" s="22"/>
      <c r="X23" s="7"/>
      <c r="Y23" s="7"/>
      <c r="Z23" s="7"/>
      <c r="AA23" s="22"/>
      <c r="AB23" s="22"/>
      <c r="AC23" s="22"/>
      <c r="AD23" s="22"/>
      <c r="AE23" s="22"/>
      <c r="AF23" s="22"/>
    </row>
    <row r="24" spans="1:32" ht="15" x14ac:dyDescent="0.2">
      <c r="A24" s="22">
        <v>18</v>
      </c>
      <c r="B24" s="7" t="s">
        <v>78</v>
      </c>
      <c r="C24" s="7" t="s">
        <v>77</v>
      </c>
      <c r="D24" s="7">
        <v>32397222</v>
      </c>
      <c r="E24" s="5">
        <v>20251110310</v>
      </c>
      <c r="F24" s="7">
        <v>1</v>
      </c>
      <c r="G24" s="7">
        <v>1</v>
      </c>
      <c r="H24" s="22"/>
      <c r="I24" s="7"/>
      <c r="J24" s="7"/>
      <c r="K24" s="7"/>
      <c r="L24" s="7"/>
      <c r="M24" s="22"/>
      <c r="N24" s="22"/>
      <c r="O24" s="8"/>
      <c r="P24" s="22"/>
      <c r="Q24" s="7"/>
      <c r="R24" s="22"/>
      <c r="S24" s="7"/>
      <c r="T24" s="7"/>
      <c r="U24" s="7"/>
      <c r="V24" s="7"/>
      <c r="W24" s="22"/>
      <c r="X24" s="7"/>
      <c r="Y24" s="7"/>
      <c r="Z24" s="7"/>
      <c r="AA24" s="22"/>
      <c r="AB24" s="22"/>
      <c r="AC24" s="22"/>
      <c r="AD24" s="22"/>
      <c r="AE24" s="22"/>
      <c r="AF24" s="22"/>
    </row>
    <row r="25" spans="1:32" ht="15" x14ac:dyDescent="0.2">
      <c r="A25" s="22">
        <v>19</v>
      </c>
      <c r="B25" s="7" t="s">
        <v>103</v>
      </c>
      <c r="C25" s="7" t="s">
        <v>104</v>
      </c>
      <c r="D25" s="7">
        <v>30156914</v>
      </c>
      <c r="E25" s="5">
        <v>20211120116</v>
      </c>
      <c r="F25" s="7"/>
      <c r="G25" s="7"/>
      <c r="H25" s="22"/>
      <c r="I25" s="7"/>
      <c r="J25" s="7"/>
      <c r="K25" s="7"/>
      <c r="L25" s="7"/>
      <c r="M25" s="22"/>
      <c r="N25" s="22"/>
      <c r="O25" s="8"/>
      <c r="P25" s="22"/>
      <c r="Q25" s="7"/>
      <c r="R25" s="22"/>
      <c r="S25" s="7"/>
      <c r="T25" s="7"/>
      <c r="U25" s="7"/>
      <c r="V25" s="7"/>
      <c r="W25" s="22"/>
      <c r="X25" s="7"/>
      <c r="Y25" s="7"/>
      <c r="Z25" s="7"/>
      <c r="AA25" s="22"/>
      <c r="AB25" s="22"/>
      <c r="AC25" s="22"/>
      <c r="AD25" s="22"/>
      <c r="AE25" s="22"/>
      <c r="AF25" s="22"/>
    </row>
    <row r="26" spans="1:32" ht="15" x14ac:dyDescent="0.2">
      <c r="A26" s="22">
        <v>20</v>
      </c>
      <c r="B26" s="7" t="s">
        <v>55</v>
      </c>
      <c r="C26" s="7" t="s">
        <v>80</v>
      </c>
      <c r="D26" s="7">
        <v>32333927</v>
      </c>
      <c r="E26" s="5">
        <v>20251120107</v>
      </c>
      <c r="F26" s="7">
        <v>1</v>
      </c>
      <c r="G26" s="7">
        <v>2</v>
      </c>
      <c r="H26" s="22"/>
      <c r="I26" s="7"/>
      <c r="J26" s="7">
        <v>2</v>
      </c>
      <c r="K26" s="7"/>
      <c r="L26" s="7"/>
      <c r="M26" s="22"/>
      <c r="N26" s="22"/>
      <c r="O26" s="8"/>
      <c r="P26" s="22"/>
      <c r="Q26" s="7"/>
      <c r="R26" s="22"/>
      <c r="S26" s="7"/>
      <c r="T26" s="7"/>
      <c r="U26" s="7"/>
      <c r="V26" s="7"/>
      <c r="W26" s="22"/>
      <c r="X26" s="7">
        <v>3</v>
      </c>
      <c r="Y26" s="7">
        <v>2</v>
      </c>
      <c r="Z26" s="7"/>
      <c r="AA26" s="22"/>
      <c r="AB26" s="22"/>
      <c r="AC26" s="22"/>
      <c r="AD26" s="22"/>
      <c r="AE26" s="22"/>
      <c r="AF26" s="22"/>
    </row>
    <row r="27" spans="1:32" ht="15" x14ac:dyDescent="0.2">
      <c r="A27" s="22">
        <v>21</v>
      </c>
      <c r="B27" s="7" t="s">
        <v>82</v>
      </c>
      <c r="C27" s="7" t="s">
        <v>81</v>
      </c>
      <c r="D27" s="7">
        <v>27714378</v>
      </c>
      <c r="E27" s="5">
        <v>20251110216</v>
      </c>
      <c r="F27" s="7">
        <v>1</v>
      </c>
      <c r="G27" s="7"/>
      <c r="H27" s="22"/>
      <c r="I27" s="7"/>
      <c r="J27" s="7"/>
      <c r="K27" s="7"/>
      <c r="L27" s="7"/>
      <c r="M27" s="22"/>
      <c r="N27" s="22"/>
      <c r="O27" s="8"/>
      <c r="P27" s="22"/>
      <c r="Q27" s="7"/>
      <c r="R27" s="22"/>
      <c r="S27" s="7"/>
      <c r="T27" s="7"/>
      <c r="U27" s="7"/>
      <c r="V27" s="7"/>
      <c r="W27" s="22"/>
      <c r="X27" s="7"/>
      <c r="Y27" s="7"/>
      <c r="Z27" s="7"/>
      <c r="AA27" s="22"/>
      <c r="AB27" s="22"/>
      <c r="AC27" s="22"/>
      <c r="AD27" s="22"/>
      <c r="AE27" s="22"/>
      <c r="AF27" s="22"/>
    </row>
    <row r="28" spans="1:32" ht="15" x14ac:dyDescent="0.2">
      <c r="A28" s="22">
        <v>22</v>
      </c>
      <c r="B28" s="7" t="s">
        <v>84</v>
      </c>
      <c r="C28" s="7" t="s">
        <v>83</v>
      </c>
      <c r="D28" s="7">
        <v>29662246</v>
      </c>
      <c r="E28" s="5">
        <v>20201120176</v>
      </c>
      <c r="F28" s="7"/>
      <c r="G28" s="7"/>
      <c r="H28" s="22"/>
      <c r="I28" s="7"/>
      <c r="J28" s="7"/>
      <c r="K28" s="7"/>
      <c r="L28" s="7"/>
      <c r="M28" s="22"/>
      <c r="N28" s="22"/>
      <c r="O28" s="8"/>
      <c r="P28" s="22"/>
      <c r="Q28" s="7"/>
      <c r="R28" s="22"/>
      <c r="S28" s="7"/>
      <c r="T28" s="7"/>
      <c r="U28" s="7"/>
      <c r="V28" s="7"/>
      <c r="W28" s="22"/>
      <c r="X28" s="7"/>
      <c r="Y28" s="7"/>
      <c r="Z28" s="7"/>
      <c r="AA28" s="22"/>
      <c r="AB28" s="22"/>
      <c r="AC28" s="22"/>
      <c r="AD28" s="22"/>
      <c r="AE28" s="22"/>
      <c r="AF28" s="22"/>
    </row>
    <row r="29" spans="1:32" ht="15" x14ac:dyDescent="0.2">
      <c r="A29" s="22">
        <v>23</v>
      </c>
      <c r="B29" s="7" t="s">
        <v>105</v>
      </c>
      <c r="C29" s="7" t="s">
        <v>106</v>
      </c>
      <c r="D29" s="7">
        <v>31623260</v>
      </c>
      <c r="E29" s="5">
        <v>20241110106</v>
      </c>
      <c r="F29" s="7">
        <v>1</v>
      </c>
      <c r="G29" s="7">
        <v>1</v>
      </c>
      <c r="H29" s="22"/>
      <c r="I29" s="7"/>
      <c r="J29" s="7">
        <v>2</v>
      </c>
      <c r="K29" s="7">
        <v>1</v>
      </c>
      <c r="L29" s="7"/>
      <c r="M29" s="22"/>
      <c r="N29" s="22"/>
      <c r="O29" s="8"/>
      <c r="P29" s="22"/>
      <c r="Q29" s="7"/>
      <c r="R29" s="22"/>
      <c r="S29" s="7">
        <v>1</v>
      </c>
      <c r="T29" s="7"/>
      <c r="U29" s="7"/>
      <c r="V29" s="7"/>
      <c r="W29" s="22"/>
      <c r="X29" s="7"/>
      <c r="Y29" s="7"/>
      <c r="Z29" s="7">
        <v>1</v>
      </c>
      <c r="AA29" s="22"/>
      <c r="AB29" s="22"/>
      <c r="AC29" s="22"/>
      <c r="AD29" s="22"/>
      <c r="AE29" s="22"/>
      <c r="AF29" s="22"/>
    </row>
    <row r="30" spans="1:32" ht="15" x14ac:dyDescent="0.2">
      <c r="A30" s="22">
        <v>24</v>
      </c>
      <c r="B30" s="7" t="s">
        <v>89</v>
      </c>
      <c r="C30" s="7" t="s">
        <v>88</v>
      </c>
      <c r="D30" s="7">
        <v>32080790</v>
      </c>
      <c r="E30" s="5">
        <v>20251130147</v>
      </c>
      <c r="F30" s="7">
        <v>1</v>
      </c>
      <c r="G30" s="7"/>
      <c r="H30" s="22"/>
      <c r="I30" s="7"/>
      <c r="J30" s="7"/>
      <c r="K30" s="7"/>
      <c r="L30" s="7"/>
      <c r="M30" s="22"/>
      <c r="N30" s="22"/>
      <c r="O30" s="8"/>
      <c r="P30" s="22"/>
      <c r="Q30" s="7"/>
      <c r="R30" s="22"/>
      <c r="S30" s="7"/>
      <c r="T30" s="7"/>
      <c r="U30" s="7"/>
      <c r="V30" s="7"/>
      <c r="W30" s="22"/>
      <c r="X30" s="7"/>
      <c r="Y30" s="7"/>
      <c r="Z30" s="7"/>
      <c r="AA30" s="22"/>
      <c r="AB30" s="22"/>
      <c r="AC30" s="22"/>
      <c r="AD30" s="22"/>
      <c r="AE30" s="22"/>
      <c r="AF30" s="22"/>
    </row>
    <row r="31" spans="1:32" ht="15" x14ac:dyDescent="0.2">
      <c r="A31" s="22">
        <v>25</v>
      </c>
      <c r="B31" s="7" t="s">
        <v>91</v>
      </c>
      <c r="C31" s="7" t="s">
        <v>90</v>
      </c>
      <c r="D31" s="7">
        <v>29678946</v>
      </c>
      <c r="E31" s="5">
        <v>20231110776</v>
      </c>
      <c r="F31" s="7"/>
      <c r="G31" s="7"/>
      <c r="H31" s="22"/>
      <c r="I31" s="7"/>
      <c r="J31" s="7"/>
      <c r="K31" s="7"/>
      <c r="L31" s="7"/>
      <c r="M31" s="22"/>
      <c r="N31" s="22"/>
      <c r="O31" s="8"/>
      <c r="P31" s="22"/>
      <c r="Q31" s="7"/>
      <c r="R31" s="22"/>
      <c r="S31" s="7"/>
      <c r="T31" s="7"/>
      <c r="U31" s="7"/>
      <c r="V31" s="7"/>
      <c r="W31" s="22"/>
      <c r="X31" s="7"/>
      <c r="Y31" s="7"/>
      <c r="Z31" s="7"/>
      <c r="AA31" s="22"/>
      <c r="AB31" s="22"/>
      <c r="AC31" s="22"/>
      <c r="AD31" s="22"/>
      <c r="AE31" s="22"/>
      <c r="AF31" s="22"/>
    </row>
    <row r="32" spans="1:32" ht="15" x14ac:dyDescent="0.2">
      <c r="A32" s="22">
        <v>26</v>
      </c>
      <c r="B32" s="7" t="s">
        <v>93</v>
      </c>
      <c r="C32" s="7" t="s">
        <v>92</v>
      </c>
      <c r="D32" s="7">
        <v>34202891</v>
      </c>
      <c r="E32" s="5">
        <v>20251110215</v>
      </c>
      <c r="F32" s="7">
        <v>1</v>
      </c>
      <c r="G32" s="7"/>
      <c r="H32" s="22"/>
      <c r="I32" s="7"/>
      <c r="J32" s="7"/>
      <c r="K32" s="7"/>
      <c r="L32" s="7"/>
      <c r="M32" s="22"/>
      <c r="N32" s="22"/>
      <c r="O32" s="8"/>
      <c r="P32" s="22"/>
      <c r="Q32" s="7"/>
      <c r="R32" s="22"/>
      <c r="S32" s="7"/>
      <c r="T32" s="7"/>
      <c r="U32" s="7"/>
      <c r="V32" s="7"/>
      <c r="W32" s="22"/>
      <c r="X32" s="7"/>
      <c r="Y32" s="7"/>
      <c r="Z32" s="7"/>
      <c r="AA32" s="22"/>
      <c r="AB32" s="22"/>
      <c r="AC32" s="22"/>
      <c r="AD32" s="22"/>
      <c r="AE32" s="22"/>
      <c r="AF32" s="22"/>
    </row>
    <row r="33" spans="1:32" ht="15" x14ac:dyDescent="0.2">
      <c r="A33" s="22">
        <v>27</v>
      </c>
      <c r="B33" s="7" t="s">
        <v>47</v>
      </c>
      <c r="C33" s="7" t="s">
        <v>94</v>
      </c>
      <c r="D33" s="7">
        <v>31707262</v>
      </c>
      <c r="E33" s="5">
        <v>20251110309</v>
      </c>
      <c r="F33" s="7">
        <v>1</v>
      </c>
      <c r="G33" s="7"/>
      <c r="H33" s="22"/>
      <c r="I33" s="7"/>
      <c r="J33" s="7"/>
      <c r="K33" s="7"/>
      <c r="L33" s="7"/>
      <c r="M33" s="22"/>
      <c r="N33" s="22"/>
      <c r="O33" s="8"/>
      <c r="P33" s="22"/>
      <c r="Q33" s="7"/>
      <c r="R33" s="22"/>
      <c r="S33" s="7"/>
      <c r="T33" s="7"/>
      <c r="U33" s="7"/>
      <c r="V33" s="7"/>
      <c r="W33" s="22"/>
      <c r="X33" s="7"/>
      <c r="Y33" s="7"/>
      <c r="Z33" s="7"/>
      <c r="AA33" s="22"/>
      <c r="AB33" s="22"/>
      <c r="AC33" s="22"/>
      <c r="AD33" s="22"/>
      <c r="AE33" s="22"/>
      <c r="AF33" s="22"/>
    </row>
    <row r="34" spans="1:32" x14ac:dyDescent="0.1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</row>
    <row r="35" spans="1:32" x14ac:dyDescent="0.1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</row>
    <row r="36" spans="1:32" x14ac:dyDescent="0.1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</row>
    <row r="37" spans="1:32" x14ac:dyDescent="0.1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</row>
  </sheetData>
  <mergeCells count="17">
    <mergeCell ref="A5:A6"/>
    <mergeCell ref="B5:B6"/>
    <mergeCell ref="C5:C6"/>
    <mergeCell ref="D5:D6"/>
    <mergeCell ref="F5:G5"/>
    <mergeCell ref="E5:E6"/>
    <mergeCell ref="H5:I5"/>
    <mergeCell ref="J5:K5"/>
    <mergeCell ref="L5:M5"/>
    <mergeCell ref="N5:O5"/>
    <mergeCell ref="P5:Q5"/>
    <mergeCell ref="AB5:AC5"/>
    <mergeCell ref="R5:S5"/>
    <mergeCell ref="T5:U5"/>
    <mergeCell ref="V5:W5"/>
    <mergeCell ref="X5:Y5"/>
    <mergeCell ref="Z5:AA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8" customWidth="1"/>
    <col min="4" max="4" width="16" customWidth="1"/>
  </cols>
  <sheetData>
    <row r="1">
      <c r="A1" t="inlineStr">
        <is>
          <t xml:space="preserve">semana</t>
        </is>
      </c>
      <c r="B1" t="inlineStr">
        <is>
          <t xml:space="preserve">dia_sesion</t>
        </is>
      </c>
      <c r="C1" t="inlineStr">
        <is>
          <t xml:space="preserve">tema</t>
        </is>
      </c>
      <c r="D1" t="inlineStr">
        <is>
          <t xml:space="preserve">tipo_sesion</t>
        </is>
      </c>
    </row>
    <row r="2">
      <c r="A2">
        <v>1</v>
      </c>
      <c r="B2">
        <v>1</v>
      </c>
      <c r="C2">
        <v>1</v>
      </c>
    </row>
    <row r="3">
      <c r="A3">
        <v>1</v>
      </c>
      <c r="B3">
        <v>2</v>
      </c>
      <c r="C3">
        <v>1</v>
      </c>
    </row>
    <row r="4">
      <c r="A4">
        <v>2</v>
      </c>
      <c r="B4">
        <v>1</v>
      </c>
      <c r="C4">
        <v>2</v>
      </c>
    </row>
    <row r="5">
      <c r="A5">
        <v>2</v>
      </c>
      <c r="B5">
        <v>2</v>
      </c>
      <c r="C5">
        <v>3</v>
      </c>
    </row>
    <row r="6">
      <c r="A6">
        <v>3</v>
      </c>
      <c r="B6">
        <v>1</v>
      </c>
      <c r="C6">
        <v>4</v>
      </c>
    </row>
    <row r="7">
      <c r="A7">
        <v>3</v>
      </c>
      <c r="B7">
        <v>2</v>
      </c>
      <c r="C7">
        <v>4</v>
      </c>
    </row>
    <row r="8">
      <c r="A8">
        <v>4</v>
      </c>
      <c r="B8">
        <v>1</v>
      </c>
      <c r="C8">
        <v>5</v>
      </c>
    </row>
    <row r="9">
      <c r="A9">
        <v>4</v>
      </c>
      <c r="B9">
        <v>2</v>
      </c>
      <c r="C9">
        <v>0</v>
      </c>
      <c r="D9" t="inlineStr">
        <is>
          <t xml:space="preserve">repaso</t>
        </is>
      </c>
    </row>
    <row r="10">
      <c r="A10">
        <v>5</v>
      </c>
      <c r="B10">
        <v>1</v>
      </c>
      <c r="C10">
        <v>0</v>
      </c>
      <c r="D10" t="inlineStr">
        <is>
          <t xml:space="preserve">evaluacion</t>
        </is>
      </c>
    </row>
    <row r="11">
      <c r="A11">
        <v>5</v>
      </c>
      <c r="B11">
        <v>2</v>
      </c>
      <c r="C11">
        <v>6</v>
      </c>
    </row>
    <row r="12">
      <c r="A12">
        <v>6</v>
      </c>
      <c r="B12">
        <v>1</v>
      </c>
      <c r="C12">
        <v>0</v>
      </c>
      <c r="D12" t="inlineStr">
        <is>
          <t xml:space="preserve">evaluacion</t>
        </is>
      </c>
    </row>
    <row r="13">
      <c r="A13">
        <v>6</v>
      </c>
      <c r="B13">
        <v>2</v>
      </c>
      <c r="C13">
        <v>7</v>
      </c>
    </row>
    <row r="14">
      <c r="A14">
        <v>7</v>
      </c>
      <c r="B14">
        <v>1</v>
      </c>
      <c r="C14">
        <v>0</v>
      </c>
      <c r="D14" t="inlineStr">
        <is>
          <t xml:space="preserve">sin_clase</t>
        </is>
      </c>
    </row>
    <row r="15">
      <c r="A15">
        <v>7</v>
      </c>
      <c r="B15">
        <v>2</v>
      </c>
      <c r="C15">
        <v>7</v>
      </c>
    </row>
    <row r="16">
      <c r="A16">
        <v>8</v>
      </c>
      <c r="B16">
        <v>1</v>
      </c>
      <c r="C16">
        <v>8</v>
      </c>
    </row>
    <row r="17">
      <c r="A17">
        <v>8</v>
      </c>
      <c r="B17">
        <v>2</v>
      </c>
      <c r="C17">
        <v>9</v>
      </c>
    </row>
    <row r="18">
      <c r="A18">
        <v>9</v>
      </c>
      <c r="B18">
        <v>1</v>
      </c>
      <c r="C18">
        <v>10</v>
      </c>
    </row>
    <row r="19">
      <c r="A19">
        <v>9</v>
      </c>
      <c r="B19">
        <v>2</v>
      </c>
      <c r="C19">
        <v>0</v>
      </c>
      <c r="D19" t="inlineStr">
        <is>
          <t xml:space="preserve">evaluacion</t>
        </is>
      </c>
    </row>
    <row r="20">
      <c r="A20">
        <v>10</v>
      </c>
      <c r="B20">
        <v>1</v>
      </c>
      <c r="C20">
        <v>10</v>
      </c>
    </row>
    <row r="21">
      <c r="A21">
        <v>10</v>
      </c>
      <c r="B21">
        <v>2</v>
      </c>
      <c r="C21">
        <v>10</v>
      </c>
    </row>
    <row r="22">
      <c r="A22">
        <v>11</v>
      </c>
      <c r="B22">
        <v>1</v>
      </c>
      <c r="C22">
        <v>0</v>
      </c>
      <c r="D22" t="inlineStr">
        <is>
          <t xml:space="preserve">evaluacion</t>
        </is>
      </c>
    </row>
    <row r="23">
      <c r="A23">
        <v>11</v>
      </c>
      <c r="B23">
        <v>2</v>
      </c>
      <c r="C23">
        <v>0</v>
      </c>
      <c r="D23" t="inlineStr">
        <is>
          <t xml:space="preserve">evaluacion</t>
        </is>
      </c>
    </row>
    <row r="24">
      <c r="A24">
        <v>12</v>
      </c>
      <c r="B24">
        <v>1</v>
      </c>
      <c r="C24">
        <v>0</v>
      </c>
      <c r="D24" t="inlineStr">
        <is>
          <t xml:space="preserve">administrativa</t>
        </is>
      </c>
    </row>
    <row r="25">
      <c r="A25">
        <v>12</v>
      </c>
      <c r="B25">
        <v>2</v>
      </c>
      <c r="C25">
        <v>0</v>
      </c>
      <c r="D25" t="inlineStr">
        <is>
          <t xml:space="preserve">administrativa</t>
        </is>
      </c>
    </row>
    <row r="27">
      <c r="A27" t="inlineStr">
        <is>
          <t xml:space="preserve">Nota:</t>
        </is>
      </c>
      <c r="B27" t="inlineStr">
        <is>
          <t xml:space="preserve">tema = código del catálogo de la asignatura. Si la sesión no cubre contenido nuevo: tema = 0 y tipo_sesion indica la causa (evaluacion, repaso, sin_clase, administrativa). Si tema &gt; 0 la sesión es de contenido y tipo_sesion queda vacío.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Partic</vt:lpstr>
      <vt:lpstr>Total</vt:lpstr>
      <vt:lpstr>Estandar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Carrillo</cp:lastModifiedBy>
  <dcterms:modified xsi:type="dcterms:W3CDTF">2026-08-31T04:51:40Z</dcterms:modified>
</cp:coreProperties>
</file>