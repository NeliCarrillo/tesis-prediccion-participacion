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worksheets/sheet1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nelsoncarrillo/Downloads/tesis-prediccion-participacion/Datos Tesis Upstream/Algoritmos y Programacion/2425-2/"/>
    </mc:Choice>
  </mc:AlternateContent>
  <xr:revisionPtr revIDLastSave="0" documentId="13_ncr:1_{720D7A40-DECD-684A-AC4C-A84F4029870D}" xr6:coauthVersionLast="47" xr6:coauthVersionMax="47" xr10:uidLastSave="{00000000-0000-0000-0000-000000000000}"/>
  <bookViews>
    <workbookView xWindow="0" yWindow="600" windowWidth="28800" windowHeight="15980" activeTab="11" xr2:uid="{00000000-000D-0000-FFFF-FFFF00000000}"/>
  </bookViews>
  <sheets>
    <sheet name="Lista" sheetId="1" r:id="rId1"/>
    <sheet name="Acum" sheetId="2" r:id="rId2"/>
    <sheet name="Quiz 1" sheetId="3" r:id="rId3"/>
    <sheet name="Parcial 1" sheetId="4" r:id="rId4"/>
    <sheet name="Quiz 2" sheetId="5" r:id="rId5"/>
    <sheet name="Parcial 2" sheetId="6" r:id="rId6"/>
    <sheet name="Proyecto" sheetId="7" r:id="rId7"/>
    <sheet name="Eval. Cont." sheetId="8" r:id="rId8"/>
    <sheet name="Partic" sheetId="9" r:id="rId9"/>
    <sheet name="Tareas" sheetId="10" r:id="rId10"/>
    <sheet name="Xtra" sheetId="11" r:id="rId11"/>
    <sheet name="Estandar" sheetId="12" r:id="rId12"/>
    <sheet name="Cronograma" sheetId="13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1jnVeSGz8ZWl3hKjTK9NtMGnWlW+cKce024EoniS5wY="/>
    </ext>
  </extLst>
</workbook>
</file>

<file path=xl/calcChain.xml><?xml version="1.0" encoding="utf-8"?>
<calcChain xmlns="http://schemas.openxmlformats.org/spreadsheetml/2006/main">
  <c r="M53" i="11" l="1"/>
  <c r="N53" i="11" s="1"/>
  <c r="M52" i="11"/>
  <c r="N52" i="11" s="1"/>
  <c r="N51" i="11"/>
  <c r="M51" i="11"/>
  <c r="N50" i="11"/>
  <c r="M50" i="11"/>
  <c r="M49" i="11"/>
  <c r="N49" i="11" s="1"/>
  <c r="M48" i="11"/>
  <c r="N48" i="11" s="1"/>
  <c r="N47" i="11"/>
  <c r="M47" i="11"/>
  <c r="N46" i="11"/>
  <c r="M46" i="11"/>
  <c r="M45" i="11"/>
  <c r="N45" i="11" s="1"/>
  <c r="M44" i="11"/>
  <c r="N44" i="11" s="1"/>
  <c r="N43" i="11"/>
  <c r="M43" i="11"/>
  <c r="N42" i="11"/>
  <c r="M42" i="11"/>
  <c r="M41" i="11"/>
  <c r="N41" i="11" s="1"/>
  <c r="M40" i="11"/>
  <c r="N40" i="11" s="1"/>
  <c r="L13" i="2" s="1"/>
  <c r="N39" i="11"/>
  <c r="M39" i="11"/>
  <c r="N38" i="11"/>
  <c r="M38" i="11"/>
  <c r="M37" i="11"/>
  <c r="N37" i="11" s="1"/>
  <c r="M36" i="11"/>
  <c r="N36" i="11" s="1"/>
  <c r="N35" i="11"/>
  <c r="M35" i="11"/>
  <c r="N34" i="11"/>
  <c r="M34" i="11"/>
  <c r="M33" i="11"/>
  <c r="N33" i="11" s="1"/>
  <c r="M32" i="11"/>
  <c r="N32" i="11" s="1"/>
  <c r="N31" i="11"/>
  <c r="M31" i="11"/>
  <c r="N30" i="11"/>
  <c r="M30" i="11"/>
  <c r="M29" i="11"/>
  <c r="N29" i="11" s="1"/>
  <c r="L15" i="2" s="1"/>
  <c r="M28" i="11"/>
  <c r="N28" i="11" s="1"/>
  <c r="N27" i="11"/>
  <c r="M27" i="11"/>
  <c r="N26" i="11"/>
  <c r="M26" i="11"/>
  <c r="M25" i="11"/>
  <c r="N25" i="11" s="1"/>
  <c r="M24" i="11"/>
  <c r="N24" i="11" s="1"/>
  <c r="N23" i="11"/>
  <c r="M23" i="11"/>
  <c r="N22" i="11"/>
  <c r="M22" i="11"/>
  <c r="M21" i="11"/>
  <c r="N21" i="11" s="1"/>
  <c r="M20" i="11"/>
  <c r="N20" i="11" s="1"/>
  <c r="N19" i="11"/>
  <c r="M19" i="11"/>
  <c r="N18" i="11"/>
  <c r="M18" i="11"/>
  <c r="M17" i="11"/>
  <c r="N17" i="11" s="1"/>
  <c r="M16" i="11"/>
  <c r="N16" i="11" s="1"/>
  <c r="L4" i="2" s="1"/>
  <c r="N15" i="11"/>
  <c r="M15" i="11"/>
  <c r="N14" i="11"/>
  <c r="M14" i="11"/>
  <c r="M13" i="11"/>
  <c r="N13" i="11" s="1"/>
  <c r="L7" i="2" s="1"/>
  <c r="M12" i="11"/>
  <c r="N12" i="11" s="1"/>
  <c r="N11" i="11"/>
  <c r="M11" i="11"/>
  <c r="N10" i="11"/>
  <c r="M10" i="11"/>
  <c r="M9" i="11"/>
  <c r="N9" i="11" s="1"/>
  <c r="M8" i="11"/>
  <c r="N8" i="11" s="1"/>
  <c r="N7" i="11"/>
  <c r="M7" i="11"/>
  <c r="N6" i="11"/>
  <c r="M6" i="11"/>
  <c r="A3" i="11"/>
  <c r="Q31" i="10"/>
  <c r="Q30" i="10"/>
  <c r="Q29" i="10"/>
  <c r="Q28" i="10"/>
  <c r="P28" i="2" s="1"/>
  <c r="Q27" i="10"/>
  <c r="Q26" i="10"/>
  <c r="P26" i="2" s="1"/>
  <c r="Q25" i="10"/>
  <c r="Q24" i="10"/>
  <c r="Q23" i="10"/>
  <c r="Q22" i="10"/>
  <c r="Q21" i="10"/>
  <c r="Q20" i="10"/>
  <c r="P20" i="2" s="1"/>
  <c r="Q19" i="10"/>
  <c r="Q18" i="10"/>
  <c r="P18" i="2" s="1"/>
  <c r="Q17" i="10"/>
  <c r="Q16" i="10"/>
  <c r="Q15" i="10"/>
  <c r="Q14" i="10"/>
  <c r="Q13" i="10"/>
  <c r="Q12" i="10"/>
  <c r="Q11" i="10"/>
  <c r="Q10" i="10"/>
  <c r="P16" i="2" s="1"/>
  <c r="Q9" i="10"/>
  <c r="Q8" i="10"/>
  <c r="Q7" i="10"/>
  <c r="Q6" i="10"/>
  <c r="Q5" i="10"/>
  <c r="Q4" i="10"/>
  <c r="Q3" i="10"/>
  <c r="Q2" i="10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S32" i="9" s="1"/>
  <c r="S31" i="9"/>
  <c r="C31" i="9"/>
  <c r="B31" i="9"/>
  <c r="A31" i="9"/>
  <c r="S30" i="9"/>
  <c r="O30" i="2" s="1"/>
  <c r="C30" i="9"/>
  <c r="B30" i="9"/>
  <c r="A30" i="9"/>
  <c r="S29" i="9"/>
  <c r="C29" i="9"/>
  <c r="B29" i="9"/>
  <c r="A29" i="9"/>
  <c r="S28" i="9"/>
  <c r="O28" i="2" s="1"/>
  <c r="C28" i="9"/>
  <c r="B28" i="9"/>
  <c r="A28" i="9"/>
  <c r="S27" i="9"/>
  <c r="C27" i="9"/>
  <c r="B27" i="9"/>
  <c r="A27" i="9"/>
  <c r="S26" i="9"/>
  <c r="O26" i="2" s="1"/>
  <c r="C26" i="9"/>
  <c r="B26" i="9"/>
  <c r="A26" i="9"/>
  <c r="S25" i="9"/>
  <c r="C25" i="9"/>
  <c r="B25" i="9"/>
  <c r="A25" i="9"/>
  <c r="S24" i="9"/>
  <c r="O24" i="2" s="1"/>
  <c r="C24" i="9"/>
  <c r="B24" i="9"/>
  <c r="A24" i="9"/>
  <c r="S23" i="9"/>
  <c r="C23" i="9"/>
  <c r="B23" i="9"/>
  <c r="A23" i="9"/>
  <c r="S22" i="9"/>
  <c r="O22" i="2" s="1"/>
  <c r="C22" i="9"/>
  <c r="B22" i="9"/>
  <c r="A22" i="9"/>
  <c r="S21" i="9"/>
  <c r="C21" i="9"/>
  <c r="B21" i="9"/>
  <c r="A21" i="9"/>
  <c r="S20" i="9"/>
  <c r="O20" i="2" s="1"/>
  <c r="C20" i="9"/>
  <c r="B20" i="9"/>
  <c r="A20" i="9"/>
  <c r="S19" i="9"/>
  <c r="C19" i="9"/>
  <c r="B19" i="9"/>
  <c r="A19" i="9"/>
  <c r="S18" i="9"/>
  <c r="O18" i="2" s="1"/>
  <c r="C18" i="9"/>
  <c r="B18" i="9"/>
  <c r="A18" i="9"/>
  <c r="S17" i="9"/>
  <c r="C17" i="9"/>
  <c r="B17" i="9"/>
  <c r="A17" i="9"/>
  <c r="S16" i="9"/>
  <c r="O16" i="2" s="1"/>
  <c r="C16" i="9"/>
  <c r="B16" i="9"/>
  <c r="A16" i="9"/>
  <c r="S15" i="9"/>
  <c r="C15" i="9"/>
  <c r="B15" i="9"/>
  <c r="A15" i="9"/>
  <c r="S14" i="9"/>
  <c r="O14" i="2" s="1"/>
  <c r="C14" i="9"/>
  <c r="B14" i="9"/>
  <c r="A14" i="9"/>
  <c r="S13" i="9"/>
  <c r="C13" i="9"/>
  <c r="B13" i="9"/>
  <c r="A13" i="9"/>
  <c r="S12" i="9"/>
  <c r="O12" i="2" s="1"/>
  <c r="C12" i="9"/>
  <c r="B12" i="9"/>
  <c r="A12" i="9"/>
  <c r="S11" i="9"/>
  <c r="C11" i="9"/>
  <c r="B11" i="9"/>
  <c r="A11" i="9"/>
  <c r="S10" i="9"/>
  <c r="O10" i="2" s="1"/>
  <c r="C10" i="9"/>
  <c r="B10" i="9"/>
  <c r="A10" i="9"/>
  <c r="S9" i="9"/>
  <c r="C9" i="9"/>
  <c r="B9" i="9"/>
  <c r="A9" i="9"/>
  <c r="S8" i="9"/>
  <c r="O8" i="2" s="1"/>
  <c r="C8" i="9"/>
  <c r="B8" i="9"/>
  <c r="A8" i="9"/>
  <c r="S7" i="9"/>
  <c r="C7" i="9"/>
  <c r="B7" i="9"/>
  <c r="A7" i="9"/>
  <c r="S6" i="9"/>
  <c r="C6" i="9"/>
  <c r="B6" i="9"/>
  <c r="A6" i="9"/>
  <c r="S5" i="9"/>
  <c r="C5" i="9"/>
  <c r="B5" i="9"/>
  <c r="A5" i="9"/>
  <c r="S4" i="9"/>
  <c r="C4" i="9"/>
  <c r="B4" i="9"/>
  <c r="A4" i="9"/>
  <c r="S3" i="9"/>
  <c r="C3" i="9"/>
  <c r="B3" i="9"/>
  <c r="A3" i="9"/>
  <c r="S2" i="9"/>
  <c r="C2" i="9"/>
  <c r="B2" i="9"/>
  <c r="A2" i="9"/>
  <c r="Q31" i="8"/>
  <c r="Q30" i="8"/>
  <c r="Q29" i="8"/>
  <c r="Q28" i="8"/>
  <c r="Q27" i="8"/>
  <c r="Q26" i="8"/>
  <c r="F26" i="2" s="1"/>
  <c r="Q25" i="8"/>
  <c r="Q24" i="8"/>
  <c r="F24" i="2" s="1"/>
  <c r="Q23" i="8"/>
  <c r="Q22" i="8"/>
  <c r="Q21" i="8"/>
  <c r="Q20" i="8"/>
  <c r="Q19" i="8"/>
  <c r="Q18" i="8"/>
  <c r="F18" i="2" s="1"/>
  <c r="Q17" i="8"/>
  <c r="Q16" i="8"/>
  <c r="Q15" i="8"/>
  <c r="Q14" i="8"/>
  <c r="Q13" i="8"/>
  <c r="Q12" i="8"/>
  <c r="Q11" i="8"/>
  <c r="F10" i="2" s="1"/>
  <c r="Q10" i="8"/>
  <c r="F16" i="2" s="1"/>
  <c r="Q9" i="8"/>
  <c r="Q8" i="8"/>
  <c r="Q7" i="8"/>
  <c r="Q6" i="8"/>
  <c r="Q5" i="8"/>
  <c r="Q4" i="8"/>
  <c r="Q3" i="8"/>
  <c r="F3" i="2" s="1"/>
  <c r="Q2" i="8"/>
  <c r="AA18" i="7"/>
  <c r="J13" i="2" s="1"/>
  <c r="G21" i="6"/>
  <c r="K9" i="2" s="1"/>
  <c r="G20" i="6"/>
  <c r="K32" i="5"/>
  <c r="K31" i="5"/>
  <c r="I30" i="2" s="1"/>
  <c r="K30" i="5"/>
  <c r="K28" i="5"/>
  <c r="K27" i="5"/>
  <c r="I26" i="2" s="1"/>
  <c r="K26" i="5"/>
  <c r="I25" i="2" s="1"/>
  <c r="K25" i="5"/>
  <c r="I24" i="2" s="1"/>
  <c r="K24" i="5"/>
  <c r="K23" i="5"/>
  <c r="K22" i="5"/>
  <c r="K20" i="5"/>
  <c r="K17" i="5"/>
  <c r="K16" i="5"/>
  <c r="I15" i="2" s="1"/>
  <c r="K14" i="5"/>
  <c r="I13" i="2" s="1"/>
  <c r="K12" i="5"/>
  <c r="I11" i="2" s="1"/>
  <c r="K9" i="5"/>
  <c r="K8" i="5"/>
  <c r="K7" i="5"/>
  <c r="K5" i="5"/>
  <c r="H28" i="4"/>
  <c r="H27" i="4"/>
  <c r="H19" i="2" s="1"/>
  <c r="M19" i="2" s="1"/>
  <c r="N19" i="2" s="1"/>
  <c r="Q19" i="2" s="1"/>
  <c r="H26" i="4"/>
  <c r="H25" i="4"/>
  <c r="H16" i="2" s="1"/>
  <c r="H24" i="4"/>
  <c r="H23" i="4"/>
  <c r="H22" i="4"/>
  <c r="H21" i="4"/>
  <c r="H20" i="4"/>
  <c r="H19" i="4"/>
  <c r="H18" i="4"/>
  <c r="H30" i="2" s="1"/>
  <c r="M30" i="2" s="1"/>
  <c r="N30" i="2" s="1"/>
  <c r="Q30" i="2" s="1"/>
  <c r="H16" i="4"/>
  <c r="H24" i="2" s="1"/>
  <c r="H15" i="4"/>
  <c r="H14" i="4"/>
  <c r="H13" i="4"/>
  <c r="H12" i="4"/>
  <c r="H11" i="4"/>
  <c r="H3" i="2" s="1"/>
  <c r="H8" i="4"/>
  <c r="H5" i="2" s="1"/>
  <c r="M5" i="2" s="1"/>
  <c r="N5" i="2" s="1"/>
  <c r="H7" i="4"/>
  <c r="H6" i="4"/>
  <c r="H18" i="2" s="1"/>
  <c r="H5" i="4"/>
  <c r="H4" i="4"/>
  <c r="H3" i="4"/>
  <c r="H2" i="4"/>
  <c r="P31" i="2"/>
  <c r="O31" i="2"/>
  <c r="L31" i="2"/>
  <c r="K31" i="2"/>
  <c r="J31" i="2"/>
  <c r="I31" i="2"/>
  <c r="H31" i="2"/>
  <c r="G31" i="2"/>
  <c r="F31" i="2"/>
  <c r="M31" i="2" s="1"/>
  <c r="N31" i="2" s="1"/>
  <c r="Q31" i="2" s="1"/>
  <c r="P30" i="2"/>
  <c r="L30" i="2"/>
  <c r="K30" i="2"/>
  <c r="J30" i="2"/>
  <c r="G30" i="2"/>
  <c r="F30" i="2"/>
  <c r="Q29" i="2"/>
  <c r="P29" i="2"/>
  <c r="O29" i="2"/>
  <c r="L29" i="2"/>
  <c r="K29" i="2"/>
  <c r="J29" i="2"/>
  <c r="I29" i="2"/>
  <c r="H29" i="2"/>
  <c r="G29" i="2"/>
  <c r="F29" i="2"/>
  <c r="M29" i="2" s="1"/>
  <c r="N29" i="2" s="1"/>
  <c r="M28" i="2"/>
  <c r="N28" i="2" s="1"/>
  <c r="L28" i="2"/>
  <c r="K28" i="2"/>
  <c r="J28" i="2"/>
  <c r="I28" i="2"/>
  <c r="H28" i="2"/>
  <c r="G28" i="2"/>
  <c r="F28" i="2"/>
  <c r="P27" i="2"/>
  <c r="O27" i="2"/>
  <c r="L27" i="2"/>
  <c r="K27" i="2"/>
  <c r="J27" i="2"/>
  <c r="I27" i="2"/>
  <c r="H27" i="2"/>
  <c r="G27" i="2"/>
  <c r="F27" i="2"/>
  <c r="L26" i="2"/>
  <c r="K26" i="2"/>
  <c r="J26" i="2"/>
  <c r="H26" i="2"/>
  <c r="G26" i="2"/>
  <c r="P25" i="2"/>
  <c r="O25" i="2"/>
  <c r="L25" i="2"/>
  <c r="K25" i="2"/>
  <c r="J25" i="2"/>
  <c r="H25" i="2"/>
  <c r="G25" i="2"/>
  <c r="F25" i="2"/>
  <c r="P24" i="2"/>
  <c r="L24" i="2"/>
  <c r="K24" i="2"/>
  <c r="J24" i="2"/>
  <c r="G24" i="2"/>
  <c r="P23" i="2"/>
  <c r="O23" i="2"/>
  <c r="L23" i="2"/>
  <c r="K23" i="2"/>
  <c r="J23" i="2"/>
  <c r="I23" i="2"/>
  <c r="H23" i="2"/>
  <c r="M23" i="2" s="1"/>
  <c r="N23" i="2" s="1"/>
  <c r="G23" i="2"/>
  <c r="F23" i="2"/>
  <c r="P22" i="2"/>
  <c r="L22" i="2"/>
  <c r="K22" i="2"/>
  <c r="J22" i="2"/>
  <c r="I22" i="2"/>
  <c r="H22" i="2"/>
  <c r="G22" i="2"/>
  <c r="F22" i="2"/>
  <c r="P21" i="2"/>
  <c r="O21" i="2"/>
  <c r="L21" i="2"/>
  <c r="K21" i="2"/>
  <c r="J21" i="2"/>
  <c r="I21" i="2"/>
  <c r="H21" i="2"/>
  <c r="M21" i="2" s="1"/>
  <c r="N21" i="2" s="1"/>
  <c r="Q21" i="2" s="1"/>
  <c r="G21" i="2"/>
  <c r="F21" i="2"/>
  <c r="Q20" i="2"/>
  <c r="L20" i="2"/>
  <c r="K20" i="2"/>
  <c r="J20" i="2"/>
  <c r="I20" i="2"/>
  <c r="H20" i="2"/>
  <c r="G20" i="2"/>
  <c r="F20" i="2"/>
  <c r="P19" i="2"/>
  <c r="O19" i="2"/>
  <c r="L19" i="2"/>
  <c r="K19" i="2"/>
  <c r="J19" i="2"/>
  <c r="I19" i="2"/>
  <c r="G19" i="2"/>
  <c r="F19" i="2"/>
  <c r="Q18" i="2"/>
  <c r="L18" i="2"/>
  <c r="K18" i="2"/>
  <c r="J18" i="2"/>
  <c r="I18" i="2"/>
  <c r="G18" i="2"/>
  <c r="Q17" i="2"/>
  <c r="P17" i="2"/>
  <c r="O17" i="2"/>
  <c r="L17" i="2"/>
  <c r="K17" i="2"/>
  <c r="J17" i="2"/>
  <c r="I17" i="2"/>
  <c r="H17" i="2"/>
  <c r="M17" i="2" s="1"/>
  <c r="N17" i="2" s="1"/>
  <c r="G17" i="2"/>
  <c r="F17" i="2"/>
  <c r="L16" i="2"/>
  <c r="K16" i="2"/>
  <c r="J16" i="2"/>
  <c r="I16" i="2"/>
  <c r="G16" i="2"/>
  <c r="P15" i="2"/>
  <c r="O15" i="2"/>
  <c r="K15" i="2"/>
  <c r="J15" i="2"/>
  <c r="H15" i="2"/>
  <c r="M15" i="2" s="1"/>
  <c r="N15" i="2" s="1"/>
  <c r="Q15" i="2" s="1"/>
  <c r="G15" i="2"/>
  <c r="F15" i="2"/>
  <c r="P14" i="2"/>
  <c r="L14" i="2"/>
  <c r="K14" i="2"/>
  <c r="J14" i="2"/>
  <c r="I14" i="2"/>
  <c r="H14" i="2"/>
  <c r="G14" i="2"/>
  <c r="F14" i="2"/>
  <c r="P13" i="2"/>
  <c r="O13" i="2"/>
  <c r="K13" i="2"/>
  <c r="H13" i="2"/>
  <c r="M13" i="2" s="1"/>
  <c r="N13" i="2" s="1"/>
  <c r="Q13" i="2" s="1"/>
  <c r="G13" i="2"/>
  <c r="F13" i="2"/>
  <c r="Q12" i="2"/>
  <c r="P12" i="2"/>
  <c r="L12" i="2"/>
  <c r="K12" i="2"/>
  <c r="J12" i="2"/>
  <c r="I12" i="2"/>
  <c r="H12" i="2"/>
  <c r="G12" i="2"/>
  <c r="F12" i="2"/>
  <c r="P11" i="2"/>
  <c r="O11" i="2"/>
  <c r="L11" i="2"/>
  <c r="K11" i="2"/>
  <c r="J11" i="2"/>
  <c r="H11" i="2"/>
  <c r="M11" i="2" s="1"/>
  <c r="N11" i="2" s="1"/>
  <c r="Q11" i="2" s="1"/>
  <c r="G11" i="2"/>
  <c r="F11" i="2"/>
  <c r="Q10" i="2"/>
  <c r="P10" i="2"/>
  <c r="L10" i="2"/>
  <c r="K10" i="2"/>
  <c r="J10" i="2"/>
  <c r="I10" i="2"/>
  <c r="H10" i="2"/>
  <c r="G10" i="2"/>
  <c r="P9" i="2"/>
  <c r="O9" i="2"/>
  <c r="M9" i="2"/>
  <c r="N9" i="2" s="1"/>
  <c r="Q9" i="2" s="1"/>
  <c r="L9" i="2"/>
  <c r="J9" i="2"/>
  <c r="I9" i="2"/>
  <c r="H9" i="2"/>
  <c r="G9" i="2"/>
  <c r="F9" i="2"/>
  <c r="P8" i="2"/>
  <c r="L8" i="2"/>
  <c r="K8" i="2"/>
  <c r="J8" i="2"/>
  <c r="I8" i="2"/>
  <c r="H8" i="2"/>
  <c r="G8" i="2"/>
  <c r="F8" i="2"/>
  <c r="P7" i="2"/>
  <c r="O7" i="2"/>
  <c r="K7" i="2"/>
  <c r="I7" i="2"/>
  <c r="H7" i="2"/>
  <c r="M7" i="2" s="1"/>
  <c r="N7" i="2" s="1"/>
  <c r="Q7" i="2" s="1"/>
  <c r="G7" i="2"/>
  <c r="F7" i="2"/>
  <c r="P6" i="2"/>
  <c r="Q6" i="2" s="1"/>
  <c r="O6" i="2"/>
  <c r="N6" i="2"/>
  <c r="L6" i="2"/>
  <c r="K6" i="2"/>
  <c r="I6" i="2"/>
  <c r="H6" i="2"/>
  <c r="G6" i="2"/>
  <c r="F6" i="2"/>
  <c r="Q5" i="2"/>
  <c r="P5" i="2"/>
  <c r="O5" i="2"/>
  <c r="L5" i="2"/>
  <c r="K5" i="2"/>
  <c r="J5" i="2"/>
  <c r="I5" i="2"/>
  <c r="G5" i="2"/>
  <c r="F5" i="2"/>
  <c r="P4" i="2"/>
  <c r="O4" i="2"/>
  <c r="K4" i="2"/>
  <c r="J4" i="2"/>
  <c r="I4" i="2"/>
  <c r="H4" i="2"/>
  <c r="G4" i="2"/>
  <c r="F4" i="2"/>
  <c r="M4" i="2" s="1"/>
  <c r="N4" i="2" s="1"/>
  <c r="Q4" i="2" s="1"/>
  <c r="P3" i="2"/>
  <c r="O3" i="2"/>
  <c r="L3" i="2"/>
  <c r="K3" i="2"/>
  <c r="J3" i="2"/>
  <c r="I3" i="2"/>
  <c r="G3" i="2"/>
  <c r="P2" i="2"/>
  <c r="O2" i="2"/>
  <c r="L2" i="2"/>
  <c r="K2" i="2"/>
  <c r="J2" i="2"/>
  <c r="I2" i="2"/>
  <c r="H2" i="2"/>
  <c r="G2" i="2"/>
  <c r="F2" i="2"/>
  <c r="M2" i="2" s="1"/>
  <c r="N2" i="2" s="1"/>
  <c r="Q2" i="2" s="1"/>
  <c r="M27" i="2" l="1"/>
  <c r="N27" i="2" s="1"/>
  <c r="Q27" i="2" s="1"/>
  <c r="M14" i="2"/>
  <c r="N14" i="2" s="1"/>
  <c r="Q14" i="2" s="1"/>
  <c r="M22" i="2"/>
  <c r="N22" i="2" s="1"/>
  <c r="Q22" i="2" s="1"/>
  <c r="M26" i="2"/>
  <c r="N26" i="2" s="1"/>
  <c r="Q26" i="2" s="1"/>
  <c r="M12" i="2"/>
  <c r="N12" i="2" s="1"/>
  <c r="M3" i="2"/>
  <c r="N3" i="2" s="1"/>
  <c r="Q3" i="2" s="1"/>
  <c r="M10" i="2"/>
  <c r="N10" i="2" s="1"/>
  <c r="M8" i="2"/>
  <c r="N8" i="2" s="1"/>
  <c r="Q8" i="2" s="1"/>
  <c r="M20" i="2"/>
  <c r="N20" i="2" s="1"/>
  <c r="M25" i="2"/>
  <c r="N25" i="2" s="1"/>
  <c r="Q25" i="2" s="1"/>
  <c r="M24" i="2"/>
  <c r="N24" i="2" s="1"/>
  <c r="Q24" i="2" s="1"/>
  <c r="Q28" i="2"/>
  <c r="M18" i="2"/>
  <c r="N18" i="2" s="1"/>
  <c r="M16" i="2"/>
  <c r="N16" i="2" s="1"/>
  <c r="Q1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800-000001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H6" authorId="0" shapeId="0" xr:uid="{00000000-0006-0000-0800-000002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G7" authorId="0" shapeId="0" xr:uid="{00000000-0006-0000-0800-000003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H7" authorId="0" shapeId="0" xr:uid="{00000000-0006-0000-0800-000004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P7" authorId="0" shapeId="0" xr:uid="{00000000-0006-0000-0800-000005000000}">
      <text>
        <r>
          <rPr>
            <sz val="11"/>
            <color rgb="FF000000"/>
            <rFont val="Calibri"/>
            <family val="2"/>
            <scheme val="minor"/>
          </rPr>
          <t>Dinámica
======</t>
        </r>
      </text>
    </comment>
    <comment ref="I10" authorId="0" shapeId="0" xr:uid="{00000000-0006-0000-0800-000006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M10" authorId="0" shapeId="0" xr:uid="{00000000-0006-0000-0800-000007000000}">
      <text>
        <r>
          <rPr>
            <sz val="11"/>
            <color rgb="FF000000"/>
            <rFont val="Calibri"/>
            <family val="2"/>
            <scheme val="minor"/>
          </rPr>
          <t>Dinámica
======</t>
        </r>
      </text>
    </comment>
    <comment ref="O10" authorId="0" shapeId="0" xr:uid="{00000000-0006-0000-0800-000008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F14" authorId="0" shapeId="0" xr:uid="{00000000-0006-0000-0800-000009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H14" authorId="0" shapeId="0" xr:uid="{00000000-0006-0000-0800-00000A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M14" authorId="0" shapeId="0" xr:uid="{00000000-0006-0000-0800-00000B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N14" authorId="0" shapeId="0" xr:uid="{00000000-0006-0000-0800-00000C000000}">
      <text>
        <r>
          <rPr>
            <sz val="11"/>
            <color rgb="FF000000"/>
            <rFont val="Calibri"/>
            <family val="2"/>
            <scheme val="minor"/>
          </rPr>
          <t>Ejercicio de clase
======</t>
        </r>
      </text>
    </comment>
    <comment ref="G15" authorId="0" shapeId="0" xr:uid="{00000000-0006-0000-0800-00000D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H15" authorId="0" shapeId="0" xr:uid="{00000000-0006-0000-0800-00000E000000}">
      <text>
        <r>
          <rPr>
            <sz val="11"/>
            <color rgb="FF000000"/>
            <rFont val="Calibri"/>
            <family val="2"/>
          </rPr>
          <t xml:space="preserve">Tarea
</t>
        </r>
        <r>
          <rPr>
            <sz val="11"/>
            <color rgb="FF000000"/>
            <rFont val="Calibri"/>
            <family val="2"/>
          </rPr>
          <t>======</t>
        </r>
      </text>
    </comment>
    <comment ref="O15" authorId="0" shapeId="0" xr:uid="{00000000-0006-0000-0800-000021000000}">
      <text>
        <r>
          <rPr>
            <sz val="11"/>
            <color rgb="FF000000"/>
            <rFont val="Calibri"/>
            <family val="2"/>
            <scheme val="minor"/>
          </rPr>
          <t>======
ID#AAABer9Tvs4
Fernando Javier Torre Mora    (2025-02-25 12:23:05)
Problemas eléctricos durante Quiz eval. cont.?</t>
        </r>
      </text>
    </comment>
    <comment ref="L16" authorId="0" shapeId="0" xr:uid="{00000000-0006-0000-0800-00000F000000}">
      <text>
        <r>
          <rPr>
            <sz val="11"/>
            <color rgb="FF000000"/>
            <rFont val="Calibri"/>
            <family val="2"/>
            <scheme val="minor"/>
          </rPr>
          <t>Ejercicio de clase
======</t>
        </r>
      </text>
    </comment>
    <comment ref="H18" authorId="0" shapeId="0" xr:uid="{00000000-0006-0000-0800-000010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F23" authorId="0" shapeId="0" xr:uid="{00000000-0006-0000-0800-000011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G23" authorId="0" shapeId="0" xr:uid="{00000000-0006-0000-0800-000012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J23" authorId="0" shapeId="0" xr:uid="{00000000-0006-0000-0800-000013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K23" authorId="0" shapeId="0" xr:uid="{00000000-0006-0000-0800-000014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M23" authorId="0" shapeId="0" xr:uid="{00000000-0006-0000-0800-000015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P23" authorId="0" shapeId="0" xr:uid="{00000000-0006-0000-0800-000016000000}">
      <text>
        <r>
          <rPr>
            <sz val="11"/>
            <color rgb="FF000000"/>
            <rFont val="Calibri"/>
            <family val="2"/>
            <scheme val="minor"/>
          </rPr>
          <t>Dinámica
======</t>
        </r>
      </text>
    </comment>
    <comment ref="G25" authorId="0" shapeId="0" xr:uid="{00000000-0006-0000-0800-000017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F26" authorId="0" shapeId="0" xr:uid="{00000000-0006-0000-0800-000018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I26" authorId="0" shapeId="0" xr:uid="{00000000-0006-0000-0800-000019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M26" authorId="0" shapeId="0" xr:uid="{00000000-0006-0000-0800-00001A000000}">
      <text>
        <r>
          <rPr>
            <sz val="11"/>
            <color rgb="FF000000"/>
            <rFont val="Calibri"/>
            <family val="2"/>
            <scheme val="minor"/>
          </rPr>
          <t>Dinámica
======</t>
        </r>
      </text>
    </comment>
    <comment ref="N26" authorId="0" shapeId="0" xr:uid="{00000000-0006-0000-0800-00001B000000}">
      <text>
        <r>
          <rPr>
            <sz val="11"/>
            <color rgb="FF000000"/>
            <rFont val="Calibri"/>
            <family val="2"/>
            <scheme val="minor"/>
          </rPr>
          <t>Dinámica
======</t>
        </r>
      </text>
    </comment>
    <comment ref="H28" authorId="0" shapeId="0" xr:uid="{00000000-0006-0000-0800-00001C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J28" authorId="0" shapeId="0" xr:uid="{00000000-0006-0000-0800-00001D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L28" authorId="0" shapeId="0" xr:uid="{00000000-0006-0000-0800-00001E000000}">
      <text>
        <r>
          <rPr>
            <sz val="11"/>
            <color rgb="FF000000"/>
            <rFont val="Calibri"/>
            <family val="2"/>
            <scheme val="minor"/>
          </rPr>
          <t>Ejercicio de clase
======</t>
        </r>
      </text>
    </comment>
    <comment ref="N28" authorId="0" shapeId="0" xr:uid="{00000000-0006-0000-0800-00001F000000}">
      <text>
        <r>
          <rPr>
            <sz val="11"/>
            <color rgb="FF000000"/>
            <rFont val="Calibri"/>
            <family val="2"/>
            <scheme val="minor"/>
          </rPr>
          <t>Ejercicio de clase
======</t>
        </r>
      </text>
    </comment>
    <comment ref="O28" authorId="0" shapeId="0" xr:uid="{00000000-0006-0000-0800-000020000000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MMjdZ/ea33t/QEv47IEzP+RrX5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8" authorId="0" shapeId="0" xr:uid="{E5F06E05-4895-6E45-B5A8-6B7CFFC78FA5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J11" authorId="0" shapeId="0" xr:uid="{EA976860-6149-1C4E-B1D9-8FDDBA24AA83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I12" authorId="0" shapeId="0" xr:uid="{8E83DC64-019A-3847-BE5D-50F7C9FBB96C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J12" authorId="0" shapeId="0" xr:uid="{F716F9BC-4D2C-B84F-8E9F-98BE760DD05D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T12" authorId="0" shapeId="0" xr:uid="{A5A840E0-3932-5748-BBA3-0A5C48BE8543}">
      <text>
        <r>
          <rPr>
            <sz val="11"/>
            <color rgb="FF000000"/>
            <rFont val="Calibri"/>
            <family val="2"/>
            <scheme val="minor"/>
          </rPr>
          <t>Dinámica
======</t>
        </r>
      </text>
    </comment>
    <comment ref="K15" authorId="0" shapeId="0" xr:uid="{3964ECC7-EFA7-FE4E-BCAB-1FAB031AE713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Q15" authorId="0" shapeId="0" xr:uid="{843BF8F3-40CE-FC47-8EB0-3E526B2D5828}">
      <text>
        <r>
          <rPr>
            <sz val="11"/>
            <color rgb="FF000000"/>
            <rFont val="Calibri"/>
            <family val="2"/>
            <scheme val="minor"/>
          </rPr>
          <t>Dinámica
======</t>
        </r>
      </text>
    </comment>
    <comment ref="S15" authorId="0" shapeId="0" xr:uid="{CD018D9D-1B5D-AA46-BAFD-0067251A6A27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H19" authorId="0" shapeId="0" xr:uid="{E4E5A782-6FE1-8948-8944-714A354CEF81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J19" authorId="0" shapeId="0" xr:uid="{ADE8F02E-A7CA-CF4A-ACA3-2145C1515295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Q19" authorId="0" shapeId="0" xr:uid="{AC0FF6FB-9B6D-D34D-8F64-52CF0D867F7D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R19" authorId="0" shapeId="0" xr:uid="{862D6CA5-6C4C-7D44-8AF2-F89B8269D485}">
      <text>
        <r>
          <rPr>
            <sz val="11"/>
            <color rgb="FF000000"/>
            <rFont val="Calibri"/>
            <family val="2"/>
            <scheme val="minor"/>
          </rPr>
          <t>Ejercicio de clase
======</t>
        </r>
      </text>
    </comment>
    <comment ref="I20" authorId="0" shapeId="0" xr:uid="{BB386614-6EEE-784E-83C4-107ECAD3569D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J20" authorId="0" shapeId="0" xr:uid="{0940F651-2726-2042-8A5A-EF5E44DBC144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S20" authorId="0" shapeId="0" xr:uid="{1E4D8FB3-ADA8-554D-9CCE-E4877BC91E66}">
      <text>
        <r>
          <rPr>
            <sz val="11"/>
            <color rgb="FF000000"/>
            <rFont val="Calibri"/>
            <family val="2"/>
            <scheme val="minor"/>
          </rPr>
          <t>======
ID#AAABer9Tvs4
Fernando Javier Torre Mora    (2025-02-25 12:23:05)
Problemas eléctricos durante Quiz eval. cont.?</t>
        </r>
      </text>
    </comment>
    <comment ref="O21" authorId="0" shapeId="0" xr:uid="{46ADBD5F-8263-074F-8E71-CB09CB8B9660}">
      <text>
        <r>
          <rPr>
            <sz val="11"/>
            <color rgb="FF000000"/>
            <rFont val="Calibri"/>
            <family val="2"/>
            <scheme val="minor"/>
          </rPr>
          <t>Ejercicio de clase
======</t>
        </r>
      </text>
    </comment>
    <comment ref="J23" authorId="0" shapeId="0" xr:uid="{C168EB99-C3D0-4C4B-9632-4C231DF9897D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H28" authorId="0" shapeId="0" xr:uid="{260FA5BE-787E-CC40-A6E2-850416D8FA2C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I28" authorId="0" shapeId="0" xr:uid="{1E85253D-58BE-2140-B80A-7C0A06565C5B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L28" authorId="0" shapeId="0" xr:uid="{6B4FEF0F-7CFF-7F41-9E24-AC1695CB5261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M28" authorId="0" shapeId="0" xr:uid="{808AB7EA-D5E0-2A4F-A97F-5B9537C001EA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Q28" authorId="0" shapeId="0" xr:uid="{945D855E-ECAE-9347-928D-063195A7E1CC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T28" authorId="0" shapeId="0" xr:uid="{1116CE8B-DEB6-6B47-8FB6-EBD5ED3B4517}">
      <text>
        <r>
          <rPr>
            <sz val="11"/>
            <color rgb="FF000000"/>
            <rFont val="Calibri"/>
            <family val="2"/>
            <scheme val="minor"/>
          </rPr>
          <t>Dinámica
======</t>
        </r>
      </text>
    </comment>
    <comment ref="I30" authorId="0" shapeId="0" xr:uid="{54502BD6-D4C4-4447-9804-6FFFB19D484D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H31" authorId="0" shapeId="0" xr:uid="{2FB92A38-3A20-0341-8FD2-A9B54FF6D455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K31" authorId="0" shapeId="0" xr:uid="{EC46B808-080C-F14C-A202-75FF1127699B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Q31" authorId="0" shapeId="0" xr:uid="{EB8DDB58-E7B2-A046-9959-32E6E59069F6}">
      <text>
        <r>
          <rPr>
            <sz val="11"/>
            <color rgb="FF000000"/>
            <rFont val="Calibri"/>
            <family val="2"/>
            <scheme val="minor"/>
          </rPr>
          <t>Dinámica
======</t>
        </r>
      </text>
    </comment>
    <comment ref="R31" authorId="0" shapeId="0" xr:uid="{EDEAC20C-9388-0142-86B5-AE43AE7D3E4A}">
      <text>
        <r>
          <rPr>
            <sz val="11"/>
            <color rgb="FF000000"/>
            <rFont val="Calibri"/>
            <family val="2"/>
            <scheme val="minor"/>
          </rPr>
          <t>Dinámica
======</t>
        </r>
      </text>
    </comment>
    <comment ref="J33" authorId="0" shapeId="0" xr:uid="{4B4A21FB-EA0B-1B47-A43C-24D6A4429405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L33" authorId="0" shapeId="0" xr:uid="{3069C28B-1839-2D47-90A5-8D023B0A4E4B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  <comment ref="O33" authorId="0" shapeId="0" xr:uid="{F741CAE5-2F99-084D-A836-C1D69A20572D}">
      <text>
        <r>
          <rPr>
            <sz val="11"/>
            <color rgb="FF000000"/>
            <rFont val="Calibri"/>
            <family val="2"/>
            <scheme val="minor"/>
          </rPr>
          <t>Ejercicio de clase
======</t>
        </r>
      </text>
    </comment>
    <comment ref="R33" authorId="0" shapeId="0" xr:uid="{700C8FF3-0005-5D4D-A162-53A4425C8CF4}">
      <text>
        <r>
          <rPr>
            <sz val="11"/>
            <color rgb="FF000000"/>
            <rFont val="Calibri"/>
            <family val="2"/>
            <scheme val="minor"/>
          </rPr>
          <t>Ejercicio de clase
======</t>
        </r>
      </text>
    </comment>
    <comment ref="S33" authorId="0" shapeId="0" xr:uid="{2F9A8713-7D9B-C941-ACDA-AECAD7E96D33}">
      <text>
        <r>
          <rPr>
            <sz val="11"/>
            <color rgb="FF000000"/>
            <rFont val="Calibri"/>
            <family val="2"/>
            <scheme val="minor"/>
          </rPr>
          <t>Tarea
======</t>
        </r>
      </text>
    </comment>
  </commentList>
</comments>
</file>

<file path=xl/sharedStrings.xml><?xml version="1.0" encoding="utf-8"?>
<sst xmlns="http://schemas.openxmlformats.org/spreadsheetml/2006/main" count="1141" uniqueCount="611">
  <si>
    <t>Profesor(a):</t>
  </si>
  <si>
    <t>Torre</t>
  </si>
  <si>
    <t>Fernando Javier</t>
  </si>
  <si>
    <t>C.I.:</t>
  </si>
  <si>
    <t>21132576</t>
  </si>
  <si>
    <t>Asignatura:</t>
  </si>
  <si>
    <t>BPTSP05</t>
  </si>
  <si>
    <t>ALGORITMOS Y PROGRAMACION</t>
  </si>
  <si>
    <t>Periodo:</t>
  </si>
  <si>
    <t>2425</t>
  </si>
  <si>
    <t>008</t>
  </si>
  <si>
    <t>Sección:</t>
  </si>
  <si>
    <t>BPTSP05-2</t>
  </si>
  <si>
    <t>ID</t>
  </si>
  <si>
    <t>CEDULA</t>
  </si>
  <si>
    <t>CARNET</t>
  </si>
  <si>
    <t>APELLIDO</t>
  </si>
  <si>
    <t>NOMBRE</t>
  </si>
  <si>
    <t>Segundo Nom</t>
  </si>
  <si>
    <t>Correo Unimet</t>
  </si>
  <si>
    <t>EMAIL_PRINC</t>
  </si>
  <si>
    <t>EMAIL_ADIC</t>
  </si>
  <si>
    <t>RQ_RT</t>
  </si>
  <si>
    <t xml:space="preserve">  1</t>
  </si>
  <si>
    <t>28410856</t>
  </si>
  <si>
    <t>20241120090</t>
  </si>
  <si>
    <t>Alfonzo</t>
  </si>
  <si>
    <t>Sebastian</t>
  </si>
  <si>
    <t>Eduardo</t>
  </si>
  <si>
    <t>sebastian.alfonzo@correo.unimet.edu.ve.</t>
  </si>
  <si>
    <t>ccsebastianalfonzo@gmail.com</t>
  </si>
  <si>
    <t>sandratiburcio19@gmail.com</t>
  </si>
  <si>
    <t xml:space="preserve">  2</t>
  </si>
  <si>
    <t>30849611</t>
  </si>
  <si>
    <t>20251110312</t>
  </si>
  <si>
    <t>Amelinckx</t>
  </si>
  <si>
    <t>Matthias</t>
  </si>
  <si>
    <t>matthias.amelinckx@correo.unimet.edu.ve.</t>
  </si>
  <si>
    <t>amelinckxmatthias@gmail.com</t>
  </si>
  <si>
    <t>aamelinckx@gmail.com</t>
  </si>
  <si>
    <t xml:space="preserve">  3</t>
  </si>
  <si>
    <t>29666935</t>
  </si>
  <si>
    <t>20221110318</t>
  </si>
  <si>
    <t>Aray</t>
  </si>
  <si>
    <t>Flavia</t>
  </si>
  <si>
    <t>Isabel</t>
  </si>
  <si>
    <t>flavia.aray@correo.unimet.edu.ve.</t>
  </si>
  <si>
    <t>farayvdb@gmail.com</t>
  </si>
  <si>
    <t>ursulaaray@hotmail.com</t>
  </si>
  <si>
    <t xml:space="preserve">  4</t>
  </si>
  <si>
    <t>30765878</t>
  </si>
  <si>
    <t>20241120058</t>
  </si>
  <si>
    <t>Blanco</t>
  </si>
  <si>
    <t>Angélica</t>
  </si>
  <si>
    <t>angelica.blanco@correo.unimet.edu.ve.</t>
  </si>
  <si>
    <t>ariangelibf2@gmail.com</t>
  </si>
  <si>
    <t>viviblanco1313@gmail.com</t>
  </si>
  <si>
    <t xml:space="preserve">  5</t>
  </si>
  <si>
    <t>32729082</t>
  </si>
  <si>
    <t>20251110441</t>
  </si>
  <si>
    <t>Brusco</t>
  </si>
  <si>
    <t>Gabriel</t>
  </si>
  <si>
    <t>Alejandro</t>
  </si>
  <si>
    <t>gabriel.brusco@correo.unimet.edu.ve.</t>
  </si>
  <si>
    <t>gabrielbrusco80@gmail.com</t>
  </si>
  <si>
    <t xml:space="preserve">  6</t>
  </si>
  <si>
    <t>31071592</t>
  </si>
  <si>
    <t>20231110091</t>
  </si>
  <si>
    <t>Callender</t>
  </si>
  <si>
    <t>Diego</t>
  </si>
  <si>
    <t>diego.callender@correo.unimet.edu.ve.</t>
  </si>
  <si>
    <t>diego.callender@correo.unimet.edu.ve</t>
  </si>
  <si>
    <t>leoncallend@hotmail.com</t>
  </si>
  <si>
    <t xml:space="preserve">  7</t>
  </si>
  <si>
    <t>32491310</t>
  </si>
  <si>
    <t>20251110101</t>
  </si>
  <si>
    <t>Casais</t>
  </si>
  <si>
    <t>Elohym</t>
  </si>
  <si>
    <t>Joham</t>
  </si>
  <si>
    <t>casais.elohym@correo.unimet.edu.ve.</t>
  </si>
  <si>
    <t>Casais.elohym@correo.unimet.edu.ve</t>
  </si>
  <si>
    <t xml:space="preserve">  8</t>
  </si>
  <si>
    <t>31988236</t>
  </si>
  <si>
    <t>20231110809</t>
  </si>
  <si>
    <t>Fiandaca</t>
  </si>
  <si>
    <t>Santiago</t>
  </si>
  <si>
    <t>De Jesús</t>
  </si>
  <si>
    <t>sfiandaca@correo.unimet.edu.ve.</t>
  </si>
  <si>
    <t>santiagofiandaca@gmail.com</t>
  </si>
  <si>
    <t>juanfiandaca@hotmail.com</t>
  </si>
  <si>
    <t xml:space="preserve">  9</t>
  </si>
  <si>
    <t>31112818</t>
  </si>
  <si>
    <t>20241110300</t>
  </si>
  <si>
    <t>Haiek</t>
  </si>
  <si>
    <t>Paola</t>
  </si>
  <si>
    <t>Marie</t>
  </si>
  <si>
    <t>paola.haiek@correo.unimet.edu.ve.</t>
  </si>
  <si>
    <t>paolahaiek@gmail.com</t>
  </si>
  <si>
    <t>mariadlpereira@hotmail.com</t>
  </si>
  <si>
    <t xml:space="preserve"> 10</t>
  </si>
  <si>
    <t>30030485</t>
  </si>
  <si>
    <t>20211110277</t>
  </si>
  <si>
    <t>Hernandez</t>
  </si>
  <si>
    <t>Andrea</t>
  </si>
  <si>
    <t>h.andrea@correo.unimet.edu.ve.</t>
  </si>
  <si>
    <t>h.andrea@correo.unimet.edu.ve</t>
  </si>
  <si>
    <t>adalbertouno@gmail.com</t>
  </si>
  <si>
    <t xml:space="preserve"> 11</t>
  </si>
  <si>
    <t>30793086</t>
  </si>
  <si>
    <t>20241110385</t>
  </si>
  <si>
    <t>Idrobo</t>
  </si>
  <si>
    <t>Jose</t>
  </si>
  <si>
    <t>Daniel</t>
  </si>
  <si>
    <t>idrobo.jose@correo.unimet.edu.ve.</t>
  </si>
  <si>
    <t>idrobojose3@gmail.com</t>
  </si>
  <si>
    <t xml:space="preserve"> 12</t>
  </si>
  <si>
    <t>32242412</t>
  </si>
  <si>
    <t>20241130210</t>
  </si>
  <si>
    <t>Kchour</t>
  </si>
  <si>
    <t>Mohamad</t>
  </si>
  <si>
    <t>Ali</t>
  </si>
  <si>
    <t>mohamad.kchour@correo.unimet.edu.ve.</t>
  </si>
  <si>
    <t>mohamd.kchour@correo.unimet.edu.ve</t>
  </si>
  <si>
    <t>alikmhf@gmail.com</t>
  </si>
  <si>
    <t xml:space="preserve"> 13</t>
  </si>
  <si>
    <t>30598031</t>
  </si>
  <si>
    <t>20241110180</t>
  </si>
  <si>
    <t>Livinaly</t>
  </si>
  <si>
    <t>Graciela</t>
  </si>
  <si>
    <t>plivinaly@correo.unimet.edu.ve.</t>
  </si>
  <si>
    <t>paolalivinaly@gmail.com</t>
  </si>
  <si>
    <t>cheladelivinaly@gmail.com</t>
  </si>
  <si>
    <t xml:space="preserve"> 14</t>
  </si>
  <si>
    <t>31852058</t>
  </si>
  <si>
    <t>20241110606</t>
  </si>
  <si>
    <t>Medina</t>
  </si>
  <si>
    <t>Laura</t>
  </si>
  <si>
    <t>Maria</t>
  </si>
  <si>
    <t>laura.medina@correo.unimet.edu.ve.</t>
  </si>
  <si>
    <t>laura.medina@correo.unimet.edu.ve</t>
  </si>
  <si>
    <t xml:space="preserve"> 15</t>
  </si>
  <si>
    <t>30114012</t>
  </si>
  <si>
    <t>20221110622</t>
  </si>
  <si>
    <t>Mercado</t>
  </si>
  <si>
    <t>flavia.mercado@correo.unimet.edu.ve.</t>
  </si>
  <si>
    <t>flaviamc2000@gmail.com</t>
  </si>
  <si>
    <t>ccalabre2000@hotmail.com</t>
  </si>
  <si>
    <t xml:space="preserve"> 16</t>
  </si>
  <si>
    <t>26954417</t>
  </si>
  <si>
    <t>20241130010</t>
  </si>
  <si>
    <t>Moya</t>
  </si>
  <si>
    <t>Angel</t>
  </si>
  <si>
    <t>angel.moya@correo.unimet.edu.ve.</t>
  </si>
  <si>
    <t>angel.moya@correo.unimet.edu.ve</t>
  </si>
  <si>
    <t>anjomova21@gmail.com</t>
  </si>
  <si>
    <t xml:space="preserve"> 17</t>
  </si>
  <si>
    <t>31448943</t>
  </si>
  <si>
    <t>20251110270</t>
  </si>
  <si>
    <t>Pamphile</t>
  </si>
  <si>
    <t>Samuel</t>
  </si>
  <si>
    <t>Abraham</t>
  </si>
  <si>
    <t>samuel.pamphile@correo.unimet.edu.ve.</t>
  </si>
  <si>
    <t>samuel.pamphile@correo.unimet.edu.ve</t>
  </si>
  <si>
    <t>crisapul@gmail.com</t>
  </si>
  <si>
    <t xml:space="preserve"> 18</t>
  </si>
  <si>
    <t>31423000</t>
  </si>
  <si>
    <t>20241110369</t>
  </si>
  <si>
    <t>Pizza</t>
  </si>
  <si>
    <t>Emmanuel</t>
  </si>
  <si>
    <t>Giuseppe</t>
  </si>
  <si>
    <t>pizzap@correo.unimet.edu.ve.</t>
  </si>
  <si>
    <t>pizzap@correo.unimet.edu.ve</t>
  </si>
  <si>
    <t>DBANTO@HOTMAIL.COM</t>
  </si>
  <si>
    <t xml:space="preserve"> 19</t>
  </si>
  <si>
    <t>31046285</t>
  </si>
  <si>
    <t>20241110648</t>
  </si>
  <si>
    <t>Rodriguez</t>
  </si>
  <si>
    <t>Rafael</t>
  </si>
  <si>
    <t>rodriguez.rafael@correo.unimet.edu.ve.</t>
  </si>
  <si>
    <t>kikerodriguezm11@gmail.com</t>
  </si>
  <si>
    <t>crismarmrodriguez@gmail.com</t>
  </si>
  <si>
    <t xml:space="preserve"> 20</t>
  </si>
  <si>
    <t>31255343</t>
  </si>
  <si>
    <t>20241110234</t>
  </si>
  <si>
    <t>Rojas</t>
  </si>
  <si>
    <t>Luciano</t>
  </si>
  <si>
    <t>Nicola</t>
  </si>
  <si>
    <t>luciano.rojas@correo.unimet.edu.ve.</t>
  </si>
  <si>
    <t>rojasmarquinaluciano4@gmail.com</t>
  </si>
  <si>
    <t>jhannymarquina@gmail.com</t>
  </si>
  <si>
    <t xml:space="preserve"> 21</t>
  </si>
  <si>
    <t>32401366</t>
  </si>
  <si>
    <t>20241130155</t>
  </si>
  <si>
    <t>Ruiz</t>
  </si>
  <si>
    <t>José</t>
  </si>
  <si>
    <t>joseruiz@correo.unimet.edu.ve.</t>
  </si>
  <si>
    <t>goyitojosearuiz06@gmail.com</t>
  </si>
  <si>
    <t>rossy_reina@hotmail.com</t>
  </si>
  <si>
    <t xml:space="preserve"> 22</t>
  </si>
  <si>
    <t>32121917</t>
  </si>
  <si>
    <t>20251110018</t>
  </si>
  <si>
    <t>Salimbeni</t>
  </si>
  <si>
    <t>César</t>
  </si>
  <si>
    <t>Alexander</t>
  </si>
  <si>
    <t>cesar.salimbeni@correo.unimet.edu.ve.</t>
  </si>
  <si>
    <t>cesar.salimbeni@correo.unimet.edu.ve</t>
  </si>
  <si>
    <t xml:space="preserve"> 23</t>
  </si>
  <si>
    <t>33921124</t>
  </si>
  <si>
    <t>20251110253</t>
  </si>
  <si>
    <t>Sanchez</t>
  </si>
  <si>
    <t>David</t>
  </si>
  <si>
    <t>d.sanchez@correo.unimet.edu.ve.</t>
  </si>
  <si>
    <t>desa0517@gmail.com</t>
  </si>
  <si>
    <t>deboraachang@gmail.com</t>
  </si>
  <si>
    <t xml:space="preserve"> 24</t>
  </si>
  <si>
    <t>31703910</t>
  </si>
  <si>
    <t>20251110347</t>
  </si>
  <si>
    <t>Saracual</t>
  </si>
  <si>
    <t>Antonio</t>
  </si>
  <si>
    <t>daniel.saracual@correo.unimet.edu.ve.</t>
  </si>
  <si>
    <t>daniel.saracual@correo.unimet.edu.ve</t>
  </si>
  <si>
    <t>rsaracual@gmail.com</t>
  </si>
  <si>
    <t xml:space="preserve"> 25</t>
  </si>
  <si>
    <t>32122110</t>
  </si>
  <si>
    <t>20251110023</t>
  </si>
  <si>
    <t>Silva</t>
  </si>
  <si>
    <t>Elva</t>
  </si>
  <si>
    <t>María</t>
  </si>
  <si>
    <t>elva.silva@correo.unimet.edu.ve.</t>
  </si>
  <si>
    <t>emsr16112007@gmail.com</t>
  </si>
  <si>
    <t>peterjsilvaf@gmail.com</t>
  </si>
  <si>
    <t xml:space="preserve"> 26</t>
  </si>
  <si>
    <t>30720123</t>
  </si>
  <si>
    <t>20241110560</t>
  </si>
  <si>
    <t>Steinmetz</t>
  </si>
  <si>
    <t>Erik</t>
  </si>
  <si>
    <t>s.erik@correo.unimet.edu.ve.</t>
  </si>
  <si>
    <t>eriksteinmetz2005@gmail.com</t>
  </si>
  <si>
    <t>alansteinmetz7@gmail.com</t>
  </si>
  <si>
    <t xml:space="preserve"> 27</t>
  </si>
  <si>
    <t>29895575</t>
  </si>
  <si>
    <t>20211120039</t>
  </si>
  <si>
    <t>Trezza</t>
  </si>
  <si>
    <t>Sofia</t>
  </si>
  <si>
    <t>Gisela</t>
  </si>
  <si>
    <t>sofia.trezza@correo.unimet.edu.ve.</t>
  </si>
  <si>
    <t>sofia.trezza@correo.unimet.edu.ve</t>
  </si>
  <si>
    <t>emiliotrezzaa@gmail.com</t>
  </si>
  <si>
    <t xml:space="preserve"> 28</t>
  </si>
  <si>
    <t>31615220</t>
  </si>
  <si>
    <t>20241110006</t>
  </si>
  <si>
    <t>Ugarte Pelayo</t>
  </si>
  <si>
    <t>Nicole</t>
  </si>
  <si>
    <t>Alejandra</t>
  </si>
  <si>
    <t>nicole.ugartepelayo@correo.unimet.edu.ve.</t>
  </si>
  <si>
    <t>nicoleugartelahoud1@gmail.com</t>
  </si>
  <si>
    <t>Alirio2002@yahoo.com</t>
  </si>
  <si>
    <t xml:space="preserve"> 29</t>
  </si>
  <si>
    <t>30022208</t>
  </si>
  <si>
    <t>20211110643</t>
  </si>
  <si>
    <t>Viñas</t>
  </si>
  <si>
    <t>gvinas@correo.unimet.edu.ve.</t>
  </si>
  <si>
    <t>gvinas@correo.unimet.edu.ve</t>
  </si>
  <si>
    <t>cvinasgl16@gmail.com</t>
  </si>
  <si>
    <t xml:space="preserve"> 30</t>
  </si>
  <si>
    <t>31963201</t>
  </si>
  <si>
    <t>20241110508</t>
  </si>
  <si>
    <t>Zerpa</t>
  </si>
  <si>
    <t>Azael</t>
  </si>
  <si>
    <t>Alonso</t>
  </si>
  <si>
    <t>azael.zerpa@correo.unimet.edu.ve.</t>
  </si>
  <si>
    <t>azael.zerpa@correo.unimet.edu.ve</t>
  </si>
  <si>
    <t>joaisasalaz@gmail.com</t>
  </si>
  <si>
    <t>Estatus</t>
  </si>
  <si>
    <t>Eval Cont</t>
  </si>
  <si>
    <t>Quiz 1</t>
  </si>
  <si>
    <t>Parcial 1</t>
  </si>
  <si>
    <t>Quiz 2</t>
  </si>
  <si>
    <t>Proyecto</t>
  </si>
  <si>
    <t>Parcial 2</t>
  </si>
  <si>
    <t>XTRA</t>
  </si>
  <si>
    <t>Total</t>
  </si>
  <si>
    <t>Escala 20</t>
  </si>
  <si>
    <t>Partic</t>
  </si>
  <si>
    <t>Tareas</t>
  </si>
  <si>
    <t>Def</t>
  </si>
  <si>
    <t>Retirado</t>
  </si>
  <si>
    <t>P1 (5.00)</t>
  </si>
  <si>
    <t>P2 (9.00)</t>
  </si>
  <si>
    <t>P3(4.00)</t>
  </si>
  <si>
    <t>P4(2.00)</t>
  </si>
  <si>
    <t>BONO (3.00)</t>
  </si>
  <si>
    <t>TOTAL (23.00)</t>
  </si>
  <si>
    <t>Funcionamiento</t>
  </si>
  <si>
    <t>Fun+Mtx+Sqr</t>
  </si>
  <si>
    <t>Sebastian Alfonzo</t>
  </si>
  <si>
    <t>Matthias Amelinckx</t>
  </si>
  <si>
    <t>Flavia Aray</t>
  </si>
  <si>
    <t>Angelica Blanco</t>
  </si>
  <si>
    <t>Gabriel Brusco</t>
  </si>
  <si>
    <t>Diego Callender</t>
  </si>
  <si>
    <t>Elohym Casais***</t>
  </si>
  <si>
    <t>Santiago Fiandaca</t>
  </si>
  <si>
    <t>Paola Haiek</t>
  </si>
  <si>
    <t>Adrea Hernández</t>
  </si>
  <si>
    <t>Mohamad Kchour</t>
  </si>
  <si>
    <t>Paola Livinaly</t>
  </si>
  <si>
    <t>Laura Medina***</t>
  </si>
  <si>
    <t>Flavia Mercado</t>
  </si>
  <si>
    <t>Samuel Pamphile</t>
  </si>
  <si>
    <t>Emmanuel Pizza</t>
  </si>
  <si>
    <t>Luciano Rojas</t>
  </si>
  <si>
    <t>Jose Ruiz</t>
  </si>
  <si>
    <t>Cesar Salimbeni</t>
  </si>
  <si>
    <t>David Sanchéz</t>
  </si>
  <si>
    <t>Daniel Sacarual</t>
  </si>
  <si>
    <t>Elva Silva</t>
  </si>
  <si>
    <t>Erik Steinmetz</t>
  </si>
  <si>
    <t>Sofia Trezza</t>
  </si>
  <si>
    <t>Gabriel Viñas</t>
  </si>
  <si>
    <t>Azael Zerpa</t>
  </si>
  <si>
    <t>V/F</t>
  </si>
  <si>
    <t>Selec</t>
  </si>
  <si>
    <t>Complet</t>
  </si>
  <si>
    <t>Desarrollo</t>
  </si>
  <si>
    <t>José Alejandro</t>
  </si>
  <si>
    <t>Ejercicio (20.00)</t>
  </si>
  <si>
    <t>Clases (6)</t>
  </si>
  <si>
    <t>Carga de info (4)</t>
  </si>
  <si>
    <t>Transferencias (3)</t>
  </si>
  <si>
    <t>Ver (3)</t>
  </si>
  <si>
    <t>Menú (1)</t>
  </si>
  <si>
    <t>Robustez (1)</t>
  </si>
  <si>
    <t>Est (2)</t>
  </si>
  <si>
    <t>Est 1 (1.5)</t>
  </si>
  <si>
    <t>Registro (1.5)</t>
  </si>
  <si>
    <t>Elohym Casais</t>
  </si>
  <si>
    <t>Laura Medina</t>
  </si>
  <si>
    <t>Cédula</t>
  </si>
  <si>
    <t>Nombre</t>
  </si>
  <si>
    <t>E.Error</t>
  </si>
  <si>
    <t>Paola Liviani</t>
  </si>
  <si>
    <t>César Salimbeni</t>
  </si>
  <si>
    <t>David Sánchez</t>
  </si>
  <si>
    <t>Daniel Saracual</t>
  </si>
  <si>
    <t>Andrea Hernández</t>
  </si>
  <si>
    <t>José Ruiz</t>
  </si>
  <si>
    <t>Defensa</t>
  </si>
  <si>
    <t>Módulo 1: reactivos</t>
  </si>
  <si>
    <t>Módulo 2: experimentos</t>
  </si>
  <si>
    <t>Módulo 3: resultados</t>
  </si>
  <si>
    <t>Módulo 4: Estadísticas</t>
  </si>
  <si>
    <t>Uso API</t>
  </si>
  <si>
    <t>Archivos</t>
  </si>
  <si>
    <t>Apellido</t>
  </si>
  <si>
    <t>Ord.
 Entrega</t>
  </si>
  <si>
    <t>Ord.
 Defensa</t>
  </si>
  <si>
    <t>Expo-sicion</t>
  </si>
  <si>
    <t>Pregunta Prof</t>
  </si>
  <si>
    <t>Preg. de público</t>
  </si>
  <si>
    <t>Preg. a Compañero</t>
  </si>
  <si>
    <t>Diagra-ma</t>
  </si>
  <si>
    <t>Reagent Code</t>
  </si>
  <si>
    <t>Reagent Exec</t>
  </si>
  <si>
    <t>Reagent Bonus</t>
  </si>
  <si>
    <t>Exprmt. Code</t>
  </si>
  <si>
    <t>Exprmt. Exec</t>
  </si>
  <si>
    <t>Exprmt. Bonus</t>
  </si>
  <si>
    <t>Result Code</t>
  </si>
  <si>
    <t>Result Exec</t>
  </si>
  <si>
    <t>Result Bonus</t>
  </si>
  <si>
    <t>Stat Code</t>
  </si>
  <si>
    <t>Stat Exec</t>
  </si>
  <si>
    <t>Stat Bonus</t>
  </si>
  <si>
    <t>API Code</t>
  </si>
  <si>
    <t>API exec</t>
  </si>
  <si>
    <t>File Mgmt</t>
  </si>
  <si>
    <t>File struc</t>
  </si>
  <si>
    <t>0.0/0.5</t>
  </si>
  <si>
    <t>0.5/0.5</t>
  </si>
  <si>
    <t>0.75/1</t>
  </si>
  <si>
    <t>0.5/1</t>
  </si>
  <si>
    <t>0/2</t>
  </si>
  <si>
    <t>0.25/1</t>
  </si>
  <si>
    <t>0/1</t>
  </si>
  <si>
    <t>Quiz 1 de EvaluaciÃ³n Continua - IntroducciÃ³n (52110139)</t>
  </si>
  <si>
    <t>Quiz 2 de EvaluaciÃ³n Continua - Operaciones (52110120)</t>
  </si>
  <si>
    <t>Quiz 3 de EvaluaciÃ³n Continua - Condicionales (52110140)</t>
  </si>
  <si>
    <t>Quiz 4 de EvaluaciÃ³n continua - Bucles (52110129)</t>
  </si>
  <si>
    <t>Quiz 5 de EvaluaciÃ³n continua - Listas (52110132)</t>
  </si>
  <si>
    <t>Quiz 6 de EvaluaciÃ³n Continua - diccionarios (52110122)</t>
  </si>
  <si>
    <t>Quiz 7 de EvaluaciÃ³n Continua - Funciones (52110136)</t>
  </si>
  <si>
    <t>Quiz 8 de EvaluaciÃ³n Continua - ProgramaciÃ³n Orientada a Objetos (52110123)</t>
  </si>
  <si>
    <t>Quiz 9 de EvaluaciÃ³n Continua - Herencia (52110124)</t>
  </si>
  <si>
    <t>Quiz 10 de EvaluaciÃ³n Continua - Diagrama de Clases (52110128)</t>
  </si>
  <si>
    <t>Quiz 11 de EvaluaciÃ³n Continua - APIs y Archivos (52110138)</t>
  </si>
  <si>
    <t>Quiz 13 de EvaluaciÃ³n ContÃ­nua - Recursividad (52110127)</t>
  </si>
  <si>
    <t>Quiz 14 de EvaluaciÃ³n ContÃ­nua - Ordenamiento (52110126)</t>
  </si>
  <si>
    <t>Quiz 15 de EvaluaciÃ³n ContÃ­nua - Complejidad (52110133)</t>
  </si>
  <si>
    <t>Acum</t>
  </si>
  <si>
    <t>sebastian.alfonzo@correo.unimet.edu.ve</t>
  </si>
  <si>
    <t>Alfonzo. Sebastian</t>
  </si>
  <si>
    <t>matthias.amelinckx@correo.unimet.edu.ve</t>
  </si>
  <si>
    <t>Amelinckx. Matthias</t>
  </si>
  <si>
    <t>flavia.aray@correo.unimet.edu.ve</t>
  </si>
  <si>
    <t>Aray. Flavia</t>
  </si>
  <si>
    <t>angelica.blanco@correo.unimet.edu.ve</t>
  </si>
  <si>
    <t>Blanco. AngÃ©lica</t>
  </si>
  <si>
    <t>gabriel.brusco@correo.unimet.edu.ve</t>
  </si>
  <si>
    <t>Brusco. Gabriel</t>
  </si>
  <si>
    <t>casais.elohym@correo.unimet.edu.ve</t>
  </si>
  <si>
    <t>Casais. Elohym</t>
  </si>
  <si>
    <t>Diego. Callender</t>
  </si>
  <si>
    <t>sfiandaca@correo.unimet.edu.ve</t>
  </si>
  <si>
    <t>Fiandaca. Santiago</t>
  </si>
  <si>
    <t>flavia.mercado@correo.unimet.edu.ve</t>
  </si>
  <si>
    <t>Flavia. Mercado</t>
  </si>
  <si>
    <t>paola.haiek@correo.unimet.edu.ve</t>
  </si>
  <si>
    <t>Haiek. Paola</t>
  </si>
  <si>
    <t>HernÃ¡ndez. Andrea</t>
  </si>
  <si>
    <t>idrobo.jose@correo.unimet.edu.ve</t>
  </si>
  <si>
    <t>Idrobo. Jose</t>
  </si>
  <si>
    <t>mohamad.kchour@correo.unimet.edu.ve</t>
  </si>
  <si>
    <t>Kchour. Mohamad</t>
  </si>
  <si>
    <t>plivinaly@correo.unimet.edu.ve</t>
  </si>
  <si>
    <t>Livinaly. Paola</t>
  </si>
  <si>
    <t>Medina. Laura</t>
  </si>
  <si>
    <t>Moya. Angel</t>
  </si>
  <si>
    <t>Pamphile. Samuel</t>
  </si>
  <si>
    <t>Pizza. Emmanuel</t>
  </si>
  <si>
    <t>rodriguez.rafael@correo.unimet.edu.ve</t>
  </si>
  <si>
    <t>Rodriguez. Rafael</t>
  </si>
  <si>
    <t>luciano.rojas@correo.unimet.edu.ve</t>
  </si>
  <si>
    <t>Rojas. Luciano</t>
  </si>
  <si>
    <t>joseruiz@correo.unimet.edu.ve</t>
  </si>
  <si>
    <t>Ruiz. JosÃ©</t>
  </si>
  <si>
    <t>Salimbeni. CÃ©sar</t>
  </si>
  <si>
    <t>d.sanchez@correo.unimet.edu.ve</t>
  </si>
  <si>
    <t>Sanchez. David</t>
  </si>
  <si>
    <t>Saracual. Daniel</t>
  </si>
  <si>
    <t>elva.silva@correo.unimet.edu.ve</t>
  </si>
  <si>
    <t>Silva. Elva</t>
  </si>
  <si>
    <t>s.erik@correo.unimet.edu.ve</t>
  </si>
  <si>
    <t>Steinmetz. Erik</t>
  </si>
  <si>
    <t>Trezza. Sofia</t>
  </si>
  <si>
    <t>nicole.ugartepelayo@correo.unimet.edu.ve</t>
  </si>
  <si>
    <t>Ugarte-Pelayo. Nicole</t>
  </si>
  <si>
    <t>ViÃ±as. Gabriel</t>
  </si>
  <si>
    <t>Zerpa. Azael</t>
  </si>
  <si>
    <t>CI</t>
  </si>
  <si>
    <t>Nombre de Pila</t>
  </si>
  <si>
    <t>Nombre y apellido</t>
  </si>
  <si>
    <t>TOTAL</t>
  </si>
  <si>
    <t>Tarea 1: GitHub (52110170)</t>
  </si>
  <si>
    <t>Tarea 2: Arepas DinÃ¡micas (52110169)</t>
  </si>
  <si>
    <t>Tarea 3: Perfil de usuario (52110171)</t>
  </si>
  <si>
    <t>Tarea 4: AÃ±o Bisiesto (52110172)</t>
  </si>
  <si>
    <t>Tarea 5: Â¡Batalla! (juego de cartas) (52110173)</t>
  </si>
  <si>
    <t>Tarea 6: Batalla pokÃ©mon (52110174)</t>
  </si>
  <si>
    <t>Tarea 7: Batalla PokÃ©mon con Funciones (52110175)</t>
  </si>
  <si>
    <t>Tarea 8: Registro de vehÃ­culos (52110176)</t>
  </si>
  <si>
    <t>Tarea 9: Marcar tarjeta (52110177)</t>
  </si>
  <si>
    <t>Tarea 10: Diagrama de Clases (52110162)</t>
  </si>
  <si>
    <t>Tarea 11: PokÃ©dex (52110163)</t>
  </si>
  <si>
    <t>Tarea 13: RecursiÃ³n (52110165)</t>
  </si>
  <si>
    <t>Tarea 14: Algoritmos de Ordenamiento (52110166)</t>
  </si>
  <si>
    <t>Tarea 15: Complejidad (52110168)</t>
  </si>
  <si>
    <t>Código Naranja 2425-2</t>
  </si>
  <si>
    <t/>
  </si>
  <si>
    <t>01</t>
  </si>
  <si>
    <t>Ejercicio #1</t>
  </si>
  <si>
    <t>Ejercicio #2</t>
  </si>
  <si>
    <t>Ejercicio #3</t>
  </si>
  <si>
    <t>Ejercicio #4</t>
  </si>
  <si>
    <t>Ejercicio #5</t>
  </si>
  <si>
    <t>Ejercicio #6</t>
  </si>
  <si>
    <t>Ejercicio #8</t>
  </si>
  <si>
    <t>RPC 02</t>
  </si>
  <si>
    <t>Media de la clase</t>
  </si>
  <si>
    <t>TOTAL NARANJA</t>
  </si>
  <si>
    <t>Total pts de 100</t>
  </si>
  <si>
    <t>Marcano</t>
  </si>
  <si>
    <t>marcano.alejandro@correo.unimet.edu.ve</t>
  </si>
  <si>
    <t>Leon</t>
  </si>
  <si>
    <t>Alexia</t>
  </si>
  <si>
    <t>a.leon2020@correo.unimet.edu.ve</t>
  </si>
  <si>
    <t>Tucci</t>
  </si>
  <si>
    <t>Andres</t>
  </si>
  <si>
    <t>atucci@correo.unimet.edu.ve</t>
  </si>
  <si>
    <t>Atencio</t>
  </si>
  <si>
    <t>Cesar</t>
  </si>
  <si>
    <t>c.atencio@correo.unimet.edu.ve</t>
  </si>
  <si>
    <t>Pacheco</t>
  </si>
  <si>
    <t>Daniela</t>
  </si>
  <si>
    <t>danipacheco@correo.unimet.edu.ve</t>
  </si>
  <si>
    <t>Arreaza</t>
  </si>
  <si>
    <t>diego.arreaza@correo.unimet.edu.ve</t>
  </si>
  <si>
    <t>Baron</t>
  </si>
  <si>
    <t>baronb@correo.unimet.edu.ve</t>
  </si>
  <si>
    <t>di.dejesus@correo.unimet.edu.ve</t>
  </si>
  <si>
    <t>Jimenez</t>
  </si>
  <si>
    <t>gabriel.jimenez@correo.unimet.edu.ve</t>
  </si>
  <si>
    <t>Costa</t>
  </si>
  <si>
    <t>Gabriela</t>
  </si>
  <si>
    <t>gcosta@correo.unimet.edu.ve</t>
  </si>
  <si>
    <t>Mongiello</t>
  </si>
  <si>
    <t>Gianfranco</t>
  </si>
  <si>
    <t>gianfranco.mongiello@correo.unimet.edu.ve</t>
  </si>
  <si>
    <t>Bazzi</t>
  </si>
  <si>
    <t>Haidar</t>
  </si>
  <si>
    <t>bazzi.haidar@correo.unimet.edu.ve</t>
  </si>
  <si>
    <t>Perez</t>
  </si>
  <si>
    <t>Henmary</t>
  </si>
  <si>
    <t>henmary.perez@correo.unimet.edu.ve</t>
  </si>
  <si>
    <t>Ildemar</t>
  </si>
  <si>
    <t>ildemar.perez@correo.unimet.edu.ve</t>
  </si>
  <si>
    <t>Charco</t>
  </si>
  <si>
    <t>Isaac</t>
  </si>
  <si>
    <t>i.charco@correo.unimet.edu.ve</t>
  </si>
  <si>
    <t>Viana</t>
  </si>
  <si>
    <t>jose.viana@correo.unimet.edu.ve</t>
  </si>
  <si>
    <t>Moreno</t>
  </si>
  <si>
    <t>Joseph</t>
  </si>
  <si>
    <t>jo.moreno@correo.unimet.edu.ve</t>
  </si>
  <si>
    <t>Moreira</t>
  </si>
  <si>
    <t>Juan</t>
  </si>
  <si>
    <t>j.moreira@correo.unimet.edu.ve</t>
  </si>
  <si>
    <t>Hurtado</t>
  </si>
  <si>
    <t>Kelvin</t>
  </si>
  <si>
    <t>h.kelvin@correo.unimet.edu.ve</t>
  </si>
  <si>
    <t>Roa</t>
  </si>
  <si>
    <t>Leopoldo</t>
  </si>
  <si>
    <t>roa-leopoldo@correo.unimet.edu.ve</t>
  </si>
  <si>
    <t>Ugas</t>
  </si>
  <si>
    <t>Liz</t>
  </si>
  <si>
    <t>liz.ugas@correo.unimet.edu.ve</t>
  </si>
  <si>
    <t>Velasquez</t>
  </si>
  <si>
    <t>Luis</t>
  </si>
  <si>
    <t>velasquez.luis@correo.unimet.edu.ve</t>
  </si>
  <si>
    <t>Lovera</t>
  </si>
  <si>
    <t>Luis Mariano</t>
  </si>
  <si>
    <t>l.lovera@correo.unimet.edu.ve</t>
  </si>
  <si>
    <t>Junco</t>
  </si>
  <si>
    <t>Luriannys</t>
  </si>
  <si>
    <t>ljunco@correo.unimet.edu.ve</t>
  </si>
  <si>
    <t>Almonte</t>
  </si>
  <si>
    <t>maria.almonte@correo.unimet.edu.ve</t>
  </si>
  <si>
    <t>Araque</t>
  </si>
  <si>
    <t>maria.araque@correo.unimet.edu.ve</t>
  </si>
  <si>
    <t>Graffe</t>
  </si>
  <si>
    <t>m.graffe@correo.unimet.edu.ve</t>
  </si>
  <si>
    <t>Mujica</t>
  </si>
  <si>
    <t>Maximo</t>
  </si>
  <si>
    <t>m.maximo@correo.unimet.edu.ve</t>
  </si>
  <si>
    <t>Maiz</t>
  </si>
  <si>
    <t>Miguelangel</t>
  </si>
  <si>
    <t>miguelangel.maiz@correo.unimet.edu.ve</t>
  </si>
  <si>
    <t>Demian</t>
  </si>
  <si>
    <t>Naim</t>
  </si>
  <si>
    <t>naim.demian@correo.unimet.edu.ve</t>
  </si>
  <si>
    <t>Valtetsiotis</t>
  </si>
  <si>
    <t>Nikos</t>
  </si>
  <si>
    <t>nvaltetsiotis@correo.unimet.edu.ve</t>
  </si>
  <si>
    <t>Valdez</t>
  </si>
  <si>
    <t>pvaldez@correo.unimet.edu.ve</t>
  </si>
  <si>
    <t>Marquez</t>
  </si>
  <si>
    <t>Roxana</t>
  </si>
  <si>
    <t>roxana.marquez@correo.unimet.edu.ve</t>
  </si>
  <si>
    <t>Cedeno</t>
  </si>
  <si>
    <t>samuel.cedeno@correo.unimet.edu.ve</t>
  </si>
  <si>
    <t>Atacho</t>
  </si>
  <si>
    <t>satacho@correo.unimet.edu.ve</t>
  </si>
  <si>
    <t>GomezCornejo</t>
  </si>
  <si>
    <t>s.gomezcornejo@correo.unimet.edu.ve</t>
  </si>
  <si>
    <t>Quijada</t>
  </si>
  <si>
    <t>sebastian.quijada@correo.unimet.edu.ve</t>
  </si>
  <si>
    <t>Boschetti</t>
  </si>
  <si>
    <t>Stefano</t>
  </si>
  <si>
    <t>stefano.boschetti@correo.unimet.edu.ve</t>
  </si>
  <si>
    <t>Giron</t>
  </si>
  <si>
    <t>Veronica</t>
  </si>
  <si>
    <t>veronica.giron@correo.unimet.edu.ve</t>
  </si>
  <si>
    <t>Luna</t>
  </si>
  <si>
    <t>Verónica</t>
  </si>
  <si>
    <t>veronica.luna@correo.unimet.edu.ve</t>
  </si>
  <si>
    <t>Victoria</t>
  </si>
  <si>
    <t>h.victoria@correo.unimet.edu.ve</t>
  </si>
  <si>
    <r>
      <rPr>
        <b/>
        <sz val="11"/>
        <rFont val="Calibri"/>
        <family val="2"/>
      </rPr>
      <t>Materia:</t>
    </r>
  </si>
  <si>
    <r>
      <rPr>
        <b/>
        <sz val="11"/>
        <rFont val="Calibri"/>
        <family val="2"/>
      </rPr>
      <t>Trimestre:</t>
    </r>
  </si>
  <si>
    <r>
      <rPr>
        <b/>
        <sz val="11"/>
        <rFont val="Calibri"/>
        <family val="2"/>
      </rPr>
      <t>Sección:</t>
    </r>
  </si>
  <si>
    <r>
      <rPr>
        <b/>
        <sz val="11"/>
        <rFont val="Calibri"/>
        <family val="2"/>
      </rPr>
      <t>numero_lista</t>
    </r>
  </si>
  <si>
    <r>
      <rPr>
        <b/>
        <sz val="11"/>
        <rFont val="Calibri"/>
        <family val="2"/>
      </rPr>
      <t>nombre</t>
    </r>
  </si>
  <si>
    <r>
      <rPr>
        <b/>
        <sz val="11"/>
        <rFont val="Calibri"/>
        <family val="2"/>
      </rPr>
      <t>apellido</t>
    </r>
  </si>
  <si>
    <r>
      <rPr>
        <b/>
        <sz val="11"/>
        <rFont val="Calibri"/>
        <family val="2"/>
      </rPr>
      <t>cedula</t>
    </r>
  </si>
  <si>
    <r>
      <rPr>
        <b/>
        <sz val="11"/>
        <rFont val="Calibri"/>
        <family val="2"/>
      </rPr>
      <t>Semana 1</t>
    </r>
  </si>
  <si>
    <r>
      <rPr>
        <b/>
        <sz val="11"/>
        <rFont val="Calibri"/>
        <family val="2"/>
      </rPr>
      <t>Semana 2</t>
    </r>
  </si>
  <si>
    <r>
      <rPr>
        <b/>
        <sz val="11"/>
        <rFont val="Calibri"/>
        <family val="2"/>
      </rPr>
      <t>Semana 3</t>
    </r>
  </si>
  <si>
    <r>
      <rPr>
        <b/>
        <sz val="11"/>
        <rFont val="Calibri"/>
        <family val="2"/>
      </rPr>
      <t>Semana 4</t>
    </r>
  </si>
  <si>
    <r>
      <rPr>
        <b/>
        <sz val="11"/>
        <rFont val="Calibri"/>
        <family val="2"/>
      </rPr>
      <t>Semana 5</t>
    </r>
  </si>
  <si>
    <r>
      <rPr>
        <b/>
        <sz val="11"/>
        <rFont val="Calibri"/>
        <family val="2"/>
      </rPr>
      <t>Semana 6</t>
    </r>
  </si>
  <si>
    <r>
      <rPr>
        <b/>
        <sz val="11"/>
        <rFont val="Calibri"/>
        <family val="2"/>
      </rPr>
      <t>Semana 7</t>
    </r>
  </si>
  <si>
    <r>
      <rPr>
        <b/>
        <sz val="11"/>
        <rFont val="Calibri"/>
        <family val="2"/>
      </rPr>
      <t>Semana 8</t>
    </r>
  </si>
  <si>
    <r>
      <rPr>
        <b/>
        <sz val="11"/>
        <rFont val="Calibri"/>
        <family val="2"/>
      </rPr>
      <t>Semana 9</t>
    </r>
  </si>
  <si>
    <r>
      <rPr>
        <b/>
        <sz val="11"/>
        <rFont val="Calibri"/>
        <family val="2"/>
      </rPr>
      <t>Semana 10</t>
    </r>
  </si>
  <si>
    <r>
      <rPr>
        <b/>
        <sz val="11"/>
        <rFont val="Calibri"/>
        <family val="2"/>
      </rPr>
      <t>Semana 11</t>
    </r>
  </si>
  <si>
    <r>
      <rPr>
        <b/>
        <sz val="11"/>
        <rFont val="Calibri"/>
        <family val="2"/>
      </rPr>
      <t>Semana 12</t>
    </r>
  </si>
  <si>
    <t>martes</t>
  </si>
  <si>
    <t>jueves</t>
  </si>
  <si>
    <t>carnet</t>
  </si>
  <si>
    <t>Algoritmos y Programación</t>
  </si>
  <si>
    <t>2425-2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</si>
</sst>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0.0&quot;/20&quot;"/>
    <numFmt numFmtId="165" formatCode="0.00&quot;/10&quot;"/>
    <numFmt numFmtId="166" formatCode="0&quot;/20&quot;"/>
    <numFmt numFmtId="167" formatCode="0.0&quot;/10&quot;"/>
    <numFmt numFmtId="168" formatCode="0.0&quot;/100&quot;"/>
    <numFmt numFmtId="169" formatCode="m/d"/>
    <numFmt numFmtId="170" formatCode="d\ mmm"/>
    <numFmt numFmtId="171" formatCode="#0.0#%"/>
    <numFmt numFmtId="172" formatCode="0.0#"/>
    <numFmt numFmtId="173" formatCode="0&quot;/10&quot;"/>
  </numFmts>
  <fonts count="33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2"/>
      <color rgb="FF212529"/>
      <name val="Quattrocento Sans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1155CC"/>
      <name val="Calibri"/>
      <family val="2"/>
      <scheme val="minor"/>
    </font>
    <font>
      <b/>
      <sz val="11"/>
      <color rgb="FF000000"/>
      <name val="Rubik"/>
    </font>
    <font>
      <sz val="11"/>
      <name val="Calibri"/>
      <family val="2"/>
    </font>
    <font>
      <sz val="8"/>
      <color rgb="FF000000"/>
      <name val="Rubik"/>
    </font>
    <font>
      <sz val="11"/>
      <color rgb="FF000000"/>
      <name val="Rubik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Rubik"/>
    </font>
    <font>
      <sz val="8"/>
      <color theme="1"/>
      <name val="Rubik"/>
    </font>
    <font>
      <sz val="11"/>
      <color theme="1"/>
      <name val="Verdana"/>
      <family val="2"/>
    </font>
    <font>
      <sz val="11"/>
      <color theme="1"/>
      <name val="Rubik"/>
    </font>
    <font>
      <b/>
      <sz val="11"/>
      <color theme="1"/>
      <name val="Rubik"/>
    </font>
    <font>
      <sz val="11"/>
      <color rgb="FF000000"/>
      <name val="&quot;Aptos Narrow&quot;"/>
    </font>
    <font>
      <b/>
      <sz val="11"/>
      <color rgb="FFFF0000"/>
      <name val="Calibri"/>
      <family val="2"/>
    </font>
    <font>
      <b/>
      <sz val="14"/>
      <color rgb="FFFFFFFF"/>
      <name val="Roboto"/>
    </font>
    <font>
      <sz val="14"/>
      <color rgb="FFFFFFFF"/>
      <name val="Roboto"/>
    </font>
    <font>
      <b/>
      <sz val="11"/>
      <color rgb="FFFFFFFF"/>
      <name val="Roboto"/>
    </font>
    <font>
      <u/>
      <sz val="11"/>
      <color rgb="FFFFFFFF"/>
      <name val="Arial"/>
      <family val="2"/>
    </font>
    <font>
      <sz val="11"/>
      <color rgb="FFFFFFFF"/>
      <name val="Roboto"/>
    </font>
    <font>
      <b/>
      <sz val="11"/>
      <color theme="1"/>
      <name val="Roboto"/>
    </font>
    <font>
      <sz val="11"/>
      <color rgb="FF808080"/>
      <name val="Roboto"/>
    </font>
    <font>
      <sz val="11"/>
      <color theme="1"/>
      <name val="Roboto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FE59A"/>
        <bgColor rgb="FFFFE59A"/>
      </patternFill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  <fill>
      <patternFill patternType="solid">
        <fgColor rgb="FFED7D31"/>
        <bgColor rgb="FFED7D31"/>
      </patternFill>
    </fill>
    <fill>
      <patternFill patternType="solid">
        <fgColor rgb="FFFCE4D6"/>
        <bgColor rgb="FFFCE4D6"/>
      </patternFill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  <fill>
      <patternFill patternType="solid">
        <fgColor rgb="FFF4B084"/>
        <bgColor rgb="FFF4B084"/>
      </patternFill>
    </fill>
    <fill>
      <patternFill patternType="solid">
        <fgColor rgb="FFFFE699"/>
        <bgColor rgb="FFFFE699"/>
      </patternFill>
    </fill>
    <fill>
      <patternFill patternType="solid">
        <fgColor rgb="FFDAF2D0"/>
        <bgColor rgb="FFDAF2D0"/>
      </patternFill>
    </fill>
    <fill>
      <patternFill patternType="solid">
        <fgColor rgb="FFFFFF00"/>
        <bgColor rgb="FFFFFF00"/>
      </patternFill>
    </fill>
    <fill>
      <patternFill patternType="solid">
        <fgColor rgb="FFE8710A"/>
        <bgColor rgb="FFE8710A"/>
      </patternFill>
    </fill>
    <fill>
      <patternFill patternType="solid">
        <fgColor rgb="FF434343"/>
        <bgColor rgb="FF434343"/>
      </patternFill>
    </fill>
    <fill>
      <patternFill patternType="solid">
        <fgColor rgb="FFEEEEEE"/>
        <bgColor rgb="FFEEEEEE"/>
      </patternFill>
    </fill>
    <fill>
      <patternFill patternType="solid">
        <fgColor rgb="FFFCE5CD"/>
        <bgColor rgb="FFFCE5CD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3F3F3"/>
        <bgColor rgb="FFF3F3F3"/>
      </patternFill>
    </fill>
  </fills>
  <borders count="49"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FFC93D"/>
      </right>
      <top style="thin">
        <color rgb="FFFFC93D"/>
      </top>
      <bottom/>
      <diagonal/>
    </border>
    <border>
      <left/>
      <right style="thin">
        <color rgb="FF000000"/>
      </right>
      <top style="thin">
        <color rgb="FFFFC93D"/>
      </top>
      <bottom/>
      <diagonal/>
    </border>
    <border>
      <left/>
      <right/>
      <top style="thin">
        <color rgb="FFFFC93D"/>
      </top>
      <bottom/>
      <diagonal/>
    </border>
    <border>
      <left/>
      <right style="thin">
        <color rgb="FFFFC93D"/>
      </right>
      <top/>
      <bottom style="thin">
        <color rgb="FFFFC93D"/>
      </bottom>
      <diagonal/>
    </border>
    <border>
      <left/>
      <right style="thin">
        <color rgb="FF000000"/>
      </right>
      <top/>
      <bottom style="thin">
        <color rgb="FFFFC93D"/>
      </bottom>
      <diagonal/>
    </border>
    <border>
      <left/>
      <right/>
      <top/>
      <bottom style="thin">
        <color rgb="FFFFC93D"/>
      </bottom>
      <diagonal/>
    </border>
    <border>
      <left style="thin">
        <color rgb="FFF4B084"/>
      </left>
      <right/>
      <top style="thin">
        <color rgb="FFF4B084"/>
      </top>
      <bottom style="thin">
        <color rgb="FFF4B084"/>
      </bottom>
      <diagonal/>
    </border>
    <border>
      <left/>
      <right/>
      <top style="thin">
        <color rgb="FFF4B084"/>
      </top>
      <bottom style="thin">
        <color rgb="FFF4B084"/>
      </bottom>
      <diagonal/>
    </border>
    <border>
      <left/>
      <right style="thin">
        <color rgb="FFF4B084"/>
      </right>
      <top style="thin">
        <color rgb="FFF4B084"/>
      </top>
      <bottom style="thin">
        <color rgb="FFF4B084"/>
      </bottom>
      <diagonal/>
    </border>
    <border>
      <left style="thin">
        <color rgb="FFF4B084"/>
      </left>
      <right/>
      <top style="thin">
        <color rgb="FF9BC2E6"/>
      </top>
      <bottom style="thin">
        <color rgb="FFF4B084"/>
      </bottom>
      <diagonal/>
    </border>
    <border>
      <left/>
      <right/>
      <top style="thin">
        <color rgb="FF9BC2E6"/>
      </top>
      <bottom style="thin">
        <color rgb="FFF4B084"/>
      </bottom>
      <diagonal/>
    </border>
    <border>
      <left style="thin">
        <color rgb="FFF4B084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F4B084"/>
      </top>
      <bottom style="thin">
        <color rgb="FF9BC2E6"/>
      </bottom>
      <diagonal/>
    </border>
    <border>
      <left/>
      <right style="thin">
        <color rgb="FF4285F4"/>
      </right>
      <top style="thin">
        <color rgb="FF3C78D8"/>
      </top>
      <bottom/>
      <diagonal/>
    </border>
    <border>
      <left/>
      <right/>
      <top style="thin">
        <color rgb="FF3C78D8"/>
      </top>
      <bottom style="thick">
        <color rgb="FF3C78D8"/>
      </bottom>
      <diagonal/>
    </border>
    <border>
      <left/>
      <right style="thin">
        <color rgb="FFFFC93D"/>
      </right>
      <top style="thin">
        <color rgb="FF3C78D8"/>
      </top>
      <bottom style="thick">
        <color rgb="FF3C78D8"/>
      </bottom>
      <diagonal/>
    </border>
    <border>
      <left style="thin">
        <color rgb="FF4285F4"/>
      </left>
      <right/>
      <top style="thin">
        <color rgb="FF3C78D8"/>
      </top>
      <bottom style="thick">
        <color rgb="FF3C78D8"/>
      </bottom>
      <diagonal/>
    </border>
    <border>
      <left/>
      <right style="thin">
        <color rgb="FF4285F4"/>
      </right>
      <top style="thin">
        <color rgb="FF3C78D8"/>
      </top>
      <bottom style="thick">
        <color rgb="FF3C78D8"/>
      </bottom>
      <diagonal/>
    </border>
    <border>
      <left style="thin">
        <color rgb="FF4285F4"/>
      </left>
      <right style="thin">
        <color rgb="FF4285F4"/>
      </right>
      <top style="thin">
        <color rgb="FF3C78D8"/>
      </top>
      <bottom/>
      <diagonal/>
    </border>
    <border>
      <left/>
      <right style="thin">
        <color rgb="FF4285F4"/>
      </right>
      <top/>
      <bottom style="medium">
        <color rgb="FF4285F4"/>
      </bottom>
      <diagonal/>
    </border>
    <border>
      <left style="thin">
        <color rgb="FF4285F4"/>
      </left>
      <right style="thin">
        <color rgb="FF4285F4"/>
      </right>
      <top/>
      <bottom style="medium">
        <color rgb="FF4285F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4285F4"/>
      </left>
      <right/>
      <top/>
      <bottom style="thin">
        <color rgb="FF4285F4"/>
      </bottom>
      <diagonal/>
    </border>
    <border>
      <left style="thin">
        <color rgb="FF4285F4"/>
      </left>
      <right style="thin">
        <color rgb="FF4285F4"/>
      </right>
      <top/>
      <bottom style="thin">
        <color rgb="FF4285F4"/>
      </bottom>
      <diagonal/>
    </border>
    <border>
      <left style="thin">
        <color rgb="FF4285F4"/>
      </left>
      <right/>
      <top style="thin">
        <color rgb="FF4285F4"/>
      </top>
      <bottom style="thin">
        <color rgb="FF4285F4"/>
      </bottom>
      <diagonal/>
    </border>
    <border>
      <left/>
      <right/>
      <top style="thin">
        <color rgb="FF4285F4"/>
      </top>
      <bottom style="thin">
        <color rgb="FF4285F4"/>
      </bottom>
      <diagonal/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  <diagonal/>
    </border>
    <border>
      <left/>
      <right style="thin">
        <color rgb="FF4285F4"/>
      </right>
      <top style="thin">
        <color rgb="FF4285F4"/>
      </top>
      <bottom style="thin">
        <color rgb="FF4285F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000000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/>
      <right/>
      <top style="thin">
        <color rgb="FF8ED973"/>
      </top>
      <bottom style="thin">
        <color rgb="FF8ED973"/>
      </bottom>
      <diagonal/>
    </border>
    <border>
      <left style="thin">
        <color rgb="FFE8710A"/>
      </left>
      <right style="thin">
        <color rgb="FFE8710A"/>
      </right>
      <top style="thin">
        <color rgb="FFE8710A"/>
      </top>
      <bottom style="thin">
        <color rgb="FFE8710A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1" xfId="0" applyFont="1" applyBorder="1"/>
    <xf numFmtId="0" fontId="5" fillId="2" borderId="0" xfId="0" applyFont="1" applyFill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3" fillId="3" borderId="0" xfId="0" applyNumberFormat="1" applyFont="1" applyFill="1" applyAlignment="1">
      <alignment horizontal="right"/>
    </xf>
    <xf numFmtId="164" fontId="3" fillId="3" borderId="0" xfId="0" applyNumberFormat="1" applyFont="1" applyFill="1" applyAlignment="1">
      <alignment horizontal="right"/>
    </xf>
    <xf numFmtId="9" fontId="1" fillId="0" borderId="0" xfId="0" applyNumberFormat="1" applyFont="1"/>
    <xf numFmtId="3" fontId="6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11" fillId="0" borderId="6" xfId="0" applyFont="1" applyBorder="1" applyAlignment="1">
      <alignment horizontal="right"/>
    </xf>
    <xf numFmtId="0" fontId="11" fillId="0" borderId="5" xfId="0" applyFont="1" applyBorder="1" applyAlignment="1">
      <alignment horizontal="right"/>
    </xf>
    <xf numFmtId="0" fontId="8" fillId="0" borderId="5" xfId="0" applyFont="1" applyBorder="1" applyAlignment="1">
      <alignment horizontal="right"/>
    </xf>
    <xf numFmtId="0" fontId="11" fillId="0" borderId="5" xfId="0" applyFont="1" applyBorder="1"/>
    <xf numFmtId="0" fontId="11" fillId="0" borderId="7" xfId="0" applyFont="1" applyBorder="1" applyAlignment="1">
      <alignment horizontal="right"/>
    </xf>
    <xf numFmtId="0" fontId="12" fillId="0" borderId="8" xfId="0" applyFont="1" applyBorder="1"/>
    <xf numFmtId="0" fontId="12" fillId="0" borderId="9" xfId="0" applyFont="1" applyBorder="1"/>
    <xf numFmtId="0" fontId="12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9" xfId="0" applyFont="1" applyBorder="1" applyAlignment="1">
      <alignment horizontal="right"/>
    </xf>
    <xf numFmtId="0" fontId="4" fillId="0" borderId="9" xfId="0" applyFont="1" applyBorder="1"/>
    <xf numFmtId="0" fontId="13" fillId="0" borderId="10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13" xfId="0" applyFont="1" applyBorder="1"/>
    <xf numFmtId="0" fontId="4" fillId="0" borderId="14" xfId="0" applyFont="1" applyBorder="1"/>
    <xf numFmtId="0" fontId="4" fillId="0" borderId="1" xfId="0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15" fillId="6" borderId="21" xfId="0" applyFont="1" applyFill="1" applyBorder="1" applyAlignment="1">
      <alignment horizontal="center" wrapText="1"/>
    </xf>
    <xf numFmtId="0" fontId="15" fillId="6" borderId="22" xfId="0" applyFont="1" applyFill="1" applyBorder="1" applyAlignment="1">
      <alignment horizontal="center" wrapText="1"/>
    </xf>
    <xf numFmtId="0" fontId="16" fillId="0" borderId="23" xfId="0" applyFont="1" applyBorder="1"/>
    <xf numFmtId="0" fontId="17" fillId="0" borderId="24" xfId="0" applyFont="1" applyBorder="1" applyAlignment="1">
      <alignment horizontal="right"/>
    </xf>
    <xf numFmtId="0" fontId="18" fillId="0" borderId="25" xfId="0" applyFont="1" applyBorder="1" applyAlignment="1">
      <alignment horizontal="right" wrapText="1"/>
    </xf>
    <xf numFmtId="0" fontId="17" fillId="0" borderId="26" xfId="0" applyFont="1" applyBorder="1" applyAlignment="1">
      <alignment horizontal="right"/>
    </xf>
    <xf numFmtId="0" fontId="17" fillId="0" borderId="27" xfId="0" applyFont="1" applyBorder="1" applyAlignment="1">
      <alignment horizontal="right"/>
    </xf>
    <xf numFmtId="0" fontId="18" fillId="0" borderId="28" xfId="0" applyFont="1" applyBorder="1" applyAlignment="1">
      <alignment horizontal="right" wrapText="1"/>
    </xf>
    <xf numFmtId="0" fontId="17" fillId="0" borderId="29" xfId="0" applyFont="1" applyBorder="1" applyAlignment="1">
      <alignment horizontal="right"/>
    </xf>
    <xf numFmtId="0" fontId="17" fillId="0" borderId="28" xfId="0" applyFont="1" applyBorder="1" applyAlignment="1">
      <alignment horizontal="right"/>
    </xf>
    <xf numFmtId="0" fontId="12" fillId="7" borderId="8" xfId="0" applyFont="1" applyFill="1" applyBorder="1"/>
    <xf numFmtId="0" fontId="12" fillId="7" borderId="9" xfId="0" applyFont="1" applyFill="1" applyBorder="1"/>
    <xf numFmtId="0" fontId="4" fillId="8" borderId="13" xfId="0" applyFont="1" applyFill="1" applyBorder="1"/>
    <xf numFmtId="0" fontId="4" fillId="8" borderId="9" xfId="0" applyFont="1" applyFill="1" applyBorder="1"/>
    <xf numFmtId="0" fontId="4" fillId="8" borderId="9" xfId="0" applyFont="1" applyFill="1" applyBorder="1" applyAlignment="1">
      <alignment horizontal="right"/>
    </xf>
    <xf numFmtId="0" fontId="13" fillId="8" borderId="9" xfId="0" applyFont="1" applyFill="1" applyBorder="1" applyAlignment="1">
      <alignment horizontal="right"/>
    </xf>
    <xf numFmtId="0" fontId="13" fillId="0" borderId="9" xfId="0" applyFont="1" applyBorder="1" applyAlignment="1">
      <alignment horizontal="right"/>
    </xf>
    <xf numFmtId="0" fontId="4" fillId="8" borderId="11" xfId="0" applyFont="1" applyFill="1" applyBorder="1"/>
    <xf numFmtId="0" fontId="4" fillId="0" borderId="0" xfId="0" applyFont="1"/>
    <xf numFmtId="0" fontId="13" fillId="0" borderId="0" xfId="0" applyFont="1"/>
    <xf numFmtId="0" fontId="12" fillId="9" borderId="32" xfId="0" applyFont="1" applyFill="1" applyBorder="1" applyAlignment="1">
      <alignment wrapText="1"/>
    </xf>
    <xf numFmtId="0" fontId="12" fillId="9" borderId="33" xfId="0" applyFont="1" applyFill="1" applyBorder="1" applyAlignment="1">
      <alignment wrapText="1"/>
    </xf>
    <xf numFmtId="0" fontId="12" fillId="9" borderId="34" xfId="0" applyFont="1" applyFill="1" applyBorder="1" applyAlignment="1">
      <alignment wrapText="1"/>
    </xf>
    <xf numFmtId="0" fontId="12" fillId="9" borderId="35" xfId="0" applyFont="1" applyFill="1" applyBorder="1" applyAlignment="1">
      <alignment wrapText="1"/>
    </xf>
    <xf numFmtId="0" fontId="12" fillId="9" borderId="36" xfId="0" applyFont="1" applyFill="1" applyBorder="1" applyAlignment="1">
      <alignment wrapText="1"/>
    </xf>
    <xf numFmtId="0" fontId="12" fillId="0" borderId="0" xfId="0" applyFont="1" applyAlignment="1">
      <alignment wrapText="1"/>
    </xf>
    <xf numFmtId="0" fontId="4" fillId="10" borderId="37" xfId="0" applyFont="1" applyFill="1" applyBorder="1"/>
    <xf numFmtId="0" fontId="4" fillId="10" borderId="38" xfId="0" applyFont="1" applyFill="1" applyBorder="1"/>
    <xf numFmtId="0" fontId="4" fillId="10" borderId="38" xfId="0" applyFont="1" applyFill="1" applyBorder="1" applyAlignment="1">
      <alignment horizontal="center"/>
    </xf>
    <xf numFmtId="0" fontId="4" fillId="9" borderId="39" xfId="0" applyFont="1" applyFill="1" applyBorder="1" applyAlignment="1">
      <alignment horizontal="right"/>
    </xf>
    <xf numFmtId="0" fontId="4" fillId="9" borderId="38" xfId="0" applyFont="1" applyFill="1" applyBorder="1" applyAlignment="1">
      <alignment horizontal="right"/>
    </xf>
    <xf numFmtId="0" fontId="4" fillId="9" borderId="40" xfId="0" applyFont="1" applyFill="1" applyBorder="1" applyAlignment="1">
      <alignment horizontal="right"/>
    </xf>
    <xf numFmtId="0" fontId="4" fillId="11" borderId="38" xfId="0" applyFont="1" applyFill="1" applyBorder="1" applyAlignment="1">
      <alignment horizontal="right"/>
    </xf>
    <xf numFmtId="0" fontId="4" fillId="10" borderId="39" xfId="0" applyFont="1" applyFill="1" applyBorder="1" applyAlignment="1">
      <alignment horizontal="right"/>
    </xf>
    <xf numFmtId="0" fontId="4" fillId="10" borderId="38" xfId="0" applyFont="1" applyFill="1" applyBorder="1" applyAlignment="1">
      <alignment horizontal="right"/>
    </xf>
    <xf numFmtId="0" fontId="4" fillId="10" borderId="40" xfId="0" applyFont="1" applyFill="1" applyBorder="1"/>
    <xf numFmtId="0" fontId="4" fillId="11" borderId="39" xfId="0" applyFont="1" applyFill="1" applyBorder="1" applyAlignment="1">
      <alignment horizontal="right"/>
    </xf>
    <xf numFmtId="0" fontId="4" fillId="10" borderId="40" xfId="0" applyFont="1" applyFill="1" applyBorder="1" applyAlignment="1">
      <alignment horizontal="right"/>
    </xf>
    <xf numFmtId="0" fontId="13" fillId="10" borderId="41" xfId="0" applyFont="1" applyFill="1" applyBorder="1" applyAlignment="1">
      <alignment horizontal="right"/>
    </xf>
    <xf numFmtId="0" fontId="13" fillId="0" borderId="0" xfId="0" applyFont="1" applyAlignment="1">
      <alignment horizontal="right"/>
    </xf>
    <xf numFmtId="0" fontId="4" fillId="12" borderId="37" xfId="0" applyFont="1" applyFill="1" applyBorder="1"/>
    <xf numFmtId="0" fontId="4" fillId="12" borderId="38" xfId="0" applyFont="1" applyFill="1" applyBorder="1"/>
    <xf numFmtId="0" fontId="4" fillId="12" borderId="38" xfId="0" applyFont="1" applyFill="1" applyBorder="1" applyAlignment="1">
      <alignment horizontal="center"/>
    </xf>
    <xf numFmtId="0" fontId="4" fillId="12" borderId="38" xfId="0" applyFont="1" applyFill="1" applyBorder="1" applyAlignment="1">
      <alignment horizontal="right"/>
    </xf>
    <xf numFmtId="0" fontId="4" fillId="12" borderId="40" xfId="0" applyFont="1" applyFill="1" applyBorder="1"/>
    <xf numFmtId="0" fontId="4" fillId="12" borderId="40" xfId="0" applyFont="1" applyFill="1" applyBorder="1" applyAlignment="1">
      <alignment horizontal="right"/>
    </xf>
    <xf numFmtId="0" fontId="4" fillId="12" borderId="39" xfId="0" applyFont="1" applyFill="1" applyBorder="1" applyAlignment="1">
      <alignment horizontal="right"/>
    </xf>
    <xf numFmtId="0" fontId="13" fillId="12" borderId="41" xfId="0" applyFont="1" applyFill="1" applyBorder="1" applyAlignment="1">
      <alignment horizontal="right"/>
    </xf>
    <xf numFmtId="0" fontId="4" fillId="11" borderId="40" xfId="0" applyFont="1" applyFill="1" applyBorder="1" applyAlignment="1">
      <alignment horizontal="right"/>
    </xf>
    <xf numFmtId="169" fontId="4" fillId="9" borderId="39" xfId="0" applyNumberFormat="1" applyFont="1" applyFill="1" applyBorder="1" applyAlignment="1">
      <alignment horizontal="right"/>
    </xf>
    <xf numFmtId="169" fontId="4" fillId="9" borderId="38" xfId="0" applyNumberFormat="1" applyFont="1" applyFill="1" applyBorder="1" applyAlignment="1">
      <alignment horizontal="right"/>
    </xf>
    <xf numFmtId="169" fontId="4" fillId="10" borderId="38" xfId="0" applyNumberFormat="1" applyFont="1" applyFill="1" applyBorder="1" applyAlignment="1">
      <alignment horizontal="right"/>
    </xf>
    <xf numFmtId="0" fontId="13" fillId="12" borderId="38" xfId="0" applyFont="1" applyFill="1" applyBorder="1" applyAlignment="1">
      <alignment horizontal="right"/>
    </xf>
    <xf numFmtId="0" fontId="4" fillId="10" borderId="42" xfId="0" applyFont="1" applyFill="1" applyBorder="1"/>
    <xf numFmtId="0" fontId="4" fillId="10" borderId="43" xfId="0" applyFont="1" applyFill="1" applyBorder="1"/>
    <xf numFmtId="0" fontId="4" fillId="10" borderId="43" xfId="0" applyFont="1" applyFill="1" applyBorder="1" applyAlignment="1">
      <alignment horizontal="center"/>
    </xf>
    <xf numFmtId="0" fontId="4" fillId="10" borderId="44" xfId="0" applyFont="1" applyFill="1" applyBorder="1" applyAlignment="1">
      <alignment horizontal="right"/>
    </xf>
    <xf numFmtId="0" fontId="4" fillId="10" borderId="43" xfId="0" applyFont="1" applyFill="1" applyBorder="1" applyAlignment="1">
      <alignment horizontal="right"/>
    </xf>
    <xf numFmtId="0" fontId="4" fillId="10" borderId="45" xfId="0" applyFont="1" applyFill="1" applyBorder="1" applyAlignment="1">
      <alignment horizontal="right"/>
    </xf>
    <xf numFmtId="0" fontId="4" fillId="10" borderId="45" xfId="0" applyFont="1" applyFill="1" applyBorder="1"/>
    <xf numFmtId="0" fontId="13" fillId="10" borderId="43" xfId="0" applyFont="1" applyFill="1" applyBorder="1" applyAlignment="1">
      <alignment horizontal="right"/>
    </xf>
    <xf numFmtId="0" fontId="19" fillId="0" borderId="0" xfId="0" applyFont="1"/>
    <xf numFmtId="0" fontId="5" fillId="0" borderId="0" xfId="0" applyFont="1"/>
    <xf numFmtId="0" fontId="19" fillId="0" borderId="46" xfId="0" applyFont="1" applyBorder="1" applyAlignment="1">
      <alignment horizontal="right"/>
    </xf>
    <xf numFmtId="0" fontId="19" fillId="0" borderId="46" xfId="0" applyFont="1" applyBorder="1"/>
    <xf numFmtId="164" fontId="5" fillId="0" borderId="0" xfId="0" applyNumberFormat="1" applyFont="1" applyAlignment="1">
      <alignment horizontal="right"/>
    </xf>
    <xf numFmtId="0" fontId="19" fillId="13" borderId="46" xfId="0" applyFont="1" applyFill="1" applyBorder="1" applyAlignment="1">
      <alignment horizontal="right"/>
    </xf>
    <xf numFmtId="0" fontId="19" fillId="13" borderId="46" xfId="0" applyFont="1" applyFill="1" applyBorder="1"/>
    <xf numFmtId="16" fontId="13" fillId="0" borderId="0" xfId="0" applyNumberFormat="1" applyFont="1"/>
    <xf numFmtId="170" fontId="13" fillId="0" borderId="0" xfId="0" applyNumberFormat="1" applyFont="1"/>
    <xf numFmtId="0" fontId="5" fillId="0" borderId="0" xfId="0" applyFont="1" applyAlignment="1">
      <alignment horizontal="right"/>
    </xf>
    <xf numFmtId="0" fontId="3" fillId="0" borderId="0" xfId="0" applyFont="1"/>
    <xf numFmtId="0" fontId="4" fillId="14" borderId="0" xfId="0" applyFont="1" applyFill="1"/>
    <xf numFmtId="0" fontId="20" fillId="0" borderId="0" xfId="0" applyFont="1"/>
    <xf numFmtId="9" fontId="3" fillId="0" borderId="0" xfId="0" applyNumberFormat="1" applyFont="1" applyAlignment="1">
      <alignment horizontal="right"/>
    </xf>
    <xf numFmtId="0" fontId="21" fillId="15" borderId="47" xfId="0" applyFont="1" applyFill="1" applyBorder="1"/>
    <xf numFmtId="0" fontId="5" fillId="15" borderId="47" xfId="0" applyFont="1" applyFill="1" applyBorder="1"/>
    <xf numFmtId="0" fontId="22" fillId="15" borderId="47" xfId="0" applyFont="1" applyFill="1" applyBorder="1"/>
    <xf numFmtId="0" fontId="23" fillId="15" borderId="47" xfId="0" applyFont="1" applyFill="1" applyBorder="1" applyAlignment="1">
      <alignment horizontal="center" wrapText="1"/>
    </xf>
    <xf numFmtId="0" fontId="24" fillId="15" borderId="47" xfId="0" applyFont="1" applyFill="1" applyBorder="1"/>
    <xf numFmtId="0" fontId="25" fillId="15" borderId="47" xfId="0" applyFont="1" applyFill="1" applyBorder="1" applyAlignment="1">
      <alignment horizontal="center"/>
    </xf>
    <xf numFmtId="0" fontId="5" fillId="16" borderId="48" xfId="0" applyFont="1" applyFill="1" applyBorder="1"/>
    <xf numFmtId="0" fontId="26" fillId="17" borderId="48" xfId="0" applyFont="1" applyFill="1" applyBorder="1"/>
    <xf numFmtId="0" fontId="5" fillId="17" borderId="48" xfId="0" applyFont="1" applyFill="1" applyBorder="1"/>
    <xf numFmtId="171" fontId="27" fillId="17" borderId="48" xfId="0" applyNumberFormat="1" applyFont="1" applyFill="1" applyBorder="1" applyAlignment="1">
      <alignment horizontal="right"/>
    </xf>
    <xf numFmtId="172" fontId="28" fillId="17" borderId="48" xfId="0" applyNumberFormat="1" applyFont="1" applyFill="1" applyBorder="1" applyAlignment="1">
      <alignment horizontal="center"/>
    </xf>
    <xf numFmtId="0" fontId="28" fillId="0" borderId="0" xfId="0" applyFont="1"/>
    <xf numFmtId="171" fontId="27" fillId="0" borderId="0" xfId="0" applyNumberFormat="1" applyFont="1" applyAlignment="1">
      <alignment horizontal="right"/>
    </xf>
    <xf numFmtId="0" fontId="28" fillId="0" borderId="0" xfId="0" applyFont="1" applyAlignment="1">
      <alignment horizontal="center"/>
    </xf>
    <xf numFmtId="0" fontId="28" fillId="18" borderId="0" xfId="0" applyFont="1" applyFill="1" applyAlignment="1">
      <alignment horizontal="center"/>
    </xf>
    <xf numFmtId="9" fontId="5" fillId="0" borderId="0" xfId="0" applyNumberFormat="1" applyFont="1" applyAlignment="1">
      <alignment horizontal="right"/>
    </xf>
    <xf numFmtId="173" fontId="5" fillId="0" borderId="0" xfId="0" applyNumberFormat="1" applyFont="1" applyAlignment="1">
      <alignment horizontal="right"/>
    </xf>
    <xf numFmtId="171" fontId="5" fillId="0" borderId="0" xfId="0" applyNumberFormat="1" applyFont="1"/>
    <xf numFmtId="0" fontId="5" fillId="18" borderId="0" xfId="0" applyFont="1" applyFill="1"/>
    <xf numFmtId="0" fontId="4" fillId="3" borderId="1" xfId="0" applyFont="1" applyFill="1" applyBorder="1"/>
    <xf numFmtId="0" fontId="4" fillId="21" borderId="1" xfId="0" applyFont="1" applyFill="1" applyBorder="1"/>
    <xf numFmtId="0" fontId="30" fillId="0" borderId="0" xfId="0" applyFont="1"/>
    <xf numFmtId="0" fontId="5" fillId="20" borderId="0" xfId="0" applyFont="1" applyFill="1"/>
    <xf numFmtId="0" fontId="4" fillId="19" borderId="0" xfId="0" applyFont="1" applyFill="1"/>
    <xf numFmtId="0" fontId="4" fillId="20" borderId="0" xfId="0" applyFont="1" applyFill="1"/>
    <xf numFmtId="0" fontId="3" fillId="20" borderId="0" xfId="0" applyFont="1" applyFill="1"/>
    <xf numFmtId="0" fontId="20" fillId="20" borderId="0" xfId="0" applyFont="1" applyFill="1"/>
    <xf numFmtId="0" fontId="3" fillId="19" borderId="0" xfId="0" applyFont="1" applyFill="1"/>
    <xf numFmtId="0" fontId="20" fillId="19" borderId="0" xfId="0" applyFont="1" applyFill="1"/>
    <xf numFmtId="0" fontId="0" fillId="0" borderId="0" xfId="0"/>
    <xf numFmtId="0" fontId="8" fillId="3" borderId="2" xfId="0" applyFont="1" applyFill="1" applyBorder="1" applyAlignment="1">
      <alignment horizontal="center"/>
    </xf>
    <xf numFmtId="0" fontId="9" fillId="0" borderId="5" xfId="0" applyFont="1" applyBorder="1"/>
    <xf numFmtId="0" fontId="14" fillId="5" borderId="15" xfId="0" applyFont="1" applyFill="1" applyBorder="1" applyAlignment="1">
      <alignment horizontal="center" wrapText="1"/>
    </xf>
    <xf numFmtId="0" fontId="9" fillId="0" borderId="21" xfId="0" applyFont="1" applyBorder="1"/>
    <xf numFmtId="0" fontId="14" fillId="5" borderId="16" xfId="0" applyFont="1" applyFill="1" applyBorder="1" applyAlignment="1">
      <alignment horizontal="center" wrapText="1"/>
    </xf>
    <xf numFmtId="0" fontId="9" fillId="0" borderId="16" xfId="0" applyFont="1" applyBorder="1"/>
    <xf numFmtId="0" fontId="9" fillId="0" borderId="17" xfId="0" applyFont="1" applyBorder="1"/>
    <xf numFmtId="0" fontId="14" fillId="5" borderId="18" xfId="0" applyFont="1" applyFill="1" applyBorder="1" applyAlignment="1">
      <alignment horizontal="center" wrapText="1"/>
    </xf>
    <xf numFmtId="0" fontId="9" fillId="0" borderId="19" xfId="0" applyFont="1" applyBorder="1"/>
    <xf numFmtId="0" fontId="14" fillId="5" borderId="20" xfId="0" applyFont="1" applyFill="1" applyBorder="1" applyAlignment="1">
      <alignment horizontal="center" wrapText="1"/>
    </xf>
    <xf numFmtId="0" fontId="9" fillId="0" borderId="22" xfId="0" applyFont="1" applyBorder="1"/>
    <xf numFmtId="0" fontId="4" fillId="0" borderId="30" xfId="0" applyFont="1" applyBorder="1" applyAlignment="1">
      <alignment horizontal="center"/>
    </xf>
    <xf numFmtId="0" fontId="9" fillId="0" borderId="31" xfId="0" applyFont="1" applyBorder="1"/>
    <xf numFmtId="0" fontId="4" fillId="0" borderId="0" xfId="0" applyFont="1" applyAlignment="1">
      <alignment horizontal="center"/>
    </xf>
    <xf numFmtId="0" fontId="32" fillId="0" borderId="0" xfId="0" applyFont="1" applyAlignment="1">
      <alignment horizontal="center"/>
    </xf>
  </cellXfs>
  <cellStyles count="1">
    <cellStyle name="Normal" xfId="0" builtinId="0"/>
  </cellStyles>
  <dxfs count="9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3">
    <tableStyle name="Acum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Parcial 1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Partic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0" Type="http://schemas.openxmlformats.org/officeDocument/2006/relationships/worksheet" Target="worksheets/sheet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Q31">
  <tableColumns count="17">
    <tableColumn id="1" xr3:uid="{00000000-0010-0000-0000-000001000000}" name="CEDULA"/>
    <tableColumn id="2" xr3:uid="{00000000-0010-0000-0000-000002000000}" name="APELLIDO"/>
    <tableColumn id="3" xr3:uid="{00000000-0010-0000-0000-000003000000}" name="NOMBRE"/>
    <tableColumn id="4" xr3:uid="{00000000-0010-0000-0000-000004000000}" name="Correo Unimet"/>
    <tableColumn id="5" xr3:uid="{00000000-0010-0000-0000-000005000000}" name="Estatus"/>
    <tableColumn id="6" xr3:uid="{00000000-0010-0000-0000-000006000000}" name="Eval Cont"/>
    <tableColumn id="7" xr3:uid="{00000000-0010-0000-0000-000007000000}" name="Quiz 1"/>
    <tableColumn id="8" xr3:uid="{00000000-0010-0000-0000-000008000000}" name="Parcial 1"/>
    <tableColumn id="9" xr3:uid="{00000000-0010-0000-0000-000009000000}" name="Quiz 2"/>
    <tableColumn id="10" xr3:uid="{00000000-0010-0000-0000-00000A000000}" name="Proyecto"/>
    <tableColumn id="11" xr3:uid="{00000000-0010-0000-0000-00000B000000}" name="Parcial 2"/>
    <tableColumn id="12" xr3:uid="{00000000-0010-0000-0000-00000C000000}" name="XTRA"/>
    <tableColumn id="13" xr3:uid="{00000000-0010-0000-0000-00000D000000}" name="Total"/>
    <tableColumn id="14" xr3:uid="{00000000-0010-0000-0000-00000E000000}" name="Escala 20"/>
    <tableColumn id="15" xr3:uid="{00000000-0010-0000-0000-00000F000000}" name="Partic"/>
    <tableColumn id="16" xr3:uid="{00000000-0010-0000-0000-000010000000}" name="Tareas"/>
    <tableColumn id="17" xr3:uid="{00000000-0010-0000-0000-000011000000}" name="Def"/>
  </tableColumns>
  <tableStyleInfo name="Acu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H28">
  <tableColumns count="8">
    <tableColumn id="1" xr3:uid="{00000000-0010-0000-0100-000001000000}" name="CEDULA"/>
    <tableColumn id="2" xr3:uid="{00000000-0010-0000-0100-000002000000}" name="APELLIDO"/>
    <tableColumn id="3" xr3:uid="{00000000-0010-0000-0100-000003000000}" name="NOMBRE"/>
    <tableColumn id="4" xr3:uid="{00000000-0010-0000-0100-000004000000}" name="V/F"/>
    <tableColumn id="5" xr3:uid="{00000000-0010-0000-0100-000005000000}" name="Selec"/>
    <tableColumn id="6" xr3:uid="{00000000-0010-0000-0100-000006000000}" name="Complet"/>
    <tableColumn id="7" xr3:uid="{00000000-0010-0000-0100-000007000000}" name="Desarrollo"/>
    <tableColumn id="8" xr3:uid="{00000000-0010-0000-0100-000008000000}" name="Total"/>
  </tableColumns>
  <tableStyleInfo name="Parcial 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S32" headerRowCount="0">
  <tableColumns count="19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</tableColumns>
  <tableStyleInfo name="Partic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opLeftCell="A4" workbookViewId="0">
      <selection activeCell="C8" sqref="C8:C37"/>
    </sheetView>
  </sheetViews>
  <sheetFormatPr baseColWidth="10" defaultColWidth="14.5" defaultRowHeight="15" customHeight="1"/>
  <cols>
    <col min="1" max="5" width="8.6640625" customWidth="1"/>
    <col min="6" max="6" width="13.5" customWidth="1"/>
    <col min="7" max="7" width="14.33203125" customWidth="1"/>
    <col min="8" max="26" width="8.6640625" customWidth="1"/>
  </cols>
  <sheetData>
    <row r="1" spans="1:10">
      <c r="A1" s="1" t="s">
        <v>0</v>
      </c>
      <c r="B1" s="1" t="s">
        <v>1</v>
      </c>
      <c r="C1" s="1" t="s">
        <v>2</v>
      </c>
    </row>
    <row r="2" spans="1:10">
      <c r="A2" s="1" t="s">
        <v>3</v>
      </c>
      <c r="B2" s="1" t="s">
        <v>4</v>
      </c>
    </row>
    <row r="3" spans="1:10">
      <c r="A3" s="1" t="s">
        <v>5</v>
      </c>
      <c r="B3" s="1" t="s">
        <v>6</v>
      </c>
      <c r="C3" s="1" t="s">
        <v>7</v>
      </c>
    </row>
    <row r="4" spans="1:10">
      <c r="A4" s="1" t="s">
        <v>8</v>
      </c>
      <c r="B4" s="1" t="s">
        <v>9</v>
      </c>
      <c r="C4" s="1" t="s">
        <v>10</v>
      </c>
    </row>
    <row r="5" spans="1:10">
      <c r="A5" s="1" t="s">
        <v>11</v>
      </c>
      <c r="B5" s="1" t="s">
        <v>12</v>
      </c>
    </row>
    <row r="7" spans="1:10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</row>
    <row r="8" spans="1:10">
      <c r="A8" s="1" t="s">
        <v>23</v>
      </c>
      <c r="B8" s="1" t="s">
        <v>24</v>
      </c>
      <c r="C8" s="1" t="s">
        <v>25</v>
      </c>
      <c r="D8" s="1" t="s">
        <v>26</v>
      </c>
      <c r="E8" s="1" t="s">
        <v>27</v>
      </c>
      <c r="F8" s="1" t="s">
        <v>28</v>
      </c>
      <c r="G8" s="2" t="s">
        <v>29</v>
      </c>
      <c r="H8" s="1" t="s">
        <v>30</v>
      </c>
      <c r="I8" s="1" t="s">
        <v>31</v>
      </c>
    </row>
    <row r="9" spans="1:10">
      <c r="A9" s="1" t="s">
        <v>32</v>
      </c>
      <c r="B9" s="1" t="s">
        <v>33</v>
      </c>
      <c r="C9" s="1" t="s">
        <v>34</v>
      </c>
      <c r="D9" s="1" t="s">
        <v>35</v>
      </c>
      <c r="E9" s="1" t="s">
        <v>36</v>
      </c>
      <c r="G9" s="2" t="s">
        <v>37</v>
      </c>
      <c r="H9" s="1" t="s">
        <v>38</v>
      </c>
      <c r="I9" s="1" t="s">
        <v>39</v>
      </c>
    </row>
    <row r="10" spans="1:10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44</v>
      </c>
      <c r="F10" s="1" t="s">
        <v>45</v>
      </c>
      <c r="G10" s="2" t="s">
        <v>46</v>
      </c>
      <c r="H10" s="1" t="s">
        <v>47</v>
      </c>
      <c r="I10" s="1" t="s">
        <v>48</v>
      </c>
    </row>
    <row r="11" spans="1:10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53</v>
      </c>
      <c r="G11" s="2" t="s">
        <v>54</v>
      </c>
      <c r="H11" s="1" t="s">
        <v>55</v>
      </c>
      <c r="I11" s="1" t="s">
        <v>56</v>
      </c>
    </row>
    <row r="12" spans="1:10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62</v>
      </c>
      <c r="G12" s="2" t="s">
        <v>63</v>
      </c>
      <c r="H12" s="1" t="s">
        <v>64</v>
      </c>
      <c r="I12" s="1" t="s">
        <v>64</v>
      </c>
    </row>
    <row r="13" spans="1:10">
      <c r="A13" s="1" t="s">
        <v>65</v>
      </c>
      <c r="B13" s="1" t="s">
        <v>66</v>
      </c>
      <c r="C13" s="1" t="s">
        <v>67</v>
      </c>
      <c r="D13" s="1" t="s">
        <v>68</v>
      </c>
      <c r="E13" s="1" t="s">
        <v>69</v>
      </c>
      <c r="F13" s="1" t="s">
        <v>62</v>
      </c>
      <c r="G13" s="2" t="s">
        <v>70</v>
      </c>
      <c r="H13" s="1" t="s">
        <v>71</v>
      </c>
      <c r="I13" s="1" t="s">
        <v>72</v>
      </c>
    </row>
    <row r="14" spans="1:10">
      <c r="A14" s="1" t="s">
        <v>73</v>
      </c>
      <c r="B14" s="1" t="s">
        <v>74</v>
      </c>
      <c r="C14" s="1" t="s">
        <v>75</v>
      </c>
      <c r="D14" s="1" t="s">
        <v>76</v>
      </c>
      <c r="E14" s="1" t="s">
        <v>77</v>
      </c>
      <c r="F14" s="1" t="s">
        <v>78</v>
      </c>
      <c r="G14" s="2" t="s">
        <v>79</v>
      </c>
      <c r="H14" s="1" t="s">
        <v>80</v>
      </c>
    </row>
    <row r="15" spans="1:10">
      <c r="A15" s="1" t="s">
        <v>81</v>
      </c>
      <c r="B15" s="1" t="s">
        <v>82</v>
      </c>
      <c r="C15" s="1" t="s">
        <v>83</v>
      </c>
      <c r="D15" s="1" t="s">
        <v>84</v>
      </c>
      <c r="E15" s="1" t="s">
        <v>85</v>
      </c>
      <c r="F15" s="1" t="s">
        <v>86</v>
      </c>
      <c r="G15" s="2" t="s">
        <v>87</v>
      </c>
      <c r="H15" s="1" t="s">
        <v>88</v>
      </c>
      <c r="I15" s="1" t="s">
        <v>89</v>
      </c>
    </row>
    <row r="16" spans="1:10">
      <c r="A16" s="1" t="s">
        <v>90</v>
      </c>
      <c r="B16" s="1" t="s">
        <v>91</v>
      </c>
      <c r="C16" s="1" t="s">
        <v>92</v>
      </c>
      <c r="D16" s="1" t="s">
        <v>93</v>
      </c>
      <c r="E16" s="1" t="s">
        <v>94</v>
      </c>
      <c r="F16" s="1" t="s">
        <v>95</v>
      </c>
      <c r="G16" s="2" t="s">
        <v>96</v>
      </c>
      <c r="H16" s="1" t="s">
        <v>97</v>
      </c>
      <c r="I16" s="1" t="s">
        <v>98</v>
      </c>
    </row>
    <row r="17" spans="1:9">
      <c r="A17" s="1" t="s">
        <v>99</v>
      </c>
      <c r="B17" s="1" t="s">
        <v>100</v>
      </c>
      <c r="C17" s="1" t="s">
        <v>101</v>
      </c>
      <c r="D17" s="1" t="s">
        <v>102</v>
      </c>
      <c r="E17" s="1" t="s">
        <v>103</v>
      </c>
      <c r="G17" s="2" t="s">
        <v>104</v>
      </c>
      <c r="H17" s="1" t="s">
        <v>105</v>
      </c>
      <c r="I17" s="1" t="s">
        <v>106</v>
      </c>
    </row>
    <row r="18" spans="1:9">
      <c r="A18" s="1" t="s">
        <v>107</v>
      </c>
      <c r="B18" s="1" t="s">
        <v>108</v>
      </c>
      <c r="C18" s="1" t="s">
        <v>109</v>
      </c>
      <c r="D18" s="1" t="s">
        <v>110</v>
      </c>
      <c r="E18" s="1" t="s">
        <v>111</v>
      </c>
      <c r="F18" s="1" t="s">
        <v>112</v>
      </c>
      <c r="G18" s="2" t="s">
        <v>113</v>
      </c>
      <c r="H18" s="1" t="s">
        <v>114</v>
      </c>
    </row>
    <row r="19" spans="1:9">
      <c r="A19" s="1" t="s">
        <v>115</v>
      </c>
      <c r="B19" s="1" t="s">
        <v>116</v>
      </c>
      <c r="C19" s="1" t="s">
        <v>117</v>
      </c>
      <c r="D19" s="1" t="s">
        <v>118</v>
      </c>
      <c r="E19" s="1" t="s">
        <v>119</v>
      </c>
      <c r="F19" s="1" t="s">
        <v>120</v>
      </c>
      <c r="G19" s="2" t="s">
        <v>121</v>
      </c>
      <c r="H19" s="1" t="s">
        <v>122</v>
      </c>
      <c r="I19" s="1" t="s">
        <v>123</v>
      </c>
    </row>
    <row r="20" spans="1:9">
      <c r="A20" s="1" t="s">
        <v>124</v>
      </c>
      <c r="B20" s="1" t="s">
        <v>125</v>
      </c>
      <c r="C20" s="1" t="s">
        <v>126</v>
      </c>
      <c r="D20" s="1" t="s">
        <v>127</v>
      </c>
      <c r="E20" s="1" t="s">
        <v>94</v>
      </c>
      <c r="F20" s="1" t="s">
        <v>128</v>
      </c>
      <c r="G20" s="2" t="s">
        <v>129</v>
      </c>
      <c r="H20" s="1" t="s">
        <v>130</v>
      </c>
      <c r="I20" s="1" t="s">
        <v>131</v>
      </c>
    </row>
    <row r="21" spans="1:9" ht="15.75" customHeight="1">
      <c r="A21" s="1" t="s">
        <v>132</v>
      </c>
      <c r="B21" s="1" t="s">
        <v>133</v>
      </c>
      <c r="C21" s="1" t="s">
        <v>134</v>
      </c>
      <c r="D21" s="1" t="s">
        <v>135</v>
      </c>
      <c r="E21" s="1" t="s">
        <v>136</v>
      </c>
      <c r="F21" s="1" t="s">
        <v>137</v>
      </c>
      <c r="G21" s="2" t="s">
        <v>138</v>
      </c>
      <c r="H21" s="1" t="s">
        <v>139</v>
      </c>
    </row>
    <row r="22" spans="1:9" ht="15.75" customHeight="1">
      <c r="A22" s="1" t="s">
        <v>140</v>
      </c>
      <c r="B22" s="1" t="s">
        <v>141</v>
      </c>
      <c r="C22" s="1" t="s">
        <v>142</v>
      </c>
      <c r="D22" s="1" t="s">
        <v>143</v>
      </c>
      <c r="E22" s="1" t="s">
        <v>44</v>
      </c>
      <c r="G22" s="2" t="s">
        <v>144</v>
      </c>
      <c r="H22" s="1" t="s">
        <v>145</v>
      </c>
      <c r="I22" s="1" t="s">
        <v>146</v>
      </c>
    </row>
    <row r="23" spans="1:9" ht="15.75" customHeight="1">
      <c r="A23" s="1" t="s">
        <v>147</v>
      </c>
      <c r="B23" s="1" t="s">
        <v>148</v>
      </c>
      <c r="C23" s="1" t="s">
        <v>149</v>
      </c>
      <c r="D23" s="1" t="s">
        <v>150</v>
      </c>
      <c r="E23" s="1" t="s">
        <v>151</v>
      </c>
      <c r="F23" s="1" t="s">
        <v>111</v>
      </c>
      <c r="G23" s="2" t="s">
        <v>152</v>
      </c>
      <c r="H23" s="1" t="s">
        <v>153</v>
      </c>
      <c r="I23" s="1" t="s">
        <v>154</v>
      </c>
    </row>
    <row r="24" spans="1:9" ht="15.75" customHeight="1">
      <c r="A24" s="1" t="s">
        <v>155</v>
      </c>
      <c r="B24" s="1" t="s">
        <v>156</v>
      </c>
      <c r="C24" s="1" t="s">
        <v>157</v>
      </c>
      <c r="D24" s="1" t="s">
        <v>158</v>
      </c>
      <c r="E24" s="1" t="s">
        <v>159</v>
      </c>
      <c r="F24" s="1" t="s">
        <v>160</v>
      </c>
      <c r="G24" s="2" t="s">
        <v>161</v>
      </c>
      <c r="H24" s="1" t="s">
        <v>162</v>
      </c>
      <c r="I24" s="1" t="s">
        <v>163</v>
      </c>
    </row>
    <row r="25" spans="1:9" ht="15.75" customHeight="1">
      <c r="A25" s="1" t="s">
        <v>164</v>
      </c>
      <c r="B25" s="1" t="s">
        <v>165</v>
      </c>
      <c r="C25" s="1" t="s">
        <v>166</v>
      </c>
      <c r="D25" s="1" t="s">
        <v>167</v>
      </c>
      <c r="E25" s="1" t="s">
        <v>168</v>
      </c>
      <c r="F25" s="1" t="s">
        <v>169</v>
      </c>
      <c r="G25" s="2" t="s">
        <v>170</v>
      </c>
      <c r="H25" s="1" t="s">
        <v>171</v>
      </c>
      <c r="I25" s="1" t="s">
        <v>172</v>
      </c>
    </row>
    <row r="26" spans="1:9" ht="15.75" customHeight="1">
      <c r="A26" s="1" t="s">
        <v>173</v>
      </c>
      <c r="B26" s="1" t="s">
        <v>174</v>
      </c>
      <c r="C26" s="1" t="s">
        <v>175</v>
      </c>
      <c r="D26" s="1" t="s">
        <v>176</v>
      </c>
      <c r="E26" s="1" t="s">
        <v>177</v>
      </c>
      <c r="G26" s="2" t="s">
        <v>178</v>
      </c>
      <c r="H26" s="1" t="s">
        <v>179</v>
      </c>
      <c r="I26" s="1" t="s">
        <v>180</v>
      </c>
    </row>
    <row r="27" spans="1:9" ht="15.75" customHeight="1">
      <c r="A27" s="1" t="s">
        <v>181</v>
      </c>
      <c r="B27" s="1" t="s">
        <v>182</v>
      </c>
      <c r="C27" s="1" t="s">
        <v>183</v>
      </c>
      <c r="D27" s="1" t="s">
        <v>184</v>
      </c>
      <c r="E27" s="1" t="s">
        <v>185</v>
      </c>
      <c r="F27" s="1" t="s">
        <v>186</v>
      </c>
      <c r="G27" s="2" t="s">
        <v>187</v>
      </c>
      <c r="H27" s="1" t="s">
        <v>188</v>
      </c>
      <c r="I27" s="1" t="s">
        <v>189</v>
      </c>
    </row>
    <row r="28" spans="1:9" ht="15.75" customHeight="1">
      <c r="A28" s="1" t="s">
        <v>190</v>
      </c>
      <c r="B28" s="1" t="s">
        <v>191</v>
      </c>
      <c r="C28" s="1" t="s">
        <v>192</v>
      </c>
      <c r="D28" s="1" t="s">
        <v>193</v>
      </c>
      <c r="E28" s="1" t="s">
        <v>194</v>
      </c>
      <c r="F28" s="1" t="s">
        <v>62</v>
      </c>
      <c r="G28" s="2" t="s">
        <v>195</v>
      </c>
      <c r="H28" s="1" t="s">
        <v>196</v>
      </c>
      <c r="I28" s="1" t="s">
        <v>197</v>
      </c>
    </row>
    <row r="29" spans="1:9" ht="15.75" customHeight="1">
      <c r="A29" s="1" t="s">
        <v>198</v>
      </c>
      <c r="B29" s="1" t="s">
        <v>199</v>
      </c>
      <c r="C29" s="1" t="s">
        <v>200</v>
      </c>
      <c r="D29" s="1" t="s">
        <v>201</v>
      </c>
      <c r="E29" s="1" t="s">
        <v>202</v>
      </c>
      <c r="F29" s="1" t="s">
        <v>203</v>
      </c>
      <c r="G29" s="2" t="s">
        <v>204</v>
      </c>
      <c r="H29" s="1" t="s">
        <v>205</v>
      </c>
    </row>
    <row r="30" spans="1:9" ht="15.75" customHeight="1">
      <c r="A30" s="1" t="s">
        <v>206</v>
      </c>
      <c r="B30" s="1" t="s">
        <v>207</v>
      </c>
      <c r="C30" s="1" t="s">
        <v>208</v>
      </c>
      <c r="D30" s="1" t="s">
        <v>209</v>
      </c>
      <c r="E30" s="1" t="s">
        <v>210</v>
      </c>
      <c r="F30" s="1" t="s">
        <v>28</v>
      </c>
      <c r="G30" s="2" t="s">
        <v>211</v>
      </c>
      <c r="H30" s="1" t="s">
        <v>212</v>
      </c>
      <c r="I30" s="1" t="s">
        <v>213</v>
      </c>
    </row>
    <row r="31" spans="1:9" ht="15.75" customHeight="1">
      <c r="A31" s="1" t="s">
        <v>214</v>
      </c>
      <c r="B31" s="1" t="s">
        <v>215</v>
      </c>
      <c r="C31" s="1" t="s">
        <v>216</v>
      </c>
      <c r="D31" s="1" t="s">
        <v>217</v>
      </c>
      <c r="E31" s="1" t="s">
        <v>112</v>
      </c>
      <c r="F31" s="1" t="s">
        <v>218</v>
      </c>
      <c r="G31" s="2" t="s">
        <v>219</v>
      </c>
      <c r="H31" s="1" t="s">
        <v>220</v>
      </c>
      <c r="I31" s="1" t="s">
        <v>221</v>
      </c>
    </row>
    <row r="32" spans="1:9" ht="15.75" customHeight="1">
      <c r="A32" s="1" t="s">
        <v>222</v>
      </c>
      <c r="B32" s="1" t="s">
        <v>223</v>
      </c>
      <c r="C32" s="1" t="s">
        <v>224</v>
      </c>
      <c r="D32" s="1" t="s">
        <v>225</v>
      </c>
      <c r="E32" s="1" t="s">
        <v>226</v>
      </c>
      <c r="F32" s="1" t="s">
        <v>227</v>
      </c>
      <c r="G32" s="2" t="s">
        <v>228</v>
      </c>
      <c r="H32" s="1" t="s">
        <v>229</v>
      </c>
      <c r="I32" s="1" t="s">
        <v>230</v>
      </c>
    </row>
    <row r="33" spans="1:9" ht="15.75" customHeight="1">
      <c r="A33" s="1" t="s">
        <v>231</v>
      </c>
      <c r="B33" s="1" t="s">
        <v>232</v>
      </c>
      <c r="C33" s="1" t="s">
        <v>233</v>
      </c>
      <c r="D33" s="1" t="s">
        <v>234</v>
      </c>
      <c r="E33" s="1" t="s">
        <v>235</v>
      </c>
      <c r="G33" s="2" t="s">
        <v>236</v>
      </c>
      <c r="H33" s="1" t="s">
        <v>237</v>
      </c>
      <c r="I33" s="1" t="s">
        <v>238</v>
      </c>
    </row>
    <row r="34" spans="1:9" ht="15.75" customHeight="1">
      <c r="A34" s="1" t="s">
        <v>239</v>
      </c>
      <c r="B34" s="1" t="s">
        <v>240</v>
      </c>
      <c r="C34" s="1" t="s">
        <v>241</v>
      </c>
      <c r="D34" s="1" t="s">
        <v>242</v>
      </c>
      <c r="E34" s="1" t="s">
        <v>243</v>
      </c>
      <c r="F34" s="1" t="s">
        <v>244</v>
      </c>
      <c r="G34" s="2" t="s">
        <v>245</v>
      </c>
      <c r="H34" s="1" t="s">
        <v>246</v>
      </c>
      <c r="I34" s="1" t="s">
        <v>247</v>
      </c>
    </row>
    <row r="35" spans="1:9" ht="15.75" customHeight="1">
      <c r="A35" s="1" t="s">
        <v>248</v>
      </c>
      <c r="B35" s="1" t="s">
        <v>249</v>
      </c>
      <c r="C35" s="1" t="s">
        <v>250</v>
      </c>
      <c r="D35" s="1" t="s">
        <v>251</v>
      </c>
      <c r="E35" s="1" t="s">
        <v>252</v>
      </c>
      <c r="F35" s="1" t="s">
        <v>253</v>
      </c>
      <c r="G35" s="2" t="s">
        <v>254</v>
      </c>
      <c r="H35" s="1" t="s">
        <v>255</v>
      </c>
      <c r="I35" s="1" t="s">
        <v>256</v>
      </c>
    </row>
    <row r="36" spans="1:9" ht="15.75" customHeight="1">
      <c r="A36" s="1" t="s">
        <v>257</v>
      </c>
      <c r="B36" s="1" t="s">
        <v>258</v>
      </c>
      <c r="C36" s="1" t="s">
        <v>259</v>
      </c>
      <c r="D36" s="1" t="s">
        <v>260</v>
      </c>
      <c r="E36" s="1" t="s">
        <v>61</v>
      </c>
      <c r="F36" s="1" t="s">
        <v>62</v>
      </c>
      <c r="G36" s="2" t="s">
        <v>261</v>
      </c>
      <c r="H36" s="1" t="s">
        <v>262</v>
      </c>
      <c r="I36" s="1" t="s">
        <v>263</v>
      </c>
    </row>
    <row r="37" spans="1:9" ht="15.75" customHeight="1">
      <c r="A37" s="1" t="s">
        <v>264</v>
      </c>
      <c r="B37" s="1" t="s">
        <v>265</v>
      </c>
      <c r="C37" s="1" t="s">
        <v>266</v>
      </c>
      <c r="D37" s="1" t="s">
        <v>267</v>
      </c>
      <c r="E37" s="1" t="s">
        <v>268</v>
      </c>
      <c r="F37" s="1" t="s">
        <v>269</v>
      </c>
      <c r="G37" s="2" t="s">
        <v>270</v>
      </c>
      <c r="H37" s="1" t="s">
        <v>271</v>
      </c>
      <c r="I37" s="1" t="s">
        <v>272</v>
      </c>
    </row>
    <row r="38" spans="1:9" ht="15.75" customHeight="1"/>
    <row r="39" spans="1:9" ht="15.75" customHeight="1"/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3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" sqref="A2:A31"/>
    </sheetView>
  </sheetViews>
  <sheetFormatPr baseColWidth="10" defaultColWidth="14.5" defaultRowHeight="15" customHeight="1"/>
  <cols>
    <col min="1" max="1" width="9.5" customWidth="1"/>
    <col min="2" max="2" width="10.5" customWidth="1"/>
    <col min="3" max="3" width="10.33203125" customWidth="1"/>
    <col min="4" max="4" width="18" hidden="1" customWidth="1"/>
    <col min="5" max="5" width="10.33203125" customWidth="1"/>
    <col min="6" max="6" width="9.1640625" customWidth="1"/>
    <col min="7" max="7" width="7.83203125" customWidth="1"/>
    <col min="8" max="8" width="8.5" customWidth="1"/>
    <col min="9" max="9" width="7.83203125" customWidth="1"/>
    <col min="10" max="10" width="8.83203125" customWidth="1"/>
    <col min="11" max="11" width="8.5" customWidth="1"/>
    <col min="12" max="12" width="6.6640625" customWidth="1"/>
    <col min="13" max="14" width="9" customWidth="1"/>
    <col min="15" max="15" width="6.1640625" customWidth="1"/>
    <col min="16" max="16" width="6.6640625" customWidth="1"/>
    <col min="17" max="17" width="6.33203125" customWidth="1"/>
  </cols>
  <sheetData>
    <row r="1" spans="1:17">
      <c r="A1" s="3" t="s">
        <v>14</v>
      </c>
      <c r="B1" s="3" t="s">
        <v>16</v>
      </c>
      <c r="C1" s="3" t="s">
        <v>17</v>
      </c>
      <c r="D1" s="3" t="s">
        <v>19</v>
      </c>
      <c r="E1" s="3" t="s">
        <v>273</v>
      </c>
      <c r="F1" s="3" t="s">
        <v>274</v>
      </c>
      <c r="G1" s="3" t="s">
        <v>275</v>
      </c>
      <c r="H1" s="3" t="s">
        <v>276</v>
      </c>
      <c r="I1" s="3" t="s">
        <v>277</v>
      </c>
      <c r="J1" s="3" t="s">
        <v>278</v>
      </c>
      <c r="K1" s="3" t="s">
        <v>279</v>
      </c>
      <c r="L1" s="3" t="s">
        <v>280</v>
      </c>
      <c r="M1" s="3" t="s">
        <v>281</v>
      </c>
      <c r="N1" s="3" t="s">
        <v>282</v>
      </c>
      <c r="O1" s="3" t="s">
        <v>283</v>
      </c>
      <c r="P1" s="3" t="s">
        <v>284</v>
      </c>
      <c r="Q1" s="3" t="s">
        <v>285</v>
      </c>
    </row>
    <row r="2" spans="1:17">
      <c r="A2" s="4">
        <v>28410856</v>
      </c>
      <c r="B2" s="4" t="s">
        <v>26</v>
      </c>
      <c r="C2" s="4" t="s">
        <v>27</v>
      </c>
      <c r="D2" s="2" t="s">
        <v>29</v>
      </c>
      <c r="E2" s="5"/>
      <c r="F2" s="6">
        <f>VLOOKUP(LEFT(D2,LEN(D2)-1),'Eval. Cont.'!$A$2:$Q$31,17,FALSE)</f>
        <v>6.5592857142857142</v>
      </c>
      <c r="G2" s="7">
        <f>'Quiz 1'!G3/2</f>
        <v>0</v>
      </c>
      <c r="H2" s="8" t="e">
        <f ca="1">_xludf.ifna(VLOOKUP(VALUE(A2),'Parcial 1'!$A$2:$H$28,8,FALSE),"")</f>
        <v>#NAME?</v>
      </c>
      <c r="I2" s="7" t="str">
        <f>IF('Quiz 2'!K3&lt;&gt;"",'Quiz 2'!K3/2,"")</f>
        <v/>
      </c>
      <c r="J2" s="6" t="e">
        <f ca="1">_xludf.ifna(VLOOKUP(VALUE(A2),Proyecto!$A$3:$AA$23,27,FALSE),"")</f>
        <v>#NAME?</v>
      </c>
      <c r="K2" s="8" t="e">
        <f ca="1">_xludf.ifna(VLOOKUP(VALUE(A2),'Parcial 2'!$A$2:$G$21,7,FALSE),"")</f>
        <v>#NAME?</v>
      </c>
      <c r="L2" s="9" t="e">
        <f ca="1">_xludf.ifna(VLOOKUP(LEFT(D2,LEN(D2)-1),Xtra!$C$6:$N$53,12,FALSE),"")</f>
        <v>#NAME?</v>
      </c>
      <c r="M2" s="10" t="e">
        <f t="shared" ref="M2:M5" ca="1" si="0">SUM(F2:L2)</f>
        <v>#NAME?</v>
      </c>
      <c r="N2" s="11" t="e">
        <f t="shared" ref="N2:N31" ca="1" si="1">M2/5</f>
        <v>#NAME?</v>
      </c>
      <c r="O2" s="12">
        <f>Partic!S2/(COUNTA(Partic!D$1:S$1)-1)</f>
        <v>6.6666666666666666E-2</v>
      </c>
      <c r="P2" s="12">
        <f>VLOOKUP(LEFT(D2,LEN(D2)-1),Tareas!$A$2:$Q$31,17,FALSE)</f>
        <v>0.21428571428571427</v>
      </c>
      <c r="Q2" s="13" t="e">
        <f t="shared" ref="Q2:Q22" ca="1" si="2">IF(E2="Retirado","R",N2+MAX(O2:P2))</f>
        <v>#NAME?</v>
      </c>
    </row>
    <row r="3" spans="1:17">
      <c r="A3" s="4">
        <v>30849611</v>
      </c>
      <c r="B3" s="4" t="s">
        <v>35</v>
      </c>
      <c r="C3" s="4" t="s">
        <v>36</v>
      </c>
      <c r="D3" s="2" t="s">
        <v>37</v>
      </c>
      <c r="E3" s="3"/>
      <c r="F3" s="6">
        <f>VLOOKUP(LEFT(D3,LEN(D3)-1),'Eval. Cont.'!$A$2:$Q$31,17,FALSE)</f>
        <v>12.237857142857141</v>
      </c>
      <c r="G3" s="7">
        <f>'Quiz 1'!G4/2</f>
        <v>0.625</v>
      </c>
      <c r="H3" s="8" t="e">
        <f ca="1">_xludf.ifna(VLOOKUP(VALUE(A3),'Parcial 1'!$A$2:$H$28,8,FALSE),"")</f>
        <v>#NAME?</v>
      </c>
      <c r="I3" s="7" t="str">
        <f>IF('Quiz 2'!K4&lt;&gt;"",'Quiz 2'!K4/2,"")</f>
        <v/>
      </c>
      <c r="J3" s="6" t="e">
        <f ca="1">_xludf.ifna(VLOOKUP(VALUE(A3),Proyecto!$A$3:$AA$23,27,FALSE),"")</f>
        <v>#NAME?</v>
      </c>
      <c r="K3" s="8" t="e">
        <f ca="1">_xludf.ifna(VLOOKUP(VALUE(A3),'Parcial 2'!$A$2:$G$21,7,FALSE),"")</f>
        <v>#NAME?</v>
      </c>
      <c r="L3" s="9" t="e">
        <f ca="1">_xludf.ifna(VLOOKUP(LEFT(D3,LEN(D3)-1),Xtra!$C$6:$N$53,12,FALSE),"")</f>
        <v>#NAME?</v>
      </c>
      <c r="M3" s="10" t="e">
        <f t="shared" ca="1" si="0"/>
        <v>#NAME?</v>
      </c>
      <c r="N3" s="11" t="e">
        <f t="shared" ca="1" si="1"/>
        <v>#NAME?</v>
      </c>
      <c r="O3" s="12">
        <f>Partic!S3/(COUNTA(Partic!D$1:S$1)-1)</f>
        <v>0.2</v>
      </c>
      <c r="P3" s="12">
        <f>VLOOKUP(LEFT(D3,LEN(D3)-1),Tareas!$A$2:$Q$31,17,FALSE)</f>
        <v>0.2857142857142857</v>
      </c>
      <c r="Q3" s="13" t="e">
        <f t="shared" ca="1" si="2"/>
        <v>#NAME?</v>
      </c>
    </row>
    <row r="4" spans="1:17">
      <c r="A4" s="4">
        <v>29666935</v>
      </c>
      <c r="B4" s="4" t="s">
        <v>43</v>
      </c>
      <c r="C4" s="4" t="s">
        <v>44</v>
      </c>
      <c r="D4" s="2" t="s">
        <v>46</v>
      </c>
      <c r="E4" s="5"/>
      <c r="F4" s="6">
        <f>VLOOKUP(LEFT(D4,LEN(D4)-1),'Eval. Cont.'!$A$2:$Q$31,17,FALSE)</f>
        <v>17.428571428571427</v>
      </c>
      <c r="G4" s="7">
        <f>'Quiz 1'!G5/2</f>
        <v>2</v>
      </c>
      <c r="H4" s="8" t="e">
        <f ca="1">_xludf.ifna(VLOOKUP(VALUE(A4),'Parcial 1'!$A$2:$H$28,8,FALSE),"")</f>
        <v>#NAME?</v>
      </c>
      <c r="I4" s="7">
        <f>IF('Quiz 2'!K5&lt;&gt;"",'Quiz 2'!K5/2,"")</f>
        <v>3.125</v>
      </c>
      <c r="J4" s="6" t="e">
        <f ca="1">_xludf.ifna(VLOOKUP(VALUE(A4),Proyecto!$A$3:$AA$23,27,FALSE),"")</f>
        <v>#NAME?</v>
      </c>
      <c r="K4" s="8" t="e">
        <f ca="1">_xludf.ifna(VLOOKUP(VALUE(A4),'Parcial 2'!$A$2:$G$21,7,FALSE),"")</f>
        <v>#NAME?</v>
      </c>
      <c r="L4" s="9" t="e">
        <f ca="1">_xludf.ifna(VLOOKUP(LEFT(D4,LEN(D4)-1),Xtra!$C$6:$N$53,12,FALSE),"")</f>
        <v>#NAME?</v>
      </c>
      <c r="M4" s="10" t="e">
        <f t="shared" ca="1" si="0"/>
        <v>#NAME?</v>
      </c>
      <c r="N4" s="11" t="e">
        <f t="shared" ca="1" si="1"/>
        <v>#NAME?</v>
      </c>
      <c r="O4" s="12">
        <f>Partic!S4/(COUNTA(Partic!D$1:S$1)-1)</f>
        <v>1.3333333333333333</v>
      </c>
      <c r="P4" s="12">
        <f>VLOOKUP(LEFT(D4,LEN(D4)-1),Tareas!$A$2:$Q$31,17,FALSE)</f>
        <v>0.21428571428571427</v>
      </c>
      <c r="Q4" s="13" t="e">
        <f t="shared" ca="1" si="2"/>
        <v>#NAME?</v>
      </c>
    </row>
    <row r="5" spans="1:17">
      <c r="A5" s="4">
        <v>30765878</v>
      </c>
      <c r="B5" s="4" t="s">
        <v>52</v>
      </c>
      <c r="C5" s="4" t="s">
        <v>53</v>
      </c>
      <c r="D5" s="2" t="s">
        <v>54</v>
      </c>
      <c r="E5" s="5" t="s">
        <v>286</v>
      </c>
      <c r="F5" s="6">
        <f>VLOOKUP(LEFT(D5,LEN(D5)-1),'Eval. Cont.'!$A$2:$Q$31,17,FALSE)</f>
        <v>13.821428571428571</v>
      </c>
      <c r="G5" s="7">
        <f>'Quiz 1'!G6/2</f>
        <v>0</v>
      </c>
      <c r="H5" s="8" t="e">
        <f ca="1">_xludf.ifna(VLOOKUP(VALUE(A5),'Parcial 1'!$A$2:$H$28,8,FALSE),"")</f>
        <v>#NAME?</v>
      </c>
      <c r="I5" s="7" t="str">
        <f>IF('Quiz 2'!K6&lt;&gt;"",'Quiz 2'!K6/2,"")</f>
        <v/>
      </c>
      <c r="J5" s="6" t="e">
        <f ca="1">_xludf.ifna(VLOOKUP(VALUE(A5),Proyecto!$A$3:$AA$23,27,FALSE),"")</f>
        <v>#NAME?</v>
      </c>
      <c r="K5" s="8" t="e">
        <f ca="1">_xludf.ifna(VLOOKUP(VALUE(A5),'Parcial 2'!$A$2:$G$21,7,FALSE),"")</f>
        <v>#NAME?</v>
      </c>
      <c r="L5" s="9" t="e">
        <f ca="1">_xludf.ifna(VLOOKUP(LEFT(D5,LEN(D5)-1),Xtra!$C$6:$N$53,12,FALSE),"")</f>
        <v>#NAME?</v>
      </c>
      <c r="M5" s="10" t="e">
        <f t="shared" ca="1" si="0"/>
        <v>#NAME?</v>
      </c>
      <c r="N5" s="11" t="e">
        <f t="shared" ca="1" si="1"/>
        <v>#NAME?</v>
      </c>
      <c r="O5" s="12">
        <f>Partic!S5/(COUNTA(Partic!D$1:S$1)-1)</f>
        <v>0.26666666666666666</v>
      </c>
      <c r="P5" s="12">
        <f>VLOOKUP(LEFT(D5,LEN(D5)-1),Tareas!$A$2:$Q$31,17,FALSE)</f>
        <v>0.35714285714285715</v>
      </c>
      <c r="Q5" s="13" t="str">
        <f t="shared" si="2"/>
        <v>R</v>
      </c>
    </row>
    <row r="6" spans="1:17">
      <c r="A6" s="4">
        <v>32729082</v>
      </c>
      <c r="B6" s="4" t="s">
        <v>60</v>
      </c>
      <c r="C6" s="4" t="s">
        <v>61</v>
      </c>
      <c r="D6" s="2" t="s">
        <v>63</v>
      </c>
      <c r="E6" s="5"/>
      <c r="F6" s="6">
        <f>VLOOKUP(LEFT(D6,LEN(D6)-1),'Eval. Cont.'!$A$2:$Q$31,17,FALSE)</f>
        <v>12.237857142857141</v>
      </c>
      <c r="G6" s="7">
        <f>'Quiz 1'!G7/2</f>
        <v>0</v>
      </c>
      <c r="H6" s="8" t="e">
        <f ca="1">_xludf.ifna(VLOOKUP(VALUE(A6),'Parcial 1'!$A$2:$H$28,8,FALSE),"")</f>
        <v>#NAME?</v>
      </c>
      <c r="I6" s="7">
        <f>IF('Quiz 2'!K7&lt;&gt;"",'Quiz 2'!K7/2,"")</f>
        <v>7</v>
      </c>
      <c r="J6" s="6">
        <v>0</v>
      </c>
      <c r="K6" s="8" t="e">
        <f ca="1">_xludf.ifna(VLOOKUP(VALUE(A6),'Parcial 2'!$A$2:$G$21,7,FALSE),"")</f>
        <v>#NAME?</v>
      </c>
      <c r="L6" s="9" t="e">
        <f ca="1">_xludf.ifna(VLOOKUP(LEFT(D6,LEN(D6)-1),Xtra!$C$6:$N$53,12,FALSE),"")</f>
        <v>#NAME?</v>
      </c>
      <c r="M6" s="10">
        <v>0</v>
      </c>
      <c r="N6" s="11">
        <f t="shared" si="1"/>
        <v>0</v>
      </c>
      <c r="O6" s="12">
        <f>Partic!S6/(COUNTA(Partic!D$1:S$1)-1)</f>
        <v>0.13333333333333333</v>
      </c>
      <c r="P6" s="12">
        <f>VLOOKUP(LEFT(D6,LEN(D6)-1),Tareas!$A$2:$Q$31,17,FALSE)</f>
        <v>7.1428571428571425E-2</v>
      </c>
      <c r="Q6" s="13">
        <f t="shared" si="2"/>
        <v>0.13333333333333333</v>
      </c>
    </row>
    <row r="7" spans="1:17">
      <c r="A7" s="4">
        <v>31071592</v>
      </c>
      <c r="B7" s="4" t="s">
        <v>68</v>
      </c>
      <c r="C7" s="4" t="s">
        <v>69</v>
      </c>
      <c r="D7" s="2" t="s">
        <v>70</v>
      </c>
      <c r="E7" s="5"/>
      <c r="F7" s="6">
        <f>VLOOKUP(LEFT(D7,LEN(D7)-1),'Eval. Cont.'!$A$2:$Q$31,17,FALSE)</f>
        <v>14.737857142857141</v>
      </c>
      <c r="G7" s="7">
        <f>'Quiz 1'!G8/2</f>
        <v>5.25</v>
      </c>
      <c r="H7" s="8" t="e">
        <f ca="1">_xludf.ifna(VLOOKUP(VALUE(A7),'Parcial 1'!$A$2:$H$28,8,FALSE),"")</f>
        <v>#NAME?</v>
      </c>
      <c r="I7" s="7">
        <f>IF('Quiz 2'!K8&lt;&gt;"",'Quiz 2'!K8/2,"")</f>
        <v>4</v>
      </c>
      <c r="J7" s="6">
        <v>0</v>
      </c>
      <c r="K7" s="8" t="e">
        <f ca="1">_xludf.ifna(VLOOKUP(VALUE(A7),'Parcial 2'!$A$2:$G$21,7,FALSE),"")</f>
        <v>#NAME?</v>
      </c>
      <c r="L7" s="9" t="e">
        <f ca="1">_xludf.ifna(VLOOKUP(LEFT(D7,LEN(D7)-1),Xtra!$C$6:$N$53,12,FALSE),"")</f>
        <v>#NAME?</v>
      </c>
      <c r="M7" s="10" t="e">
        <f t="shared" ref="M7:M31" ca="1" si="3">SUM(F7:L7)</f>
        <v>#NAME?</v>
      </c>
      <c r="N7" s="11" t="e">
        <f t="shared" ca="1" si="1"/>
        <v>#NAME?</v>
      </c>
      <c r="O7" s="12">
        <f>Partic!S7/(COUNTA(Partic!D$1:S$1)-1)</f>
        <v>0.53333333333333333</v>
      </c>
      <c r="P7" s="12">
        <f>VLOOKUP(LEFT(D7,LEN(D7)-1),Tareas!$A$2:$Q$31,17,FALSE)</f>
        <v>0.2857142857142857</v>
      </c>
      <c r="Q7" s="13" t="e">
        <f t="shared" ca="1" si="2"/>
        <v>#NAME?</v>
      </c>
    </row>
    <row r="8" spans="1:17">
      <c r="A8" s="4">
        <v>32491310</v>
      </c>
      <c r="B8" s="4" t="s">
        <v>76</v>
      </c>
      <c r="C8" s="4" t="s">
        <v>77</v>
      </c>
      <c r="D8" s="2" t="s">
        <v>79</v>
      </c>
      <c r="E8" s="3"/>
      <c r="F8" s="6">
        <f>VLOOKUP(LEFT(D8,LEN(D8)-1),'Eval. Cont.'!$A$2:$Q$31,17,FALSE)</f>
        <v>11.5</v>
      </c>
      <c r="G8" s="7">
        <f>'Quiz 1'!G9/2</f>
        <v>0</v>
      </c>
      <c r="H8" s="8" t="e">
        <f ca="1">_xludf.ifna(VLOOKUP(VALUE(A8),'Parcial 1'!$A$2:$H$28,8,FALSE),"")</f>
        <v>#NAME?</v>
      </c>
      <c r="I8" s="7">
        <f>IF('Quiz 2'!K9&lt;&gt;"",'Quiz 2'!K9/2,"")</f>
        <v>4</v>
      </c>
      <c r="J8" s="6" t="e">
        <f ca="1">_xludf.ifna(VLOOKUP(VALUE(A8),Proyecto!$A$3:$AA$23,27,FALSE),"")</f>
        <v>#NAME?</v>
      </c>
      <c r="K8" s="8" t="e">
        <f ca="1">_xludf.ifna(VLOOKUP(VALUE(A8),'Parcial 2'!$A$2:$G$21,7,FALSE),"")</f>
        <v>#NAME?</v>
      </c>
      <c r="L8" s="9" t="e">
        <f ca="1">_xludf.ifna(VLOOKUP(LEFT(D8,LEN(D8)-1),Xtra!$C$6:$N$53,12,FALSE),"")</f>
        <v>#NAME?</v>
      </c>
      <c r="M8" s="10" t="e">
        <f t="shared" ca="1" si="3"/>
        <v>#NAME?</v>
      </c>
      <c r="N8" s="11" t="e">
        <f t="shared" ca="1" si="1"/>
        <v>#NAME?</v>
      </c>
      <c r="O8" s="12">
        <f>Partic!S8/(COUNTA(Partic!D$1:S$1)-1)</f>
        <v>0</v>
      </c>
      <c r="P8" s="12">
        <f>VLOOKUP(LEFT(D8,LEN(D8)-1),Tareas!$A$2:$Q$31,17,FALSE)</f>
        <v>0.6428571428571429</v>
      </c>
      <c r="Q8" s="13" t="e">
        <f t="shared" ca="1" si="2"/>
        <v>#NAME?</v>
      </c>
    </row>
    <row r="9" spans="1:17">
      <c r="A9" s="4">
        <v>31988236</v>
      </c>
      <c r="B9" s="4" t="s">
        <v>84</v>
      </c>
      <c r="C9" s="4" t="s">
        <v>85</v>
      </c>
      <c r="D9" s="2" t="s">
        <v>87</v>
      </c>
      <c r="E9" s="3"/>
      <c r="F9" s="6">
        <f>VLOOKUP(LEFT(D9,LEN(D9)-1),'Eval. Cont.'!$A$2:$Q$31,17,FALSE)</f>
        <v>12.828571428571427</v>
      </c>
      <c r="G9" s="7">
        <f>'Quiz 1'!G10/2</f>
        <v>2</v>
      </c>
      <c r="H9" s="8" t="e">
        <f ca="1">_xludf.ifna(VLOOKUP(VALUE(A9),'Parcial 1'!$A$2:$H$28,8,FALSE),"")</f>
        <v>#NAME?</v>
      </c>
      <c r="I9" s="7" t="str">
        <f>IF('Quiz 2'!K10&lt;&gt;"",'Quiz 2'!K10/2,"")</f>
        <v/>
      </c>
      <c r="J9" s="6" t="e">
        <f ca="1">_xludf.ifna(VLOOKUP(VALUE(A9),Proyecto!$A$3:$AA$23,27,FALSE),"")</f>
        <v>#NAME?</v>
      </c>
      <c r="K9" s="8" t="e">
        <f ca="1">_xludf.ifna(VLOOKUP(VALUE(A9),'Parcial 2'!$A$2:$G$21,7,FALSE),"")</f>
        <v>#NAME?</v>
      </c>
      <c r="L9" s="9" t="e">
        <f ca="1">_xludf.ifna(VLOOKUP(LEFT(D9,LEN(D9)-1),Xtra!$C$6:$N$53,12,FALSE),"")</f>
        <v>#NAME?</v>
      </c>
      <c r="M9" s="10" t="e">
        <f t="shared" ca="1" si="3"/>
        <v>#NAME?</v>
      </c>
      <c r="N9" s="11" t="e">
        <f t="shared" ca="1" si="1"/>
        <v>#NAME?</v>
      </c>
      <c r="O9" s="12">
        <f>Partic!S9/(COUNTA(Partic!D$1:S$1)-1)</f>
        <v>6.6666666666666666E-2</v>
      </c>
      <c r="P9" s="12">
        <f>VLOOKUP(LEFT(D9,LEN(D9)-1),Tareas!$A$2:$Q$31,17,FALSE)</f>
        <v>0.21428571428571427</v>
      </c>
      <c r="Q9" s="13" t="e">
        <f t="shared" ca="1" si="2"/>
        <v>#NAME?</v>
      </c>
    </row>
    <row r="10" spans="1:17">
      <c r="A10" s="4">
        <v>31112818</v>
      </c>
      <c r="B10" s="4" t="s">
        <v>93</v>
      </c>
      <c r="C10" s="4" t="s">
        <v>94</v>
      </c>
      <c r="D10" s="2" t="s">
        <v>96</v>
      </c>
      <c r="E10" s="5" t="s">
        <v>286</v>
      </c>
      <c r="F10" s="6">
        <f>VLOOKUP(LEFT(D10,LEN(D10)-1),'Eval. Cont.'!$A$2:$Q$31,17,FALSE)</f>
        <v>15.185714285714285</v>
      </c>
      <c r="G10" s="7">
        <f>'Quiz 1'!G11/2</f>
        <v>0</v>
      </c>
      <c r="H10" s="8" t="e">
        <f ca="1">_xludf.ifna(VLOOKUP(VALUE(A10),'Parcial 1'!$A$2:$H$28,8,FALSE),"")</f>
        <v>#NAME?</v>
      </c>
      <c r="I10" s="7" t="str">
        <f>IF('Quiz 2'!K11&lt;&gt;"",'Quiz 2'!K11/2,"")</f>
        <v/>
      </c>
      <c r="J10" s="6" t="e">
        <f ca="1">_xludf.ifna(VLOOKUP(VALUE(A10),Proyecto!$A$3:$AA$23,27,FALSE),"")</f>
        <v>#NAME?</v>
      </c>
      <c r="K10" s="8" t="e">
        <f ca="1">_xludf.ifna(VLOOKUP(VALUE(A10),'Parcial 2'!$A$2:$G$21,7,FALSE),"")</f>
        <v>#NAME?</v>
      </c>
      <c r="L10" s="9" t="e">
        <f ca="1">_xludf.ifna(VLOOKUP(LEFT(D10,LEN(D10)-1),Xtra!$C$6:$N$53,12,FALSE),"")</f>
        <v>#NAME?</v>
      </c>
      <c r="M10" s="10" t="e">
        <f t="shared" ca="1" si="3"/>
        <v>#NAME?</v>
      </c>
      <c r="N10" s="11" t="e">
        <f t="shared" ca="1" si="1"/>
        <v>#NAME?</v>
      </c>
      <c r="O10" s="12">
        <f>Partic!S10/(COUNTA(Partic!D$1:S$1)-1)</f>
        <v>0.46666666666666667</v>
      </c>
      <c r="P10" s="12">
        <f>VLOOKUP(LEFT(D10,LEN(D10)-1),Tareas!$A$2:$Q$31,17,FALSE)</f>
        <v>0.5714285714285714</v>
      </c>
      <c r="Q10" s="13" t="str">
        <f t="shared" si="2"/>
        <v>R</v>
      </c>
    </row>
    <row r="11" spans="1:17">
      <c r="A11" s="4">
        <v>30030485</v>
      </c>
      <c r="B11" s="4" t="s">
        <v>102</v>
      </c>
      <c r="C11" s="4" t="s">
        <v>103</v>
      </c>
      <c r="D11" s="2" t="s">
        <v>104</v>
      </c>
      <c r="E11" s="3"/>
      <c r="F11" s="6">
        <f>VLOOKUP(LEFT(D11,LEN(D11)-1),'Eval. Cont.'!$A$2:$Q$31,17,FALSE)</f>
        <v>17.321428571428573</v>
      </c>
      <c r="G11" s="7">
        <f>'Quiz 1'!G12/2</f>
        <v>1.75</v>
      </c>
      <c r="H11" s="8" t="e">
        <f ca="1">_xludf.ifna(VLOOKUP(VALUE(A11),'Parcial 1'!$A$2:$H$28,8,FALSE),"")</f>
        <v>#NAME?</v>
      </c>
      <c r="I11" s="7">
        <f>IF('Quiz 2'!K12&lt;&gt;"",'Quiz 2'!K12/2,"")</f>
        <v>2</v>
      </c>
      <c r="J11" s="6" t="e">
        <f ca="1">_xludf.ifna(VLOOKUP(VALUE(A11),Proyecto!$A$3:$AA$23,27,FALSE),"")</f>
        <v>#NAME?</v>
      </c>
      <c r="K11" s="8" t="e">
        <f ca="1">_xludf.ifna(VLOOKUP(VALUE(A11),'Parcial 2'!$A$2:$G$21,7,FALSE),"")</f>
        <v>#NAME?</v>
      </c>
      <c r="L11" s="9" t="e">
        <f ca="1">_xludf.ifna(VLOOKUP(LEFT(D11,LEN(D11)-1),Xtra!$C$6:$N$53,12,FALSE),"")</f>
        <v>#NAME?</v>
      </c>
      <c r="M11" s="10" t="e">
        <f t="shared" ca="1" si="3"/>
        <v>#NAME?</v>
      </c>
      <c r="N11" s="11" t="e">
        <f t="shared" ca="1" si="1"/>
        <v>#NAME?</v>
      </c>
      <c r="O11" s="12">
        <f>Partic!S11/(COUNTA(Partic!D$1:S$1)-1)</f>
        <v>0.13333333333333333</v>
      </c>
      <c r="P11" s="12">
        <f>VLOOKUP(LEFT(D11,LEN(D11)-1),Tareas!$A$2:$Q$31,17,FALSE)</f>
        <v>0.21428571428571427</v>
      </c>
      <c r="Q11" s="13" t="e">
        <f t="shared" ca="1" si="2"/>
        <v>#NAME?</v>
      </c>
    </row>
    <row r="12" spans="1:17">
      <c r="A12" s="4">
        <v>30793086</v>
      </c>
      <c r="B12" s="4" t="s">
        <v>110</v>
      </c>
      <c r="C12" s="4" t="s">
        <v>111</v>
      </c>
      <c r="D12" s="2" t="s">
        <v>113</v>
      </c>
      <c r="E12" s="5" t="s">
        <v>286</v>
      </c>
      <c r="F12" s="6">
        <f>VLOOKUP(LEFT(D12,LEN(D12)-1),'Eval. Cont.'!$A$2:$Q$31,17,FALSE)</f>
        <v>2.5</v>
      </c>
      <c r="G12" s="7">
        <f>'Quiz 1'!G13/2</f>
        <v>0</v>
      </c>
      <c r="H12" s="8" t="e">
        <f ca="1">_xludf.ifna(VLOOKUP(VALUE(A12),'Parcial 1'!$A$2:$H$28,8,FALSE),"")</f>
        <v>#NAME?</v>
      </c>
      <c r="I12" s="7" t="str">
        <f>IF('Quiz 2'!K13&lt;&gt;"",'Quiz 2'!K13/2,"")</f>
        <v/>
      </c>
      <c r="J12" s="6" t="e">
        <f ca="1">_xludf.ifna(VLOOKUP(VALUE(A12),Proyecto!$A$3:$AA$23,27,FALSE),"")</f>
        <v>#NAME?</v>
      </c>
      <c r="K12" s="8" t="e">
        <f ca="1">_xludf.ifna(VLOOKUP(VALUE(A12),'Parcial 2'!$A$2:$G$21,7,FALSE),"")</f>
        <v>#NAME?</v>
      </c>
      <c r="L12" s="9" t="e">
        <f ca="1">_xludf.ifna(VLOOKUP(LEFT(D12,LEN(D12)-1),Xtra!$C$6:$N$53,12,FALSE),"")</f>
        <v>#NAME?</v>
      </c>
      <c r="M12" s="10" t="e">
        <f t="shared" ca="1" si="3"/>
        <v>#NAME?</v>
      </c>
      <c r="N12" s="11" t="e">
        <f t="shared" ca="1" si="1"/>
        <v>#NAME?</v>
      </c>
      <c r="O12" s="12">
        <f>Partic!S12/(COUNTA(Partic!D$1:S$1)-1)</f>
        <v>0</v>
      </c>
      <c r="P12" s="12">
        <f>VLOOKUP(LEFT(D12,LEN(D12)-1),Tareas!$A$2:$Q$31,17,FALSE)</f>
        <v>0</v>
      </c>
      <c r="Q12" s="13" t="str">
        <f t="shared" si="2"/>
        <v>R</v>
      </c>
    </row>
    <row r="13" spans="1:17">
      <c r="A13" s="4">
        <v>32242412</v>
      </c>
      <c r="B13" s="4" t="s">
        <v>118</v>
      </c>
      <c r="C13" s="4" t="s">
        <v>119</v>
      </c>
      <c r="D13" s="2" t="s">
        <v>121</v>
      </c>
      <c r="E13" s="5"/>
      <c r="F13" s="6">
        <f>VLOOKUP(LEFT(D13,LEN(D13)-1),'Eval. Cont.'!$A$2:$Q$31,17,FALSE)</f>
        <v>15.690714285714288</v>
      </c>
      <c r="G13" s="7">
        <f>'Quiz 1'!G14/2</f>
        <v>0</v>
      </c>
      <c r="H13" s="8" t="e">
        <f ca="1">_xludf.ifna(VLOOKUP(VALUE(A13),'Parcial 1'!$A$2:$H$28,8,FALSE),"")</f>
        <v>#NAME?</v>
      </c>
      <c r="I13" s="7">
        <f>IF('Quiz 2'!K14&lt;&gt;"",'Quiz 2'!K14/2,"")</f>
        <v>1.5</v>
      </c>
      <c r="J13" s="6" t="e">
        <f ca="1">_xludf.ifna(VLOOKUP(VALUE(A13),Proyecto!$A$3:$AA$23,27,FALSE),"")</f>
        <v>#NAME?</v>
      </c>
      <c r="K13" s="8" t="e">
        <f ca="1">_xludf.ifna(VLOOKUP(VALUE(A13),'Parcial 2'!$A$2:$G$21,7,FALSE),"")</f>
        <v>#NAME?</v>
      </c>
      <c r="L13" s="9" t="e">
        <f ca="1">_xludf.ifna(VLOOKUP(LEFT(D13,LEN(D13)-1),Xtra!$C$6:$N$53,12,FALSE),"")</f>
        <v>#NAME?</v>
      </c>
      <c r="M13" s="10" t="e">
        <f t="shared" ca="1" si="3"/>
        <v>#NAME?</v>
      </c>
      <c r="N13" s="11" t="e">
        <f t="shared" ca="1" si="1"/>
        <v>#NAME?</v>
      </c>
      <c r="O13" s="12">
        <f>Partic!S13/(COUNTA(Partic!D$1:S$1)-1)</f>
        <v>0.53333333333333333</v>
      </c>
      <c r="P13" s="12">
        <f>VLOOKUP(LEFT(D13,LEN(D13)-1),Tareas!$A$2:$Q$31,17,FALSE)</f>
        <v>0.14285714285714285</v>
      </c>
      <c r="Q13" s="13" t="e">
        <f t="shared" ca="1" si="2"/>
        <v>#NAME?</v>
      </c>
    </row>
    <row r="14" spans="1:17">
      <c r="A14" s="4">
        <v>30598031</v>
      </c>
      <c r="B14" s="4" t="s">
        <v>127</v>
      </c>
      <c r="C14" s="4" t="s">
        <v>94</v>
      </c>
      <c r="D14" s="2" t="s">
        <v>129</v>
      </c>
      <c r="E14" s="3"/>
      <c r="F14" s="6">
        <f>VLOOKUP(LEFT(D14,LEN(D14)-1),'Eval. Cont.'!$A$2:$Q$31,17,FALSE)</f>
        <v>16.102142857142855</v>
      </c>
      <c r="G14" s="7">
        <f>'Quiz 1'!G15/2</f>
        <v>0</v>
      </c>
      <c r="H14" s="8" t="e">
        <f ca="1">_xludf.ifna(VLOOKUP(VALUE(A14),'Parcial 1'!$A$2:$H$28,8,FALSE),"")</f>
        <v>#NAME?</v>
      </c>
      <c r="I14" s="7" t="str">
        <f>IF('Quiz 2'!K15&lt;&gt;"",'Quiz 2'!K15/2,"")</f>
        <v/>
      </c>
      <c r="J14" s="6" t="e">
        <f ca="1">_xludf.ifna(VLOOKUP(VALUE(A14),Proyecto!$A$3:$AA$23,27,FALSE),"")</f>
        <v>#NAME?</v>
      </c>
      <c r="K14" s="8" t="e">
        <f ca="1">_xludf.ifna(VLOOKUP(VALUE(A14),'Parcial 2'!$A$2:$G$21,7,FALSE),"")</f>
        <v>#NAME?</v>
      </c>
      <c r="L14" s="9" t="e">
        <f ca="1">_xludf.ifna(VLOOKUP(LEFT(D14,LEN(D14)-1),Xtra!$C$6:$N$53,12,FALSE),"")</f>
        <v>#NAME?</v>
      </c>
      <c r="M14" s="10" t="e">
        <f t="shared" ca="1" si="3"/>
        <v>#NAME?</v>
      </c>
      <c r="N14" s="11" t="e">
        <f t="shared" ca="1" si="1"/>
        <v>#NAME?</v>
      </c>
      <c r="O14" s="12">
        <f>Partic!S14/(COUNTA(Partic!D$1:S$1)-1)</f>
        <v>0.6</v>
      </c>
      <c r="P14" s="12">
        <f>VLOOKUP(LEFT(D14,LEN(D14)-1),Tareas!$A$2:$Q$31,17,FALSE)</f>
        <v>0.7142857142857143</v>
      </c>
      <c r="Q14" s="13" t="e">
        <f t="shared" ca="1" si="2"/>
        <v>#NAME?</v>
      </c>
    </row>
    <row r="15" spans="1:17">
      <c r="A15" s="4">
        <v>31852058</v>
      </c>
      <c r="B15" s="4" t="s">
        <v>135</v>
      </c>
      <c r="C15" s="4" t="s">
        <v>136</v>
      </c>
      <c r="D15" s="2" t="s">
        <v>138</v>
      </c>
      <c r="E15" s="3"/>
      <c r="F15" s="6">
        <f>VLOOKUP(LEFT(D15,LEN(D15)-1),'Eval. Cont.'!$A$2:$Q$31,17,FALSE)</f>
        <v>18.357142857142858</v>
      </c>
      <c r="G15" s="7">
        <f>'Quiz 1'!G16/2</f>
        <v>1</v>
      </c>
      <c r="H15" s="8" t="e">
        <f ca="1">_xludf.ifna(VLOOKUP(VALUE(A15),'Parcial 1'!$A$2:$H$28,8,FALSE),"")</f>
        <v>#NAME?</v>
      </c>
      <c r="I15" s="7">
        <f>IF('Quiz 2'!K16&lt;&gt;"",'Quiz 2'!K16/2,"")</f>
        <v>4.5</v>
      </c>
      <c r="J15" s="6" t="e">
        <f ca="1">_xludf.ifna(VLOOKUP(VALUE(A15),Proyecto!$A$3:$AA$23,27,FALSE),"")</f>
        <v>#NAME?</v>
      </c>
      <c r="K15" s="8" t="e">
        <f ca="1">_xludf.ifna(VLOOKUP(VALUE(A15),'Parcial 2'!$A$2:$G$21,7,FALSE),"")</f>
        <v>#NAME?</v>
      </c>
      <c r="L15" s="9" t="e">
        <f ca="1">_xludf.ifna(VLOOKUP(LEFT(D15,LEN(D15)-1),Xtra!$C$6:$N$53,12,FALSE),"")</f>
        <v>#NAME?</v>
      </c>
      <c r="M15" s="10" t="e">
        <f t="shared" ca="1" si="3"/>
        <v>#NAME?</v>
      </c>
      <c r="N15" s="11" t="e">
        <f t="shared" ca="1" si="1"/>
        <v>#NAME?</v>
      </c>
      <c r="O15" s="12">
        <f>Partic!S15/(COUNTA(Partic!D$1:S$1)-1)</f>
        <v>0.8666666666666667</v>
      </c>
      <c r="P15" s="12">
        <f>VLOOKUP(LEFT(D15,LEN(D15)-1),Tareas!$A$2:$Q$31,17,FALSE)</f>
        <v>0.2857142857142857</v>
      </c>
      <c r="Q15" s="13" t="e">
        <f t="shared" ca="1" si="2"/>
        <v>#NAME?</v>
      </c>
    </row>
    <row r="16" spans="1:17">
      <c r="A16" s="4">
        <v>30114012</v>
      </c>
      <c r="B16" s="4" t="s">
        <v>143</v>
      </c>
      <c r="C16" s="4" t="s">
        <v>44</v>
      </c>
      <c r="D16" s="2" t="s">
        <v>144</v>
      </c>
      <c r="E16" s="5"/>
      <c r="F16" s="6">
        <f>VLOOKUP(LEFT(D16,LEN(D16)-1),'Eval. Cont.'!$A$2:$Q$31,17,FALSE)</f>
        <v>16.905000000000001</v>
      </c>
      <c r="G16" s="7">
        <f>'Quiz 1'!G17/2</f>
        <v>5.25</v>
      </c>
      <c r="H16" s="8" t="e">
        <f ca="1">_xludf.ifna(VLOOKUP(VALUE(A16),'Parcial 1'!$A$2:$H$28,8,FALSE),"")</f>
        <v>#NAME?</v>
      </c>
      <c r="I16" s="7">
        <f>IF('Quiz 2'!K17&lt;&gt;"",'Quiz 2'!K17/2,"")</f>
        <v>0.75</v>
      </c>
      <c r="J16" s="6" t="e">
        <f ca="1">_xludf.ifna(VLOOKUP(VALUE(A16),Proyecto!$A$3:$AA$23,27,FALSE),"")</f>
        <v>#NAME?</v>
      </c>
      <c r="K16" s="8" t="e">
        <f ca="1">_xludf.ifna(VLOOKUP(VALUE(A16),'Parcial 2'!$A$2:$G$21,7,FALSE),"")</f>
        <v>#NAME?</v>
      </c>
      <c r="L16" s="9" t="e">
        <f ca="1">_xludf.ifna(VLOOKUP(LEFT(D16,LEN(D16)-1),Xtra!$C$6:$N$53,12,FALSE),"")</f>
        <v>#NAME?</v>
      </c>
      <c r="M16" s="10" t="e">
        <f t="shared" ca="1" si="3"/>
        <v>#NAME?</v>
      </c>
      <c r="N16" s="11" t="e">
        <f t="shared" ca="1" si="1"/>
        <v>#NAME?</v>
      </c>
      <c r="O16" s="12">
        <f>Partic!S16/(COUNTA(Partic!D$1:S$1)-1)</f>
        <v>0.66666666666666663</v>
      </c>
      <c r="P16" s="12">
        <f>VLOOKUP(LEFT(D16,LEN(D16)-1),Tareas!$A$2:$Q$31,17,FALSE)</f>
        <v>0.21428571428571427</v>
      </c>
      <c r="Q16" s="13" t="e">
        <f t="shared" ca="1" si="2"/>
        <v>#NAME?</v>
      </c>
    </row>
    <row r="17" spans="1:17">
      <c r="A17" s="4">
        <v>26954417</v>
      </c>
      <c r="B17" s="4" t="s">
        <v>150</v>
      </c>
      <c r="C17" s="4" t="s">
        <v>151</v>
      </c>
      <c r="D17" s="2" t="s">
        <v>152</v>
      </c>
      <c r="E17" s="5" t="s">
        <v>286</v>
      </c>
      <c r="F17" s="6">
        <f>VLOOKUP(LEFT(D17,LEN(D17)-1),'Eval. Cont.'!$A$2:$Q$31,17,FALSE)</f>
        <v>6.4642857142857144</v>
      </c>
      <c r="G17" s="7">
        <f>'Quiz 1'!G18/2</f>
        <v>0</v>
      </c>
      <c r="H17" s="8" t="e">
        <f ca="1">_xludf.ifna(VLOOKUP(VALUE(A17),'Parcial 1'!$A$2:$H$28,8,FALSE),"")</f>
        <v>#NAME?</v>
      </c>
      <c r="I17" s="7" t="str">
        <f>IF('Quiz 2'!K18&lt;&gt;"",'Quiz 2'!K18/2,"")</f>
        <v/>
      </c>
      <c r="J17" s="6" t="e">
        <f ca="1">_xludf.ifna(VLOOKUP(VALUE(A17),Proyecto!$A$3:$AA$23,27,FALSE),"")</f>
        <v>#NAME?</v>
      </c>
      <c r="K17" s="8" t="e">
        <f ca="1">_xludf.ifna(VLOOKUP(VALUE(A17),'Parcial 2'!$A$2:$G$21,7,FALSE),"")</f>
        <v>#NAME?</v>
      </c>
      <c r="L17" s="9" t="e">
        <f ca="1">_xludf.ifna(VLOOKUP(LEFT(D17,LEN(D17)-1),Xtra!$C$6:$N$53,12,FALSE),"")</f>
        <v>#NAME?</v>
      </c>
      <c r="M17" s="10" t="e">
        <f t="shared" ca="1" si="3"/>
        <v>#NAME?</v>
      </c>
      <c r="N17" s="11" t="e">
        <f t="shared" ca="1" si="1"/>
        <v>#NAME?</v>
      </c>
      <c r="O17" s="12">
        <f>Partic!S17/(COUNTA(Partic!D$1:S$1)-1)</f>
        <v>0</v>
      </c>
      <c r="P17" s="12">
        <f>VLOOKUP(LEFT(D17,LEN(D17)-1),Tareas!$A$2:$Q$31,17,FALSE)</f>
        <v>7.1428571428571425E-2</v>
      </c>
      <c r="Q17" s="13" t="str">
        <f t="shared" si="2"/>
        <v>R</v>
      </c>
    </row>
    <row r="18" spans="1:17">
      <c r="A18" s="4">
        <v>31448943</v>
      </c>
      <c r="B18" s="4" t="s">
        <v>158</v>
      </c>
      <c r="C18" s="4" t="s">
        <v>159</v>
      </c>
      <c r="D18" s="2" t="s">
        <v>161</v>
      </c>
      <c r="E18" s="5" t="s">
        <v>286</v>
      </c>
      <c r="F18" s="6">
        <f>VLOOKUP(LEFT(D18,LEN(D18)-1),'Eval. Cont.'!$A$2:$Q$31,17,FALSE)</f>
        <v>0</v>
      </c>
      <c r="G18" s="7">
        <f>'Quiz 1'!G19/2</f>
        <v>0</v>
      </c>
      <c r="H18" s="8" t="e">
        <f ca="1">_xludf.ifna(VLOOKUP(VALUE(A18),'Parcial 1'!$A$2:$H$28,8,FALSE),"")</f>
        <v>#NAME?</v>
      </c>
      <c r="I18" s="7" t="str">
        <f>IF('Quiz 2'!K19&lt;&gt;"",'Quiz 2'!K19/2,"")</f>
        <v/>
      </c>
      <c r="J18" s="6" t="e">
        <f ca="1">_xludf.ifna(VLOOKUP(VALUE(A18),Proyecto!$A$3:$AA$23,27,FALSE),"")</f>
        <v>#NAME?</v>
      </c>
      <c r="K18" s="8" t="e">
        <f ca="1">_xludf.ifna(VLOOKUP(VALUE(A18),'Parcial 2'!$A$2:$G$21,7,FALSE),"")</f>
        <v>#NAME?</v>
      </c>
      <c r="L18" s="9" t="e">
        <f ca="1">_xludf.ifna(VLOOKUP(LEFT(D18,LEN(D18)-1),Xtra!$C$6:$N$53,12,FALSE),"")</f>
        <v>#NAME?</v>
      </c>
      <c r="M18" s="10" t="e">
        <f t="shared" ca="1" si="3"/>
        <v>#NAME?</v>
      </c>
      <c r="N18" s="11" t="e">
        <f t="shared" ca="1" si="1"/>
        <v>#NAME?</v>
      </c>
      <c r="O18" s="12">
        <f>Partic!S18/(COUNTA(Partic!D$1:S$1)-1)</f>
        <v>0.33333333333333331</v>
      </c>
      <c r="P18" s="12">
        <f>VLOOKUP(LEFT(D18,LEN(D18)-1),Tareas!$A$2:$Q$31,17,FALSE)</f>
        <v>7.1428571428571425E-2</v>
      </c>
      <c r="Q18" s="13" t="str">
        <f t="shared" si="2"/>
        <v>R</v>
      </c>
    </row>
    <row r="19" spans="1:17">
      <c r="A19" s="4">
        <v>31423000</v>
      </c>
      <c r="B19" s="4" t="s">
        <v>167</v>
      </c>
      <c r="C19" s="4" t="s">
        <v>168</v>
      </c>
      <c r="D19" s="2" t="s">
        <v>170</v>
      </c>
      <c r="E19" s="3"/>
      <c r="F19" s="6">
        <f>VLOOKUP(LEFT(D19,LEN(D19)-1),'Eval. Cont.'!$A$2:$Q$31,17,FALSE)</f>
        <v>14.464285714285714</v>
      </c>
      <c r="G19" s="7">
        <f>'Quiz 1'!G20/2</f>
        <v>0.5</v>
      </c>
      <c r="H19" s="8" t="e">
        <f ca="1">_xludf.ifna(VLOOKUP(VALUE(A19),'Parcial 1'!$A$2:$H$28,8,FALSE),"")</f>
        <v>#NAME?</v>
      </c>
      <c r="I19" s="7">
        <f>IF('Quiz 2'!K20&lt;&gt;"",'Quiz 2'!K20/2,"")</f>
        <v>1.25</v>
      </c>
      <c r="J19" s="6" t="e">
        <f ca="1">_xludf.ifna(VLOOKUP(VALUE(A19),Proyecto!$A$3:$AA$23,27,FALSE),"")</f>
        <v>#NAME?</v>
      </c>
      <c r="K19" s="8" t="e">
        <f ca="1">_xludf.ifna(VLOOKUP(VALUE(A19),'Parcial 2'!$A$2:$G$21,7,FALSE),"")</f>
        <v>#NAME?</v>
      </c>
      <c r="L19" s="9" t="e">
        <f ca="1">_xludf.ifna(VLOOKUP(LEFT(D19,LEN(D19)-1),Xtra!$C$6:$N$53,12,FALSE),"")</f>
        <v>#NAME?</v>
      </c>
      <c r="M19" s="10" t="e">
        <f t="shared" ca="1" si="3"/>
        <v>#NAME?</v>
      </c>
      <c r="N19" s="11" t="e">
        <f t="shared" ca="1" si="1"/>
        <v>#NAME?</v>
      </c>
      <c r="O19" s="12">
        <f>Partic!S19/(COUNTA(Partic!D$1:S$1)-1)</f>
        <v>0.2</v>
      </c>
      <c r="P19" s="12">
        <f>VLOOKUP(LEFT(D19,LEN(D19)-1),Tareas!$A$2:$Q$31,17,FALSE)</f>
        <v>7.1428571428571425E-2</v>
      </c>
      <c r="Q19" s="13" t="e">
        <f t="shared" ca="1" si="2"/>
        <v>#NAME?</v>
      </c>
    </row>
    <row r="20" spans="1:17">
      <c r="A20" s="4">
        <v>31046285</v>
      </c>
      <c r="B20" s="4" t="s">
        <v>176</v>
      </c>
      <c r="C20" s="4" t="s">
        <v>177</v>
      </c>
      <c r="D20" s="2" t="s">
        <v>178</v>
      </c>
      <c r="E20" s="5" t="s">
        <v>286</v>
      </c>
      <c r="F20" s="6">
        <f>VLOOKUP(LEFT(D20,LEN(D20)-1),'Eval. Cont.'!$A$2:$Q$31,17,FALSE)</f>
        <v>2.6907142857142858</v>
      </c>
      <c r="G20" s="7">
        <f>'Quiz 1'!G21/2</f>
        <v>0</v>
      </c>
      <c r="H20" s="8" t="e">
        <f ca="1">_xludf.ifna(VLOOKUP(VALUE(A20),'Parcial 1'!$A$2:$H$28,8,FALSE),"")</f>
        <v>#NAME?</v>
      </c>
      <c r="I20" s="7" t="str">
        <f>IF('Quiz 2'!K21&lt;&gt;"",'Quiz 2'!K21/2,"")</f>
        <v/>
      </c>
      <c r="J20" s="6" t="e">
        <f ca="1">_xludf.ifna(VLOOKUP(VALUE(A20),Proyecto!$A$3:$AA$23,27,FALSE),"")</f>
        <v>#NAME?</v>
      </c>
      <c r="K20" s="8" t="e">
        <f ca="1">_xludf.ifna(VLOOKUP(VALUE(A20),'Parcial 2'!$A$2:$G$21,7,FALSE),"")</f>
        <v>#NAME?</v>
      </c>
      <c r="L20" s="9" t="e">
        <f ca="1">_xludf.ifna(VLOOKUP(LEFT(D20,LEN(D20)-1),Xtra!$C$6:$N$53,12,FALSE),"")</f>
        <v>#NAME?</v>
      </c>
      <c r="M20" s="10" t="e">
        <f t="shared" ca="1" si="3"/>
        <v>#NAME?</v>
      </c>
      <c r="N20" s="11" t="e">
        <f t="shared" ca="1" si="1"/>
        <v>#NAME?</v>
      </c>
      <c r="O20" s="12">
        <f>Partic!S20/(COUNTA(Partic!D$1:S$1)-1)</f>
        <v>6.6666666666666666E-2</v>
      </c>
      <c r="P20" s="12">
        <f>VLOOKUP(LEFT(D20,LEN(D20)-1),Tareas!$A$2:$Q$31,17,FALSE)</f>
        <v>0</v>
      </c>
      <c r="Q20" s="13" t="str">
        <f t="shared" si="2"/>
        <v>R</v>
      </c>
    </row>
    <row r="21" spans="1:17">
      <c r="A21" s="4">
        <v>31255343</v>
      </c>
      <c r="B21" s="4" t="s">
        <v>184</v>
      </c>
      <c r="C21" s="4" t="s">
        <v>185</v>
      </c>
      <c r="D21" s="2" t="s">
        <v>187</v>
      </c>
      <c r="E21" s="3"/>
      <c r="F21" s="6">
        <f>VLOOKUP(LEFT(D21,LEN(D21)-1),'Eval. Cont.'!$A$2:$Q$31,17,FALSE)</f>
        <v>18.054285714285712</v>
      </c>
      <c r="G21" s="7">
        <f>'Quiz 1'!G22/2</f>
        <v>3.25</v>
      </c>
      <c r="H21" s="8" t="e">
        <f ca="1">_xludf.ifna(VLOOKUP(VALUE(A21),'Parcial 1'!$A$2:$H$28,8,FALSE),"")</f>
        <v>#NAME?</v>
      </c>
      <c r="I21" s="7">
        <f>IF('Quiz 2'!K22&lt;&gt;"",'Quiz 2'!K22/2,"")</f>
        <v>3.25</v>
      </c>
      <c r="J21" s="6" t="e">
        <f ca="1">_xludf.ifna(VLOOKUP(VALUE(A21),Proyecto!$A$3:$AA$23,27,FALSE),"")</f>
        <v>#NAME?</v>
      </c>
      <c r="K21" s="8" t="e">
        <f ca="1">_xludf.ifna(VLOOKUP(VALUE(A21),'Parcial 2'!$A$2:$G$21,7,FALSE),"")</f>
        <v>#NAME?</v>
      </c>
      <c r="L21" s="9" t="e">
        <f ca="1">_xludf.ifna(VLOOKUP(LEFT(D21,LEN(D21)-1),Xtra!$C$6:$N$53,12,FALSE),"")</f>
        <v>#NAME?</v>
      </c>
      <c r="M21" s="10" t="e">
        <f t="shared" ca="1" si="3"/>
        <v>#NAME?</v>
      </c>
      <c r="N21" s="11" t="e">
        <f t="shared" ca="1" si="1"/>
        <v>#NAME?</v>
      </c>
      <c r="O21" s="12">
        <f>Partic!S21/(COUNTA(Partic!D$1:S$1)-1)</f>
        <v>0.2</v>
      </c>
      <c r="P21" s="12">
        <f>VLOOKUP(LEFT(D21,LEN(D21)-1),Tareas!$A$2:$Q$31,17,FALSE)</f>
        <v>7.1428571428571425E-2</v>
      </c>
      <c r="Q21" s="13" t="e">
        <f t="shared" ca="1" si="2"/>
        <v>#NAME?</v>
      </c>
    </row>
    <row r="22" spans="1:17">
      <c r="A22" s="4">
        <v>32401366</v>
      </c>
      <c r="B22" s="4" t="s">
        <v>193</v>
      </c>
      <c r="C22" s="4" t="s">
        <v>194</v>
      </c>
      <c r="D22" s="2" t="s">
        <v>195</v>
      </c>
      <c r="E22" s="3"/>
      <c r="F22" s="6">
        <f>VLOOKUP(LEFT(D22,LEN(D22)-1),'Eval. Cont.'!$A$2:$Q$31,17,FALSE)</f>
        <v>14.880714285714285</v>
      </c>
      <c r="G22" s="7">
        <f>'Quiz 1'!G23/2</f>
        <v>8</v>
      </c>
      <c r="H22" s="8" t="e">
        <f ca="1">_xludf.ifna(VLOOKUP(VALUE(A22),'Parcial 1'!$A$2:$H$28,8,FALSE),"")</f>
        <v>#NAME?</v>
      </c>
      <c r="I22" s="7">
        <f>IF('Quiz 2'!K23&lt;&gt;"",'Quiz 2'!K23/2,"")</f>
        <v>1.875</v>
      </c>
      <c r="J22" s="6" t="e">
        <f ca="1">_xludf.ifna(VLOOKUP(VALUE(A22),Proyecto!$A$3:$AA$23,27,FALSE),"")</f>
        <v>#NAME?</v>
      </c>
      <c r="K22" s="8" t="e">
        <f ca="1">_xludf.ifna(VLOOKUP(VALUE(A22),'Parcial 2'!$A$2:$G$21,7,FALSE),"")</f>
        <v>#NAME?</v>
      </c>
      <c r="L22" s="9" t="e">
        <f ca="1">_xludf.ifna(VLOOKUP(LEFT(D22,LEN(D22)-1),Xtra!$C$6:$N$53,12,FALSE),"")</f>
        <v>#NAME?</v>
      </c>
      <c r="M22" s="10" t="e">
        <f t="shared" ca="1" si="3"/>
        <v>#NAME?</v>
      </c>
      <c r="N22" s="11" t="e">
        <f t="shared" ca="1" si="1"/>
        <v>#NAME?</v>
      </c>
      <c r="O22" s="12">
        <f>Partic!S22/(COUNTA(Partic!D$1:S$1)-1)</f>
        <v>0.13333333333333333</v>
      </c>
      <c r="P22" s="12">
        <f>VLOOKUP(LEFT(D22,LEN(D22)-1),Tareas!$A$2:$Q$31,17,FALSE)</f>
        <v>0.5</v>
      </c>
      <c r="Q22" s="13" t="e">
        <f t="shared" ca="1" si="2"/>
        <v>#NAME?</v>
      </c>
    </row>
    <row r="23" spans="1:17">
      <c r="A23" s="4">
        <v>32121917</v>
      </c>
      <c r="B23" s="4" t="s">
        <v>201</v>
      </c>
      <c r="C23" s="4" t="s">
        <v>202</v>
      </c>
      <c r="D23" s="2" t="s">
        <v>204</v>
      </c>
      <c r="E23" s="3"/>
      <c r="F23" s="6">
        <f>VLOOKUP(LEFT(D23,LEN(D23)-1),'Eval. Cont.'!$A$2:$Q$31,17,FALSE)</f>
        <v>17.059285714285714</v>
      </c>
      <c r="G23" s="7">
        <f>'Quiz 1'!G24/2</f>
        <v>6.5</v>
      </c>
      <c r="H23" s="8" t="e">
        <f ca="1">_xludf.ifna(VLOOKUP(VALUE(A23),'Parcial 1'!$A$2:$H$28,8,FALSE),"")</f>
        <v>#NAME?</v>
      </c>
      <c r="I23" s="7">
        <f>IF('Quiz 2'!K24&lt;&gt;"",'Quiz 2'!K24/2,"")</f>
        <v>4.5</v>
      </c>
      <c r="J23" s="6" t="e">
        <f ca="1">_xludf.ifna(VLOOKUP(VALUE(A23),Proyecto!$A$3:$AA$23,27,FALSE),"")</f>
        <v>#NAME?</v>
      </c>
      <c r="K23" s="8" t="e">
        <f ca="1">_xludf.ifna(VLOOKUP(VALUE(A23),'Parcial 2'!$A$2:$G$21,7,FALSE),"")</f>
        <v>#NAME?</v>
      </c>
      <c r="L23" s="9" t="e">
        <f ca="1">_xludf.ifna(VLOOKUP(LEFT(D23,LEN(D23)-1),Xtra!$C$6:$N$53,12,FALSE),"")</f>
        <v>#NAME?</v>
      </c>
      <c r="M23" s="10" t="e">
        <f t="shared" ca="1" si="3"/>
        <v>#NAME?</v>
      </c>
      <c r="N23" s="11" t="e">
        <f t="shared" ca="1" si="1"/>
        <v>#NAME?</v>
      </c>
      <c r="O23" s="12">
        <f>Partic!S23/(COUNTA(Partic!D$1:S$1)-1)</f>
        <v>1.1333333333333333</v>
      </c>
      <c r="P23" s="12">
        <f>VLOOKUP(LEFT(D23,LEN(D23)-1),Tareas!$A$2:$Q$31,17,FALSE)</f>
        <v>0.42857142857142855</v>
      </c>
      <c r="Q23" s="14">
        <v>19</v>
      </c>
    </row>
    <row r="24" spans="1:17">
      <c r="A24" s="4">
        <v>33921124</v>
      </c>
      <c r="B24" s="4" t="s">
        <v>209</v>
      </c>
      <c r="C24" s="4" t="s">
        <v>210</v>
      </c>
      <c r="D24" s="2" t="s">
        <v>211</v>
      </c>
      <c r="E24" s="3"/>
      <c r="F24" s="6">
        <f>VLOOKUP(LEFT(D24,LEN(D24)-1),'Eval. Cont.'!$A$2:$Q$31,17,FALSE)</f>
        <v>15.738571428571431</v>
      </c>
      <c r="G24" s="7">
        <f>'Quiz 1'!G25/2</f>
        <v>0.5</v>
      </c>
      <c r="H24" s="8" t="e">
        <f ca="1">_xludf.ifna(VLOOKUP(VALUE(A24),'Parcial 1'!$A$2:$H$28,8,FALSE),"")</f>
        <v>#NAME?</v>
      </c>
      <c r="I24" s="7">
        <f>IF('Quiz 2'!K25&lt;&gt;"",'Quiz 2'!K25/2,"")</f>
        <v>3.625</v>
      </c>
      <c r="J24" s="6" t="e">
        <f ca="1">_xludf.ifna(VLOOKUP(VALUE(A24),Proyecto!$A$3:$AA$23,27,FALSE),"")</f>
        <v>#NAME?</v>
      </c>
      <c r="K24" s="8" t="e">
        <f ca="1">_xludf.ifna(VLOOKUP(VALUE(A24),'Parcial 2'!$A$2:$G$21,7,FALSE),"")</f>
        <v>#NAME?</v>
      </c>
      <c r="L24" s="9" t="e">
        <f ca="1">_xludf.ifna(VLOOKUP(LEFT(D24,LEN(D24)-1),Xtra!$C$6:$N$53,12,FALSE),"")</f>
        <v>#NAME?</v>
      </c>
      <c r="M24" s="10" t="e">
        <f t="shared" ca="1" si="3"/>
        <v>#NAME?</v>
      </c>
      <c r="N24" s="11" t="e">
        <f t="shared" ca="1" si="1"/>
        <v>#NAME?</v>
      </c>
      <c r="O24" s="12">
        <f>Partic!S24/(COUNTA(Partic!D$1:S$1)-1)</f>
        <v>0.2</v>
      </c>
      <c r="P24" s="12">
        <f>VLOOKUP(LEFT(D24,LEN(D24)-1),Tareas!$A$2:$Q$31,17,FALSE)</f>
        <v>0.21428571428571427</v>
      </c>
      <c r="Q24" s="13" t="e">
        <f t="shared" ref="Q24:Q31" ca="1" si="4">IF(E24="Retirado","R",N24+MAX(O24:P24))</f>
        <v>#NAME?</v>
      </c>
    </row>
    <row r="25" spans="1:17">
      <c r="A25" s="4">
        <v>31703910</v>
      </c>
      <c r="B25" s="4" t="s">
        <v>217</v>
      </c>
      <c r="C25" s="4" t="s">
        <v>112</v>
      </c>
      <c r="D25" s="2" t="s">
        <v>219</v>
      </c>
      <c r="E25" s="5"/>
      <c r="F25" s="6">
        <f>VLOOKUP(LEFT(D25,LEN(D25)-1),'Eval. Cont.'!$A$2:$Q$31,17,FALSE)</f>
        <v>16.464285714285715</v>
      </c>
      <c r="G25" s="7">
        <f>'Quiz 1'!G26/2</f>
        <v>0</v>
      </c>
      <c r="H25" s="8" t="e">
        <f ca="1">_xludf.ifna(VLOOKUP(VALUE(A25),'Parcial 1'!$A$2:$H$28,8,FALSE),"")</f>
        <v>#NAME?</v>
      </c>
      <c r="I25" s="7">
        <f>IF('Quiz 2'!K26&lt;&gt;"",'Quiz 2'!K26/2,"")</f>
        <v>0.75</v>
      </c>
      <c r="J25" s="6" t="e">
        <f ca="1">_xludf.ifna(VLOOKUP(VALUE(A25),Proyecto!$A$3:$AA$23,27,FALSE),"")</f>
        <v>#NAME?</v>
      </c>
      <c r="K25" s="8" t="e">
        <f ca="1">_xludf.ifna(VLOOKUP(VALUE(A25),'Parcial 2'!$A$2:$G$21,7,FALSE),"")</f>
        <v>#NAME?</v>
      </c>
      <c r="L25" s="9" t="e">
        <f ca="1">_xludf.ifna(VLOOKUP(LEFT(D25,LEN(D25)-1),Xtra!$C$6:$N$53,12,FALSE),"")</f>
        <v>#NAME?</v>
      </c>
      <c r="M25" s="10" t="e">
        <f t="shared" ca="1" si="3"/>
        <v>#NAME?</v>
      </c>
      <c r="N25" s="11" t="e">
        <f t="shared" ca="1" si="1"/>
        <v>#NAME?</v>
      </c>
      <c r="O25" s="12">
        <f>Partic!S25/(COUNTA(Partic!D$1:S$1)-1)</f>
        <v>0.2</v>
      </c>
      <c r="P25" s="12">
        <f>VLOOKUP(LEFT(D25,LEN(D25)-1),Tareas!$A$2:$Q$31,17,FALSE)</f>
        <v>0.14285714285714285</v>
      </c>
      <c r="Q25" s="13" t="e">
        <f t="shared" ca="1" si="4"/>
        <v>#NAME?</v>
      </c>
    </row>
    <row r="26" spans="1:17">
      <c r="A26" s="4">
        <v>32122110</v>
      </c>
      <c r="B26" s="4" t="s">
        <v>225</v>
      </c>
      <c r="C26" s="4" t="s">
        <v>226</v>
      </c>
      <c r="D26" s="2" t="s">
        <v>228</v>
      </c>
      <c r="E26" s="3"/>
      <c r="F26" s="6">
        <f>VLOOKUP(LEFT(D26,LEN(D26)-1),'Eval. Cont.'!$A$2:$Q$31,17,FALSE)</f>
        <v>12.344999999999999</v>
      </c>
      <c r="G26" s="7">
        <f>'Quiz 1'!G27/2</f>
        <v>2.75</v>
      </c>
      <c r="H26" s="8" t="e">
        <f ca="1">_xludf.ifna(VLOOKUP(VALUE(A26),'Parcial 1'!$A$2:$H$28,8,FALSE),"")</f>
        <v>#NAME?</v>
      </c>
      <c r="I26" s="7">
        <f>IF('Quiz 2'!K27&lt;&gt;"",'Quiz 2'!K27/2,"")</f>
        <v>2.875</v>
      </c>
      <c r="J26" s="6" t="e">
        <f ca="1">_xludf.ifna(VLOOKUP(VALUE(A26),Proyecto!$A$3:$AA$23,27,FALSE),"")</f>
        <v>#NAME?</v>
      </c>
      <c r="K26" s="8" t="e">
        <f ca="1">_xludf.ifna(VLOOKUP(VALUE(A26),'Parcial 2'!$A$2:$G$21,7,FALSE),"")</f>
        <v>#NAME?</v>
      </c>
      <c r="L26" s="9" t="e">
        <f ca="1">_xludf.ifna(VLOOKUP(LEFT(D26,LEN(D26)-1),Xtra!$C$6:$N$53,12,FALSE),"")</f>
        <v>#NAME?</v>
      </c>
      <c r="M26" s="10" t="e">
        <f t="shared" ca="1" si="3"/>
        <v>#NAME?</v>
      </c>
      <c r="N26" s="11" t="e">
        <f t="shared" ca="1" si="1"/>
        <v>#NAME?</v>
      </c>
      <c r="O26" s="12">
        <f>Partic!S26/(COUNTA(Partic!D$1:S$1)-1)</f>
        <v>0.66666666666666663</v>
      </c>
      <c r="P26" s="12">
        <f>VLOOKUP(LEFT(D26,LEN(D26)-1),Tareas!$A$2:$Q$31,17,FALSE)</f>
        <v>0.21428571428571427</v>
      </c>
      <c r="Q26" s="13" t="e">
        <f t="shared" ca="1" si="4"/>
        <v>#NAME?</v>
      </c>
    </row>
    <row r="27" spans="1:17">
      <c r="A27" s="4">
        <v>30720123</v>
      </c>
      <c r="B27" s="4" t="s">
        <v>234</v>
      </c>
      <c r="C27" s="4" t="s">
        <v>235</v>
      </c>
      <c r="D27" s="2" t="s">
        <v>236</v>
      </c>
      <c r="E27" s="3"/>
      <c r="F27" s="6">
        <f>VLOOKUP(LEFT(D27,LEN(D27)-1),'Eval. Cont.'!$A$2:$Q$31,17,FALSE)</f>
        <v>14.512142857142859</v>
      </c>
      <c r="G27" s="7">
        <f>'Quiz 1'!G28/2</f>
        <v>5</v>
      </c>
      <c r="H27" s="8" t="e">
        <f ca="1">_xludf.ifna(VLOOKUP(VALUE(A27),'Parcial 1'!$A$2:$H$28,8,FALSE),"")</f>
        <v>#NAME?</v>
      </c>
      <c r="I27" s="7">
        <f>IF('Quiz 2'!K28&lt;&gt;"",'Quiz 2'!K28/2,"")</f>
        <v>5.875</v>
      </c>
      <c r="J27" s="6" t="e">
        <f ca="1">_xludf.ifna(VLOOKUP(VALUE(A27),Proyecto!$A$3:$AA$23,27,FALSE),"")</f>
        <v>#NAME?</v>
      </c>
      <c r="K27" s="8" t="e">
        <f ca="1">_xludf.ifna(VLOOKUP(VALUE(A27),'Parcial 2'!$A$2:$G$21,7,FALSE),"")</f>
        <v>#NAME?</v>
      </c>
      <c r="L27" s="9" t="e">
        <f ca="1">_xludf.ifna(VLOOKUP(LEFT(D27,LEN(D27)-1),Xtra!$C$6:$N$53,12,FALSE),"")</f>
        <v>#NAME?</v>
      </c>
      <c r="M27" s="10" t="e">
        <f t="shared" ca="1" si="3"/>
        <v>#NAME?</v>
      </c>
      <c r="N27" s="11" t="e">
        <f t="shared" ca="1" si="1"/>
        <v>#NAME?</v>
      </c>
      <c r="O27" s="12">
        <f>Partic!S27/(COUNTA(Partic!D$1:S$1)-1)</f>
        <v>0</v>
      </c>
      <c r="P27" s="12">
        <f>VLOOKUP(LEFT(D27,LEN(D27)-1),Tareas!$A$2:$Q$31,17,FALSE)</f>
        <v>0.14285714285714285</v>
      </c>
      <c r="Q27" s="13" t="e">
        <f t="shared" ca="1" si="4"/>
        <v>#NAME?</v>
      </c>
    </row>
    <row r="28" spans="1:17">
      <c r="A28" s="4">
        <v>29895575</v>
      </c>
      <c r="B28" s="4" t="s">
        <v>242</v>
      </c>
      <c r="C28" s="4" t="s">
        <v>243</v>
      </c>
      <c r="D28" s="2" t="s">
        <v>245</v>
      </c>
      <c r="E28" s="5"/>
      <c r="F28" s="6">
        <f>VLOOKUP(LEFT(D28,LEN(D28)-1),'Eval. Cont.'!$A$2:$Q$31,17,FALSE)</f>
        <v>15.071428571428571</v>
      </c>
      <c r="G28" s="7">
        <f>'Quiz 1'!G29/2</f>
        <v>4.5</v>
      </c>
      <c r="H28" s="8" t="e">
        <f ca="1">_xludf.ifna(VLOOKUP(VALUE(A28),'Parcial 1'!$A$2:$H$28,8,FALSE),"")</f>
        <v>#NAME?</v>
      </c>
      <c r="I28" s="7" t="str">
        <f>IF('Quiz 2'!K29&lt;&gt;"",'Quiz 2'!K29/2,"")</f>
        <v/>
      </c>
      <c r="J28" s="6" t="e">
        <f ca="1">_xludf.ifna(VLOOKUP(VALUE(A28),Proyecto!$A$3:$AA$23,27,FALSE),"")</f>
        <v>#NAME?</v>
      </c>
      <c r="K28" s="8" t="e">
        <f ca="1">_xludf.ifna(VLOOKUP(VALUE(A28),'Parcial 2'!$A$2:$G$21,7,FALSE),"")</f>
        <v>#NAME?</v>
      </c>
      <c r="L28" s="9" t="e">
        <f ca="1">_xludf.ifna(VLOOKUP(LEFT(D28,LEN(D28)-1),Xtra!$C$6:$N$53,12,FALSE),"")</f>
        <v>#NAME?</v>
      </c>
      <c r="M28" s="10" t="e">
        <f t="shared" ca="1" si="3"/>
        <v>#NAME?</v>
      </c>
      <c r="N28" s="11" t="e">
        <f t="shared" ca="1" si="1"/>
        <v>#NAME?</v>
      </c>
      <c r="O28" s="12">
        <f>Partic!S28/(COUNTA(Partic!D$1:S$1)-1)</f>
        <v>0.73333333333333328</v>
      </c>
      <c r="P28" s="12">
        <f>VLOOKUP(LEFT(D28,LEN(D28)-1),Tareas!$A$2:$Q$31,17,FALSE)</f>
        <v>0.5</v>
      </c>
      <c r="Q28" s="13" t="e">
        <f t="shared" ca="1" si="4"/>
        <v>#NAME?</v>
      </c>
    </row>
    <row r="29" spans="1:17">
      <c r="A29" s="4">
        <v>31615220</v>
      </c>
      <c r="B29" s="4" t="s">
        <v>251</v>
      </c>
      <c r="C29" s="4" t="s">
        <v>252</v>
      </c>
      <c r="D29" s="2" t="s">
        <v>254</v>
      </c>
      <c r="E29" s="5" t="s">
        <v>286</v>
      </c>
      <c r="F29" s="6">
        <f>VLOOKUP(LEFT(D29,LEN(D29)-1),'Eval. Cont.'!$A$2:$Q$31,17,FALSE)</f>
        <v>1.2857142857142858</v>
      </c>
      <c r="G29" s="7">
        <f>'Quiz 1'!G30/2</f>
        <v>0</v>
      </c>
      <c r="H29" s="8" t="e">
        <f ca="1">_xludf.ifna(VLOOKUP(VALUE(A29),'Parcial 1'!$A$2:$H$28,8,FALSE),"")</f>
        <v>#NAME?</v>
      </c>
      <c r="I29" s="7">
        <f>IF('Quiz 2'!K30&lt;&gt;"",'Quiz 2'!K30/2,"")</f>
        <v>1.75</v>
      </c>
      <c r="J29" s="6" t="e">
        <f ca="1">_xludf.ifna(VLOOKUP(VALUE(A29),Proyecto!$A$3:$AA$23,27,FALSE),"")</f>
        <v>#NAME?</v>
      </c>
      <c r="K29" s="8" t="e">
        <f ca="1">_xludf.ifna(VLOOKUP(VALUE(A29),'Parcial 2'!$A$2:$G$21,7,FALSE),"")</f>
        <v>#NAME?</v>
      </c>
      <c r="L29" s="9" t="e">
        <f ca="1">_xludf.ifna(VLOOKUP(LEFT(D29,LEN(D29)-1),Xtra!$C$6:$N$53,12,FALSE),"")</f>
        <v>#NAME?</v>
      </c>
      <c r="M29" s="10" t="e">
        <f t="shared" ca="1" si="3"/>
        <v>#NAME?</v>
      </c>
      <c r="N29" s="11" t="e">
        <f t="shared" ca="1" si="1"/>
        <v>#NAME?</v>
      </c>
      <c r="O29" s="12">
        <f>Partic!S29/(COUNTA(Partic!D$1:S$1)-1)</f>
        <v>0</v>
      </c>
      <c r="P29" s="12">
        <f>VLOOKUP(LEFT(D29,LEN(D29)-1),Tareas!$A$2:$Q$31,17,FALSE)</f>
        <v>0.14285714285714285</v>
      </c>
      <c r="Q29" s="13" t="str">
        <f t="shared" si="4"/>
        <v>R</v>
      </c>
    </row>
    <row r="30" spans="1:17">
      <c r="A30" s="4">
        <v>30022208</v>
      </c>
      <c r="B30" s="4" t="s">
        <v>260</v>
      </c>
      <c r="C30" s="4" t="s">
        <v>61</v>
      </c>
      <c r="D30" s="2" t="s">
        <v>261</v>
      </c>
      <c r="E30" s="3"/>
      <c r="F30" s="6">
        <f>VLOOKUP(LEFT(D30,LEN(D30)-1),'Eval. Cont.'!$A$2:$Q$31,17,FALSE)</f>
        <v>13.178571428571429</v>
      </c>
      <c r="G30" s="7">
        <f>'Quiz 1'!G31/2</f>
        <v>0.25</v>
      </c>
      <c r="H30" s="8" t="e">
        <f ca="1">_xludf.ifna(VLOOKUP(VALUE(A30),'Parcial 1'!$A$2:$H$28,8,FALSE),"")</f>
        <v>#NAME?</v>
      </c>
      <c r="I30" s="7">
        <f>IF('Quiz 2'!K31&lt;&gt;"",'Quiz 2'!K31/2,"")</f>
        <v>3.375</v>
      </c>
      <c r="J30" s="6" t="e">
        <f ca="1">_xludf.ifna(VLOOKUP(VALUE(A30),Proyecto!$A$3:$AA$23,27,FALSE),"")</f>
        <v>#NAME?</v>
      </c>
      <c r="K30" s="8" t="e">
        <f ca="1">_xludf.ifna(VLOOKUP(VALUE(A30),'Parcial 2'!$A$2:$G$21,7,FALSE),"")</f>
        <v>#NAME?</v>
      </c>
      <c r="L30" s="9" t="e">
        <f ca="1">_xludf.ifna(VLOOKUP(LEFT(D30,LEN(D30)-1),Xtra!$C$6:$N$53,12,FALSE),"")</f>
        <v>#NAME?</v>
      </c>
      <c r="M30" s="10" t="e">
        <f t="shared" ca="1" si="3"/>
        <v>#NAME?</v>
      </c>
      <c r="N30" s="11" t="e">
        <f t="shared" ca="1" si="1"/>
        <v>#NAME?</v>
      </c>
      <c r="O30" s="12">
        <f>Partic!S30/(COUNTA(Partic!D$1:S$1)-1)</f>
        <v>0.33333333333333331</v>
      </c>
      <c r="P30" s="12">
        <f>VLOOKUP(LEFT(D30,LEN(D30)-1),Tareas!$A$2:$Q$31,17,FALSE)</f>
        <v>0.2857142857142857</v>
      </c>
      <c r="Q30" s="13" t="e">
        <f t="shared" ca="1" si="4"/>
        <v>#NAME?</v>
      </c>
    </row>
    <row r="31" spans="1:17">
      <c r="A31" s="4">
        <v>31963201</v>
      </c>
      <c r="B31" s="4" t="s">
        <v>267</v>
      </c>
      <c r="C31" s="4" t="s">
        <v>268</v>
      </c>
      <c r="D31" s="2" t="s">
        <v>270</v>
      </c>
      <c r="E31" s="3"/>
      <c r="F31" s="6">
        <f>VLOOKUP(LEFT(D31,LEN(D31)-1),'Eval. Cont.'!$A$2:$Q$31,17,FALSE)</f>
        <v>18.583571428571428</v>
      </c>
      <c r="G31" s="7">
        <f>'Quiz 1'!G32/2</f>
        <v>1</v>
      </c>
      <c r="H31" s="8" t="e">
        <f ca="1">_xludf.ifna(VLOOKUP(VALUE(A31),'Parcial 1'!$A$2:$H$28,8,FALSE),"")</f>
        <v>#NAME?</v>
      </c>
      <c r="I31" s="7">
        <f>IF('Quiz 2'!K32&lt;&gt;"",'Quiz 2'!K32/2,"")</f>
        <v>2</v>
      </c>
      <c r="J31" s="6" t="e">
        <f ca="1">_xludf.ifna(VLOOKUP(VALUE(A31),Proyecto!$A$3:$AA$23,27,FALSE),"")</f>
        <v>#NAME?</v>
      </c>
      <c r="K31" s="8" t="e">
        <f ca="1">_xludf.ifna(VLOOKUP(VALUE(A31),'Parcial 2'!$A$2:$G$21,7,FALSE),"")</f>
        <v>#NAME?</v>
      </c>
      <c r="L31" s="9" t="e">
        <f ca="1">_xludf.ifna(VLOOKUP(LEFT(D31,LEN(D31)-1),Xtra!$C$6:$N$53,12,FALSE),"")</f>
        <v>#NAME?</v>
      </c>
      <c r="M31" s="10" t="e">
        <f t="shared" ca="1" si="3"/>
        <v>#NAME?</v>
      </c>
      <c r="N31" s="11" t="e">
        <f t="shared" ca="1" si="1"/>
        <v>#NAME?</v>
      </c>
      <c r="O31" s="12">
        <f>Partic!S31/(COUNTA(Partic!D$1:S$1)-1)</f>
        <v>0.13333333333333333</v>
      </c>
      <c r="P31" s="12">
        <f>VLOOKUP(LEFT(D31,LEN(D31)-1),Tareas!$A$2:$Q$31,17,FALSE)</f>
        <v>7.1428571428571425E-2</v>
      </c>
      <c r="Q31" s="13" t="e">
        <f t="shared" ca="1" si="4"/>
        <v>#NAME?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32"/>
  <sheetViews>
    <sheetView workbookViewId="0"/>
  </sheetViews>
  <sheetFormatPr baseColWidth="10" defaultColWidth="14.5" defaultRowHeight="15" customHeight="1"/>
  <cols>
    <col min="1" max="1" width="20.1640625" customWidth="1"/>
    <col min="2" max="2" width="12.6640625" customWidth="1"/>
    <col min="3" max="3" width="10.83203125" customWidth="1"/>
    <col min="4" max="5" width="12.6640625" customWidth="1"/>
    <col min="6" max="6" width="13.83203125" customWidth="1"/>
    <col min="7" max="7" width="16" customWidth="1"/>
  </cols>
  <sheetData>
    <row r="1" spans="1:7">
      <c r="A1" s="142" t="s">
        <v>17</v>
      </c>
      <c r="B1" s="15" t="s">
        <v>287</v>
      </c>
      <c r="C1" s="15" t="s">
        <v>288</v>
      </c>
      <c r="D1" s="15" t="s">
        <v>289</v>
      </c>
      <c r="E1" s="15" t="s">
        <v>290</v>
      </c>
      <c r="F1" s="16" t="s">
        <v>291</v>
      </c>
      <c r="G1" s="142" t="s">
        <v>292</v>
      </c>
    </row>
    <row r="2" spans="1:7">
      <c r="A2" s="143"/>
      <c r="B2" s="17" t="s">
        <v>293</v>
      </c>
      <c r="C2" s="17" t="s">
        <v>294</v>
      </c>
      <c r="D2" s="17" t="s">
        <v>293</v>
      </c>
      <c r="E2" s="17" t="s">
        <v>293</v>
      </c>
      <c r="F2" s="18" t="s">
        <v>293</v>
      </c>
      <c r="G2" s="143"/>
    </row>
    <row r="3" spans="1:7">
      <c r="A3" s="1" t="s">
        <v>295</v>
      </c>
      <c r="B3" s="19"/>
      <c r="C3" s="19"/>
      <c r="D3" s="19"/>
      <c r="E3" s="19"/>
      <c r="F3" s="20"/>
      <c r="G3" s="21"/>
    </row>
    <row r="4" spans="1:7">
      <c r="A4" s="22" t="s">
        <v>296</v>
      </c>
      <c r="B4" s="19">
        <v>0</v>
      </c>
      <c r="C4" s="19">
        <v>0</v>
      </c>
      <c r="D4" s="19">
        <v>0</v>
      </c>
      <c r="E4" s="19">
        <v>0</v>
      </c>
      <c r="F4" s="20">
        <v>1.25</v>
      </c>
      <c r="G4" s="21">
        <v>1.25</v>
      </c>
    </row>
    <row r="5" spans="1:7">
      <c r="A5" s="22" t="s">
        <v>297</v>
      </c>
      <c r="B5" s="19">
        <v>0</v>
      </c>
      <c r="C5" s="19">
        <v>2.5</v>
      </c>
      <c r="D5" s="19">
        <v>0</v>
      </c>
      <c r="E5" s="19">
        <v>1</v>
      </c>
      <c r="F5" s="20">
        <v>0.5</v>
      </c>
      <c r="G5" s="21">
        <v>4</v>
      </c>
    </row>
    <row r="6" spans="1:7">
      <c r="A6" s="22" t="s">
        <v>298</v>
      </c>
      <c r="B6" s="19">
        <v>0</v>
      </c>
      <c r="C6" s="19">
        <v>0</v>
      </c>
      <c r="D6" s="19">
        <v>0</v>
      </c>
      <c r="E6" s="19">
        <v>0</v>
      </c>
      <c r="F6" s="20">
        <v>0</v>
      </c>
      <c r="G6" s="21">
        <v>0</v>
      </c>
    </row>
    <row r="7" spans="1:7">
      <c r="A7" s="22" t="s">
        <v>299</v>
      </c>
      <c r="B7" s="19">
        <v>0</v>
      </c>
      <c r="C7" s="19">
        <v>0</v>
      </c>
      <c r="D7" s="19">
        <v>0</v>
      </c>
      <c r="E7" s="19">
        <v>0</v>
      </c>
      <c r="F7" s="20">
        <v>0</v>
      </c>
      <c r="G7" s="21">
        <v>0</v>
      </c>
    </row>
    <row r="8" spans="1:7">
      <c r="A8" s="22" t="s">
        <v>300</v>
      </c>
      <c r="B8" s="19">
        <v>5</v>
      </c>
      <c r="C8" s="19">
        <v>1.5</v>
      </c>
      <c r="D8" s="19">
        <v>2</v>
      </c>
      <c r="E8" s="19">
        <v>2</v>
      </c>
      <c r="F8" s="20">
        <v>0</v>
      </c>
      <c r="G8" s="21">
        <v>10.5</v>
      </c>
    </row>
    <row r="9" spans="1:7">
      <c r="A9" s="22" t="s">
        <v>301</v>
      </c>
      <c r="B9" s="19">
        <v>0</v>
      </c>
      <c r="C9" s="19">
        <v>0</v>
      </c>
      <c r="D9" s="19">
        <v>0</v>
      </c>
      <c r="E9" s="19">
        <v>0</v>
      </c>
      <c r="F9" s="20">
        <v>0</v>
      </c>
      <c r="G9" s="21">
        <v>0</v>
      </c>
    </row>
    <row r="10" spans="1:7">
      <c r="A10" s="22" t="s">
        <v>302</v>
      </c>
      <c r="B10" s="19">
        <v>0</v>
      </c>
      <c r="C10" s="19">
        <v>0</v>
      </c>
      <c r="D10" s="19">
        <v>0</v>
      </c>
      <c r="E10" s="19">
        <v>2</v>
      </c>
      <c r="F10" s="20">
        <v>2</v>
      </c>
      <c r="G10" s="21">
        <v>4</v>
      </c>
    </row>
    <row r="11" spans="1:7">
      <c r="A11" s="22" t="s">
        <v>303</v>
      </c>
      <c r="B11" s="19">
        <v>0</v>
      </c>
      <c r="C11" s="19">
        <v>0</v>
      </c>
      <c r="D11" s="19">
        <v>0</v>
      </c>
      <c r="E11" s="19">
        <v>0</v>
      </c>
      <c r="F11" s="23">
        <v>0</v>
      </c>
      <c r="G11" s="21">
        <v>0</v>
      </c>
    </row>
    <row r="12" spans="1:7">
      <c r="A12" s="22" t="s">
        <v>304</v>
      </c>
      <c r="B12" s="19">
        <v>2</v>
      </c>
      <c r="C12" s="19">
        <v>0</v>
      </c>
      <c r="D12" s="19">
        <v>0</v>
      </c>
      <c r="E12" s="19">
        <v>0</v>
      </c>
      <c r="F12" s="20">
        <v>1.5</v>
      </c>
      <c r="G12" s="21">
        <v>3.5</v>
      </c>
    </row>
    <row r="14" spans="1:7">
      <c r="A14" s="22" t="s">
        <v>305</v>
      </c>
      <c r="B14" s="19">
        <v>0</v>
      </c>
      <c r="C14" s="19">
        <v>0</v>
      </c>
      <c r="D14" s="19">
        <v>0</v>
      </c>
      <c r="E14" s="19">
        <v>0</v>
      </c>
      <c r="F14" s="20">
        <v>0</v>
      </c>
      <c r="G14" s="21">
        <v>0</v>
      </c>
    </row>
    <row r="15" spans="1:7">
      <c r="A15" s="22" t="s">
        <v>306</v>
      </c>
      <c r="B15" s="19">
        <v>0</v>
      </c>
      <c r="C15" s="19">
        <v>0</v>
      </c>
      <c r="D15" s="19">
        <v>0</v>
      </c>
      <c r="E15" s="19">
        <v>0</v>
      </c>
      <c r="F15" s="20">
        <v>0</v>
      </c>
      <c r="G15" s="21">
        <v>0</v>
      </c>
    </row>
    <row r="16" spans="1:7">
      <c r="A16" s="22" t="s">
        <v>307</v>
      </c>
      <c r="B16" s="19">
        <v>0</v>
      </c>
      <c r="C16" s="19">
        <v>0</v>
      </c>
      <c r="D16" s="19">
        <v>0</v>
      </c>
      <c r="E16" s="19">
        <v>1</v>
      </c>
      <c r="F16" s="20">
        <v>1</v>
      </c>
      <c r="G16" s="21">
        <v>2</v>
      </c>
    </row>
    <row r="17" spans="1:7">
      <c r="A17" s="22" t="s">
        <v>308</v>
      </c>
      <c r="B17" s="19">
        <v>3</v>
      </c>
      <c r="C17" s="19">
        <v>3.5</v>
      </c>
      <c r="D17" s="19">
        <v>0</v>
      </c>
      <c r="E17" s="19">
        <v>2</v>
      </c>
      <c r="F17" s="20">
        <v>2</v>
      </c>
      <c r="G17" s="21">
        <v>10.5</v>
      </c>
    </row>
    <row r="19" spans="1:7">
      <c r="A19" s="22" t="s">
        <v>309</v>
      </c>
      <c r="B19" s="19">
        <v>0</v>
      </c>
      <c r="C19" s="19">
        <v>0</v>
      </c>
      <c r="D19" s="19">
        <v>0</v>
      </c>
      <c r="E19" s="19">
        <v>0</v>
      </c>
      <c r="F19" s="20">
        <v>0</v>
      </c>
      <c r="G19" s="21">
        <v>0</v>
      </c>
    </row>
    <row r="20" spans="1:7">
      <c r="A20" s="22" t="s">
        <v>310</v>
      </c>
      <c r="B20" s="19">
        <v>0</v>
      </c>
      <c r="C20" s="19">
        <v>0</v>
      </c>
      <c r="D20" s="19">
        <v>0</v>
      </c>
      <c r="E20" s="19">
        <v>0</v>
      </c>
      <c r="F20" s="20">
        <v>1</v>
      </c>
      <c r="G20" s="21">
        <v>1</v>
      </c>
    </row>
    <row r="22" spans="1:7">
      <c r="A22" s="22" t="s">
        <v>311</v>
      </c>
      <c r="B22" s="19">
        <v>0</v>
      </c>
      <c r="C22" s="19">
        <v>5.5</v>
      </c>
      <c r="D22" s="19">
        <v>0</v>
      </c>
      <c r="E22" s="19">
        <v>0</v>
      </c>
      <c r="F22" s="20">
        <v>1</v>
      </c>
      <c r="G22" s="21">
        <v>6.5</v>
      </c>
    </row>
    <row r="23" spans="1:7">
      <c r="A23" s="22" t="s">
        <v>312</v>
      </c>
      <c r="B23" s="19">
        <v>5</v>
      </c>
      <c r="C23" s="19">
        <v>6.5</v>
      </c>
      <c r="D23" s="19">
        <v>0</v>
      </c>
      <c r="E23" s="19">
        <v>2</v>
      </c>
      <c r="F23" s="20">
        <v>2.5</v>
      </c>
      <c r="G23" s="21">
        <v>16</v>
      </c>
    </row>
    <row r="24" spans="1:7">
      <c r="A24" s="22" t="s">
        <v>313</v>
      </c>
      <c r="B24" s="19">
        <v>3</v>
      </c>
      <c r="C24" s="19">
        <v>4</v>
      </c>
      <c r="D24" s="19">
        <v>4</v>
      </c>
      <c r="E24" s="19">
        <v>2</v>
      </c>
      <c r="F24" s="20">
        <v>0</v>
      </c>
      <c r="G24" s="21">
        <v>13</v>
      </c>
    </row>
    <row r="25" spans="1:7">
      <c r="A25" s="22" t="s">
        <v>314</v>
      </c>
      <c r="B25" s="19">
        <v>0</v>
      </c>
      <c r="C25" s="19">
        <v>0</v>
      </c>
      <c r="D25" s="19">
        <v>0</v>
      </c>
      <c r="E25" s="19">
        <v>1</v>
      </c>
      <c r="F25" s="20">
        <v>0</v>
      </c>
      <c r="G25" s="21">
        <v>1</v>
      </c>
    </row>
    <row r="26" spans="1:7">
      <c r="A26" s="22" t="s">
        <v>315</v>
      </c>
      <c r="B26" s="19">
        <v>0</v>
      </c>
      <c r="C26" s="19">
        <v>0</v>
      </c>
      <c r="D26" s="19">
        <v>0</v>
      </c>
      <c r="E26" s="19">
        <v>0</v>
      </c>
      <c r="F26" s="20">
        <v>0</v>
      </c>
      <c r="G26" s="21">
        <v>0</v>
      </c>
    </row>
    <row r="27" spans="1:7">
      <c r="A27" s="22" t="s">
        <v>316</v>
      </c>
      <c r="B27" s="19">
        <v>4</v>
      </c>
      <c r="C27" s="19">
        <v>0</v>
      </c>
      <c r="D27" s="19">
        <v>0</v>
      </c>
      <c r="E27" s="19">
        <v>1.5</v>
      </c>
      <c r="F27" s="20">
        <v>0</v>
      </c>
      <c r="G27" s="21">
        <v>5.5</v>
      </c>
    </row>
    <row r="28" spans="1:7">
      <c r="A28" s="22" t="s">
        <v>317</v>
      </c>
      <c r="B28" s="19">
        <v>0</v>
      </c>
      <c r="C28" s="19">
        <v>7.5</v>
      </c>
      <c r="D28" s="19">
        <v>2.5</v>
      </c>
      <c r="E28" s="19">
        <v>0</v>
      </c>
      <c r="F28" s="20">
        <v>0</v>
      </c>
      <c r="G28" s="21">
        <v>10</v>
      </c>
    </row>
    <row r="29" spans="1:7">
      <c r="A29" s="22" t="s">
        <v>318</v>
      </c>
      <c r="B29" s="19">
        <v>3</v>
      </c>
      <c r="C29" s="19">
        <v>2</v>
      </c>
      <c r="D29" s="19">
        <v>0</v>
      </c>
      <c r="E29" s="19">
        <v>2</v>
      </c>
      <c r="F29" s="20">
        <v>2</v>
      </c>
      <c r="G29" s="21">
        <v>9</v>
      </c>
    </row>
    <row r="31" spans="1:7">
      <c r="A31" s="22" t="s">
        <v>319</v>
      </c>
      <c r="B31" s="19">
        <v>0</v>
      </c>
      <c r="C31" s="19">
        <v>0</v>
      </c>
      <c r="D31" s="19">
        <v>0</v>
      </c>
      <c r="E31" s="19">
        <v>0.5</v>
      </c>
      <c r="F31" s="20">
        <v>0</v>
      </c>
      <c r="G31" s="21">
        <v>0.5</v>
      </c>
    </row>
    <row r="32" spans="1:7">
      <c r="A32" s="22" t="s">
        <v>320</v>
      </c>
      <c r="B32" s="19">
        <v>0</v>
      </c>
      <c r="C32" s="19">
        <v>1</v>
      </c>
      <c r="D32" s="19">
        <v>0</v>
      </c>
      <c r="E32" s="19">
        <v>0</v>
      </c>
      <c r="F32" s="20">
        <v>1</v>
      </c>
      <c r="G32" s="21">
        <v>2</v>
      </c>
    </row>
  </sheetData>
  <mergeCells count="2">
    <mergeCell ref="A1:A2"/>
    <mergeCell ref="G1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28"/>
  <sheetViews>
    <sheetView workbookViewId="0"/>
  </sheetViews>
  <sheetFormatPr baseColWidth="10" defaultColWidth="14.5" defaultRowHeight="15" customHeight="1"/>
  <cols>
    <col min="1" max="1" width="9.5" customWidth="1"/>
    <col min="2" max="2" width="10.5" customWidth="1"/>
    <col min="3" max="3" width="13.5" customWidth="1"/>
    <col min="4" max="4" width="4.1640625" customWidth="1"/>
    <col min="5" max="5" width="5.5" customWidth="1"/>
    <col min="6" max="6" width="8.5" customWidth="1"/>
    <col min="7" max="7" width="10.1640625" customWidth="1"/>
    <col min="8" max="8" width="5.5" customWidth="1"/>
  </cols>
  <sheetData>
    <row r="1" spans="1:8">
      <c r="A1" s="24" t="s">
        <v>14</v>
      </c>
      <c r="B1" s="25" t="s">
        <v>16</v>
      </c>
      <c r="C1" s="25" t="s">
        <v>17</v>
      </c>
      <c r="D1" s="25" t="s">
        <v>321</v>
      </c>
      <c r="E1" s="25" t="s">
        <v>322</v>
      </c>
      <c r="F1" s="25" t="s">
        <v>323</v>
      </c>
      <c r="G1" s="25" t="s">
        <v>324</v>
      </c>
      <c r="H1" s="26" t="s">
        <v>281</v>
      </c>
    </row>
    <row r="2" spans="1:8">
      <c r="A2" s="27">
        <v>31046285</v>
      </c>
      <c r="B2" s="28" t="s">
        <v>176</v>
      </c>
      <c r="C2" s="28" t="s">
        <v>177</v>
      </c>
      <c r="D2" s="29">
        <v>2</v>
      </c>
      <c r="E2" s="29">
        <v>3</v>
      </c>
      <c r="F2" s="30"/>
      <c r="G2" s="30"/>
      <c r="H2" s="31">
        <f t="shared" ref="H2:H8" si="0">SUM(D2:G2)</f>
        <v>5</v>
      </c>
    </row>
    <row r="3" spans="1:8">
      <c r="A3" s="27">
        <v>30598031</v>
      </c>
      <c r="B3" s="30" t="s">
        <v>127</v>
      </c>
      <c r="C3" s="30" t="s">
        <v>94</v>
      </c>
      <c r="D3" s="32">
        <v>3</v>
      </c>
      <c r="E3" s="29">
        <v>3</v>
      </c>
      <c r="F3" s="29">
        <v>0</v>
      </c>
      <c r="G3" s="30"/>
      <c r="H3" s="31">
        <f t="shared" si="0"/>
        <v>6</v>
      </c>
    </row>
    <row r="4" spans="1:8">
      <c r="A4" s="27">
        <v>29895575</v>
      </c>
      <c r="B4" s="30" t="s">
        <v>242</v>
      </c>
      <c r="C4" s="30" t="s">
        <v>243</v>
      </c>
      <c r="D4" s="32">
        <v>3</v>
      </c>
      <c r="E4" s="29">
        <v>3</v>
      </c>
      <c r="F4" s="29">
        <v>5</v>
      </c>
      <c r="G4" s="29">
        <v>5</v>
      </c>
      <c r="H4" s="31">
        <f t="shared" si="0"/>
        <v>16</v>
      </c>
    </row>
    <row r="5" spans="1:8">
      <c r="A5" s="27">
        <v>32121917</v>
      </c>
      <c r="B5" s="30" t="s">
        <v>201</v>
      </c>
      <c r="C5" s="30" t="s">
        <v>202</v>
      </c>
      <c r="D5" s="32">
        <v>2</v>
      </c>
      <c r="E5" s="29">
        <v>3</v>
      </c>
      <c r="F5" s="29">
        <v>6</v>
      </c>
      <c r="G5" s="29">
        <v>7</v>
      </c>
      <c r="H5" s="31">
        <f t="shared" si="0"/>
        <v>18</v>
      </c>
    </row>
    <row r="6" spans="1:8">
      <c r="A6" s="27">
        <v>31448943</v>
      </c>
      <c r="B6" s="30" t="s">
        <v>158</v>
      </c>
      <c r="C6" s="30" t="s">
        <v>159</v>
      </c>
      <c r="D6" s="32">
        <v>3</v>
      </c>
      <c r="E6" s="29">
        <v>3</v>
      </c>
      <c r="F6" s="29">
        <v>0</v>
      </c>
      <c r="G6" s="30"/>
      <c r="H6" s="31">
        <f t="shared" si="0"/>
        <v>6</v>
      </c>
    </row>
    <row r="7" spans="1:8">
      <c r="A7" s="27">
        <v>29666935</v>
      </c>
      <c r="B7" s="30" t="s">
        <v>43</v>
      </c>
      <c r="C7" s="30" t="s">
        <v>44</v>
      </c>
      <c r="D7" s="32">
        <v>2</v>
      </c>
      <c r="E7" s="29">
        <v>3</v>
      </c>
      <c r="F7" s="29">
        <v>5</v>
      </c>
      <c r="G7" s="29">
        <v>2</v>
      </c>
      <c r="H7" s="31">
        <f t="shared" si="0"/>
        <v>12</v>
      </c>
    </row>
    <row r="8" spans="1:8">
      <c r="A8" s="27">
        <v>30765878</v>
      </c>
      <c r="B8" s="30" t="s">
        <v>52</v>
      </c>
      <c r="C8" s="30" t="s">
        <v>53</v>
      </c>
      <c r="D8" s="32">
        <v>2</v>
      </c>
      <c r="E8" s="29">
        <v>3</v>
      </c>
      <c r="F8" s="29">
        <v>4.5</v>
      </c>
      <c r="G8" s="29">
        <v>2</v>
      </c>
      <c r="H8" s="31">
        <f t="shared" si="0"/>
        <v>11.5</v>
      </c>
    </row>
    <row r="9" spans="1:8">
      <c r="A9" s="27">
        <v>28410856</v>
      </c>
      <c r="B9" s="30" t="s">
        <v>26</v>
      </c>
      <c r="C9" s="30" t="s">
        <v>27</v>
      </c>
      <c r="D9" s="32">
        <v>2</v>
      </c>
      <c r="E9" s="29">
        <v>3</v>
      </c>
      <c r="F9" s="30"/>
      <c r="G9" s="30"/>
      <c r="H9" s="31">
        <v>0</v>
      </c>
    </row>
    <row r="10" spans="1:8">
      <c r="A10" s="27">
        <v>31112818</v>
      </c>
      <c r="B10" s="30" t="s">
        <v>93</v>
      </c>
      <c r="C10" s="30" t="s">
        <v>94</v>
      </c>
      <c r="D10" s="32">
        <v>2</v>
      </c>
      <c r="E10" s="29">
        <v>3</v>
      </c>
      <c r="F10" s="29">
        <v>4.5</v>
      </c>
      <c r="G10" s="30"/>
      <c r="H10" s="31">
        <v>0</v>
      </c>
    </row>
    <row r="11" spans="1:8">
      <c r="A11" s="27">
        <v>30849611</v>
      </c>
      <c r="B11" s="30" t="s">
        <v>35</v>
      </c>
      <c r="C11" s="30" t="s">
        <v>36</v>
      </c>
      <c r="D11" s="32">
        <v>2</v>
      </c>
      <c r="E11" s="29">
        <v>3</v>
      </c>
      <c r="F11" s="29">
        <v>4.5</v>
      </c>
      <c r="G11" s="30"/>
      <c r="H11" s="31">
        <f t="shared" ref="H11:H16" si="1">SUM(D11:G11)</f>
        <v>9.5</v>
      </c>
    </row>
    <row r="12" spans="1:8">
      <c r="A12" s="27">
        <v>31703910</v>
      </c>
      <c r="B12" s="30" t="s">
        <v>217</v>
      </c>
      <c r="C12" s="30" t="s">
        <v>112</v>
      </c>
      <c r="D12" s="32">
        <v>4</v>
      </c>
      <c r="E12" s="29">
        <v>3</v>
      </c>
      <c r="F12" s="29">
        <v>1</v>
      </c>
      <c r="G12" s="29">
        <v>0</v>
      </c>
      <c r="H12" s="31">
        <f t="shared" si="1"/>
        <v>8</v>
      </c>
    </row>
    <row r="13" spans="1:8">
      <c r="A13" s="27">
        <v>31988236</v>
      </c>
      <c r="B13" s="30" t="s">
        <v>84</v>
      </c>
      <c r="C13" s="30" t="s">
        <v>85</v>
      </c>
      <c r="D13" s="32">
        <v>4</v>
      </c>
      <c r="E13" s="29">
        <v>3</v>
      </c>
      <c r="F13" s="29">
        <v>6</v>
      </c>
      <c r="G13" s="29">
        <v>0</v>
      </c>
      <c r="H13" s="31">
        <f t="shared" si="1"/>
        <v>13</v>
      </c>
    </row>
    <row r="14" spans="1:8">
      <c r="A14" s="27">
        <v>32242412</v>
      </c>
      <c r="B14" s="30" t="s">
        <v>118</v>
      </c>
      <c r="C14" s="30" t="s">
        <v>119</v>
      </c>
      <c r="D14" s="32">
        <v>2</v>
      </c>
      <c r="E14" s="29">
        <v>3</v>
      </c>
      <c r="F14" s="29">
        <v>3</v>
      </c>
      <c r="G14" s="29">
        <v>0</v>
      </c>
      <c r="H14" s="31">
        <f t="shared" si="1"/>
        <v>8</v>
      </c>
    </row>
    <row r="15" spans="1:8">
      <c r="A15" s="27">
        <v>32122110</v>
      </c>
      <c r="B15" s="30" t="s">
        <v>225</v>
      </c>
      <c r="C15" s="30" t="s">
        <v>226</v>
      </c>
      <c r="D15" s="32">
        <v>2</v>
      </c>
      <c r="E15" s="29">
        <v>3</v>
      </c>
      <c r="F15" s="29">
        <v>4</v>
      </c>
      <c r="G15" s="29">
        <v>6</v>
      </c>
      <c r="H15" s="31">
        <f t="shared" si="1"/>
        <v>15</v>
      </c>
    </row>
    <row r="16" spans="1:8">
      <c r="A16" s="27">
        <v>33921124</v>
      </c>
      <c r="B16" s="30" t="s">
        <v>209</v>
      </c>
      <c r="C16" s="30" t="s">
        <v>210</v>
      </c>
      <c r="D16" s="32">
        <v>2</v>
      </c>
      <c r="E16" s="29">
        <v>3</v>
      </c>
      <c r="F16" s="29">
        <v>2</v>
      </c>
      <c r="G16" s="29">
        <v>1</v>
      </c>
      <c r="H16" s="31">
        <f t="shared" si="1"/>
        <v>8</v>
      </c>
    </row>
    <row r="17" spans="1:8">
      <c r="A17" s="27">
        <v>30720123</v>
      </c>
      <c r="B17" s="30" t="s">
        <v>234</v>
      </c>
      <c r="C17" s="30" t="s">
        <v>235</v>
      </c>
      <c r="D17" s="32">
        <v>3</v>
      </c>
      <c r="E17" s="29">
        <v>3</v>
      </c>
      <c r="F17" s="29">
        <v>6</v>
      </c>
      <c r="G17" s="30"/>
      <c r="H17" s="31">
        <v>0</v>
      </c>
    </row>
    <row r="18" spans="1:8">
      <c r="A18" s="27">
        <v>30022208</v>
      </c>
      <c r="B18" s="30" t="s">
        <v>260</v>
      </c>
      <c r="C18" s="30" t="s">
        <v>61</v>
      </c>
      <c r="D18" s="32">
        <v>3</v>
      </c>
      <c r="E18" s="29">
        <v>3</v>
      </c>
      <c r="F18" s="29">
        <v>2</v>
      </c>
      <c r="G18" s="29">
        <v>1</v>
      </c>
      <c r="H18" s="31">
        <f t="shared" ref="H18:H28" si="2">SUM(D18:G18)</f>
        <v>9</v>
      </c>
    </row>
    <row r="19" spans="1:8">
      <c r="A19" s="27">
        <v>32729082</v>
      </c>
      <c r="B19" s="30" t="s">
        <v>60</v>
      </c>
      <c r="C19" s="30" t="s">
        <v>61</v>
      </c>
      <c r="D19" s="32">
        <v>3</v>
      </c>
      <c r="E19" s="29">
        <v>3</v>
      </c>
      <c r="F19" s="30"/>
      <c r="G19" s="30"/>
      <c r="H19" s="31">
        <f t="shared" si="2"/>
        <v>6</v>
      </c>
    </row>
    <row r="20" spans="1:8">
      <c r="A20" s="27">
        <v>30030485</v>
      </c>
      <c r="B20" s="30" t="s">
        <v>102</v>
      </c>
      <c r="C20" s="30" t="s">
        <v>103</v>
      </c>
      <c r="D20" s="32">
        <v>3</v>
      </c>
      <c r="E20" s="29">
        <v>3</v>
      </c>
      <c r="F20" s="29">
        <v>5</v>
      </c>
      <c r="G20" s="29">
        <v>7</v>
      </c>
      <c r="H20" s="31">
        <f t="shared" si="2"/>
        <v>18</v>
      </c>
    </row>
    <row r="21" spans="1:8">
      <c r="A21" s="27">
        <v>31071592</v>
      </c>
      <c r="B21" s="30" t="s">
        <v>68</v>
      </c>
      <c r="C21" s="30" t="s">
        <v>69</v>
      </c>
      <c r="D21" s="32">
        <v>2</v>
      </c>
      <c r="E21" s="29">
        <v>3</v>
      </c>
      <c r="F21" s="29">
        <v>6</v>
      </c>
      <c r="G21" s="29">
        <v>6</v>
      </c>
      <c r="H21" s="31">
        <f t="shared" si="2"/>
        <v>17</v>
      </c>
    </row>
    <row r="22" spans="1:8">
      <c r="A22" s="27">
        <v>31852058</v>
      </c>
      <c r="B22" s="30" t="s">
        <v>135</v>
      </c>
      <c r="C22" s="30" t="s">
        <v>136</v>
      </c>
      <c r="D22" s="32">
        <v>2</v>
      </c>
      <c r="E22" s="29">
        <v>3</v>
      </c>
      <c r="F22" s="29">
        <v>6</v>
      </c>
      <c r="G22" s="29">
        <v>2</v>
      </c>
      <c r="H22" s="31">
        <f t="shared" si="2"/>
        <v>13</v>
      </c>
    </row>
    <row r="23" spans="1:8">
      <c r="A23" s="27">
        <v>32401366</v>
      </c>
      <c r="B23" s="30" t="s">
        <v>193</v>
      </c>
      <c r="C23" s="30" t="s">
        <v>325</v>
      </c>
      <c r="D23" s="32">
        <v>3</v>
      </c>
      <c r="E23" s="29">
        <v>3</v>
      </c>
      <c r="F23" s="29">
        <v>6</v>
      </c>
      <c r="G23" s="29">
        <v>4</v>
      </c>
      <c r="H23" s="31">
        <f t="shared" si="2"/>
        <v>16</v>
      </c>
    </row>
    <row r="24" spans="1:8">
      <c r="A24" s="27">
        <v>31255343</v>
      </c>
      <c r="B24" s="30" t="s">
        <v>184</v>
      </c>
      <c r="C24" s="30" t="s">
        <v>185</v>
      </c>
      <c r="D24" s="32">
        <v>4</v>
      </c>
      <c r="E24" s="29">
        <v>3</v>
      </c>
      <c r="F24" s="29">
        <v>0</v>
      </c>
      <c r="G24" s="30"/>
      <c r="H24" s="31">
        <f t="shared" si="2"/>
        <v>7</v>
      </c>
    </row>
    <row r="25" spans="1:8">
      <c r="A25" s="27">
        <v>30114012</v>
      </c>
      <c r="B25" s="30" t="s">
        <v>143</v>
      </c>
      <c r="C25" s="30" t="s">
        <v>44</v>
      </c>
      <c r="D25" s="32">
        <v>4</v>
      </c>
      <c r="E25" s="29">
        <v>3</v>
      </c>
      <c r="F25" s="29">
        <v>3</v>
      </c>
      <c r="G25" s="29">
        <v>4</v>
      </c>
      <c r="H25" s="31">
        <f t="shared" si="2"/>
        <v>14</v>
      </c>
    </row>
    <row r="26" spans="1:8">
      <c r="A26" s="27">
        <v>31963201</v>
      </c>
      <c r="B26" s="30" t="s">
        <v>267</v>
      </c>
      <c r="C26" s="30" t="s">
        <v>268</v>
      </c>
      <c r="D26" s="32">
        <v>3</v>
      </c>
      <c r="E26" s="29">
        <v>3</v>
      </c>
      <c r="F26" s="29">
        <v>5</v>
      </c>
      <c r="G26" s="29">
        <v>4</v>
      </c>
      <c r="H26" s="31">
        <f t="shared" si="2"/>
        <v>15</v>
      </c>
    </row>
    <row r="27" spans="1:8">
      <c r="A27" s="27">
        <v>31423000</v>
      </c>
      <c r="B27" s="30" t="s">
        <v>167</v>
      </c>
      <c r="C27" s="30" t="s">
        <v>168</v>
      </c>
      <c r="D27" s="32">
        <v>3</v>
      </c>
      <c r="E27" s="29">
        <v>3</v>
      </c>
      <c r="F27" s="29">
        <v>1</v>
      </c>
      <c r="G27" s="29">
        <v>0</v>
      </c>
      <c r="H27" s="31">
        <f t="shared" si="2"/>
        <v>7</v>
      </c>
    </row>
    <row r="28" spans="1:8">
      <c r="A28" s="33">
        <v>32491310</v>
      </c>
      <c r="B28" s="34" t="s">
        <v>76</v>
      </c>
      <c r="C28" s="34" t="s">
        <v>77</v>
      </c>
      <c r="D28" s="35">
        <v>4</v>
      </c>
      <c r="E28" s="36">
        <v>3</v>
      </c>
      <c r="F28" s="36">
        <v>0</v>
      </c>
      <c r="G28" s="36">
        <v>0</v>
      </c>
      <c r="H28" s="31">
        <f t="shared" si="2"/>
        <v>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32"/>
  <sheetViews>
    <sheetView workbookViewId="0">
      <selection sqref="A1:A2"/>
    </sheetView>
  </sheetViews>
  <sheetFormatPr baseColWidth="10" defaultColWidth="14.5" defaultRowHeight="15" customHeight="1"/>
  <cols>
    <col min="1" max="1" width="21.5" customWidth="1"/>
    <col min="2" max="2" width="8.1640625" customWidth="1"/>
    <col min="3" max="3" width="12.83203125" customWidth="1"/>
    <col min="4" max="4" width="13.83203125" customWidth="1"/>
    <col min="5" max="5" width="5.83203125" customWidth="1"/>
    <col min="6" max="6" width="7" customWidth="1"/>
    <col min="7" max="7" width="9.83203125" customWidth="1"/>
    <col min="8" max="8" width="5.6640625" customWidth="1"/>
    <col min="9" max="9" width="8.1640625" customWidth="1"/>
    <col min="10" max="10" width="10.5" customWidth="1"/>
    <col min="11" max="11" width="8.83203125" customWidth="1"/>
  </cols>
  <sheetData>
    <row r="1" spans="1:11">
      <c r="A1" s="144" t="s">
        <v>17</v>
      </c>
      <c r="B1" s="146" t="s">
        <v>326</v>
      </c>
      <c r="C1" s="147"/>
      <c r="D1" s="147"/>
      <c r="E1" s="147"/>
      <c r="F1" s="147"/>
      <c r="G1" s="147"/>
      <c r="H1" s="148"/>
      <c r="I1" s="149" t="s">
        <v>291</v>
      </c>
      <c r="J1" s="150"/>
      <c r="K1" s="151" t="s">
        <v>292</v>
      </c>
    </row>
    <row r="2" spans="1:11">
      <c r="A2" s="145"/>
      <c r="B2" s="37" t="s">
        <v>327</v>
      </c>
      <c r="C2" s="38" t="s">
        <v>328</v>
      </c>
      <c r="D2" s="38" t="s">
        <v>329</v>
      </c>
      <c r="E2" s="38" t="s">
        <v>330</v>
      </c>
      <c r="F2" s="38" t="s">
        <v>331</v>
      </c>
      <c r="G2" s="38" t="s">
        <v>332</v>
      </c>
      <c r="H2" s="38" t="s">
        <v>333</v>
      </c>
      <c r="I2" s="38" t="s">
        <v>334</v>
      </c>
      <c r="J2" s="38" t="s">
        <v>335</v>
      </c>
      <c r="K2" s="152"/>
    </row>
    <row r="4" spans="1:11">
      <c r="A4" s="39"/>
      <c r="B4" s="40"/>
      <c r="C4" s="40"/>
      <c r="D4" s="40"/>
      <c r="E4" s="40"/>
      <c r="F4" s="40"/>
      <c r="G4" s="40"/>
      <c r="H4" s="40"/>
      <c r="I4" s="40"/>
      <c r="J4" s="40"/>
      <c r="K4" s="41"/>
    </row>
    <row r="5" spans="1:11">
      <c r="A5" s="39" t="s">
        <v>297</v>
      </c>
      <c r="B5" s="42">
        <v>5.5</v>
      </c>
      <c r="C5" s="43">
        <v>0</v>
      </c>
      <c r="D5" s="43">
        <v>0</v>
      </c>
      <c r="E5" s="43">
        <v>0</v>
      </c>
      <c r="F5" s="43">
        <v>0.5</v>
      </c>
      <c r="G5" s="43">
        <v>0.25</v>
      </c>
      <c r="H5" s="43">
        <v>0</v>
      </c>
      <c r="I5" s="43">
        <v>0</v>
      </c>
      <c r="J5" s="43">
        <v>0</v>
      </c>
      <c r="K5" s="44">
        <f>SUM(B5:J5)</f>
        <v>6.25</v>
      </c>
    </row>
    <row r="6" spans="1:11">
      <c r="A6" s="39"/>
      <c r="B6" s="40"/>
      <c r="C6" s="40"/>
      <c r="D6" s="40"/>
      <c r="E6" s="40"/>
      <c r="F6" s="40"/>
      <c r="G6" s="40"/>
      <c r="H6" s="40"/>
      <c r="I6" s="40"/>
      <c r="J6" s="40"/>
      <c r="K6" s="44"/>
    </row>
    <row r="7" spans="1:11">
      <c r="A7" s="39" t="s">
        <v>299</v>
      </c>
      <c r="B7" s="42">
        <v>5.5</v>
      </c>
      <c r="C7" s="43">
        <v>4</v>
      </c>
      <c r="D7" s="43">
        <v>0</v>
      </c>
      <c r="E7" s="43">
        <v>0.5</v>
      </c>
      <c r="F7" s="43">
        <v>1</v>
      </c>
      <c r="G7" s="43">
        <v>1</v>
      </c>
      <c r="H7" s="45">
        <v>2</v>
      </c>
      <c r="I7" s="46">
        <v>0</v>
      </c>
      <c r="J7" s="46">
        <v>0</v>
      </c>
      <c r="K7" s="44">
        <f t="shared" ref="K7:K9" si="0">SUM(B7:J7)</f>
        <v>14</v>
      </c>
    </row>
    <row r="8" spans="1:11">
      <c r="A8" s="39" t="s">
        <v>300</v>
      </c>
      <c r="B8" s="42">
        <v>4.75</v>
      </c>
      <c r="C8" s="43">
        <v>0</v>
      </c>
      <c r="D8" s="43">
        <v>0</v>
      </c>
      <c r="E8" s="43">
        <v>1.5</v>
      </c>
      <c r="F8" s="43">
        <v>0.5</v>
      </c>
      <c r="G8" s="43">
        <v>0.25</v>
      </c>
      <c r="H8" s="43">
        <v>1</v>
      </c>
      <c r="I8" s="43">
        <v>0</v>
      </c>
      <c r="J8" s="43">
        <v>0</v>
      </c>
      <c r="K8" s="44">
        <f t="shared" si="0"/>
        <v>8</v>
      </c>
    </row>
    <row r="9" spans="1:11">
      <c r="A9" s="39" t="s">
        <v>336</v>
      </c>
      <c r="B9" s="42">
        <v>4</v>
      </c>
      <c r="C9" s="43">
        <v>2</v>
      </c>
      <c r="D9" s="43">
        <v>0</v>
      </c>
      <c r="E9" s="43">
        <v>0</v>
      </c>
      <c r="F9" s="43">
        <v>1</v>
      </c>
      <c r="G9" s="43">
        <v>1</v>
      </c>
      <c r="H9" s="43">
        <v>0</v>
      </c>
      <c r="I9" s="43">
        <v>0</v>
      </c>
      <c r="J9" s="43">
        <v>0</v>
      </c>
      <c r="K9" s="44">
        <f t="shared" si="0"/>
        <v>8</v>
      </c>
    </row>
    <row r="10" spans="1:11">
      <c r="A10" s="39"/>
      <c r="B10" s="40"/>
      <c r="C10" s="40"/>
      <c r="D10" s="40"/>
      <c r="E10" s="40"/>
      <c r="F10" s="40"/>
      <c r="G10" s="40"/>
      <c r="H10" s="40"/>
      <c r="I10" s="40"/>
      <c r="J10" s="40"/>
      <c r="K10" s="44"/>
    </row>
    <row r="11" spans="1:11">
      <c r="A11" s="39"/>
      <c r="B11" s="40"/>
      <c r="C11" s="40"/>
      <c r="D11" s="40"/>
      <c r="E11" s="40"/>
      <c r="F11" s="40"/>
      <c r="G11" s="40"/>
      <c r="H11" s="40"/>
      <c r="I11" s="40"/>
      <c r="J11" s="40"/>
      <c r="K11" s="44"/>
    </row>
    <row r="12" spans="1:11">
      <c r="A12" s="39" t="s">
        <v>304</v>
      </c>
      <c r="B12" s="42">
        <v>4</v>
      </c>
      <c r="C12" s="43">
        <v>0</v>
      </c>
      <c r="D12" s="43">
        <v>0</v>
      </c>
      <c r="E12" s="43">
        <v>0</v>
      </c>
      <c r="F12" s="43">
        <v>0</v>
      </c>
      <c r="G12" s="43">
        <v>0</v>
      </c>
      <c r="H12" s="45">
        <v>0</v>
      </c>
      <c r="I12" s="46">
        <v>0</v>
      </c>
      <c r="J12" s="46">
        <v>0</v>
      </c>
      <c r="K12" s="44">
        <f>SUM(B12:J12)</f>
        <v>4</v>
      </c>
    </row>
    <row r="14" spans="1:11">
      <c r="A14" s="39" t="s">
        <v>305</v>
      </c>
      <c r="B14" s="42">
        <v>3</v>
      </c>
      <c r="C14" s="43">
        <v>0</v>
      </c>
      <c r="D14" s="43">
        <v>0</v>
      </c>
      <c r="E14" s="43">
        <v>0</v>
      </c>
      <c r="F14" s="43">
        <v>0</v>
      </c>
      <c r="G14" s="43">
        <v>0</v>
      </c>
      <c r="H14" s="45">
        <v>0</v>
      </c>
      <c r="I14" s="46">
        <v>0</v>
      </c>
      <c r="J14" s="46">
        <v>0</v>
      </c>
      <c r="K14" s="44">
        <f>SUM(B14:J14)</f>
        <v>3</v>
      </c>
    </row>
    <row r="15" spans="1:11">
      <c r="A15" s="39"/>
      <c r="B15" s="40"/>
      <c r="C15" s="40"/>
      <c r="D15" s="40"/>
      <c r="E15" s="40"/>
      <c r="F15" s="40"/>
      <c r="G15" s="40"/>
      <c r="H15" s="40"/>
      <c r="I15" s="40"/>
      <c r="J15" s="40"/>
      <c r="K15" s="44"/>
    </row>
    <row r="16" spans="1:11">
      <c r="A16" s="39" t="s">
        <v>337</v>
      </c>
      <c r="B16" s="42">
        <v>4</v>
      </c>
      <c r="C16" s="43">
        <v>2</v>
      </c>
      <c r="D16" s="43">
        <v>0</v>
      </c>
      <c r="E16" s="43">
        <v>1</v>
      </c>
      <c r="F16" s="43">
        <v>1</v>
      </c>
      <c r="G16" s="43">
        <v>1</v>
      </c>
      <c r="H16" s="43">
        <v>0</v>
      </c>
      <c r="I16" s="43">
        <v>0</v>
      </c>
      <c r="J16" s="43">
        <v>0</v>
      </c>
      <c r="K16" s="44">
        <f t="shared" ref="K16:K17" si="1">SUM(B16:J16)</f>
        <v>9</v>
      </c>
    </row>
    <row r="17" spans="1:11">
      <c r="A17" s="39" t="s">
        <v>308</v>
      </c>
      <c r="B17" s="42">
        <v>1.5</v>
      </c>
      <c r="C17" s="40">
        <v>0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0">
        <v>0</v>
      </c>
      <c r="J17" s="40">
        <v>0</v>
      </c>
      <c r="K17" s="44">
        <f t="shared" si="1"/>
        <v>1.5</v>
      </c>
    </row>
    <row r="19" spans="1:11">
      <c r="A19" s="39" t="s">
        <v>309</v>
      </c>
      <c r="B19" s="40"/>
      <c r="C19" s="40"/>
      <c r="D19" s="40"/>
      <c r="E19" s="40"/>
      <c r="F19" s="40"/>
      <c r="G19" s="40"/>
      <c r="H19" s="40"/>
      <c r="I19" s="40"/>
      <c r="J19" s="40"/>
      <c r="K19" s="44"/>
    </row>
    <row r="20" spans="1:11">
      <c r="A20" s="39" t="s">
        <v>310</v>
      </c>
      <c r="B20" s="42">
        <v>1</v>
      </c>
      <c r="C20" s="43">
        <v>0</v>
      </c>
      <c r="D20" s="43">
        <v>0</v>
      </c>
      <c r="E20" s="43">
        <v>0</v>
      </c>
      <c r="F20" s="43">
        <v>1</v>
      </c>
      <c r="G20" s="43">
        <v>0.5</v>
      </c>
      <c r="H20" s="45">
        <v>0</v>
      </c>
      <c r="I20" s="46">
        <v>0</v>
      </c>
      <c r="J20" s="46">
        <v>0</v>
      </c>
      <c r="K20" s="44">
        <f>SUM(B20:J20)</f>
        <v>2.5</v>
      </c>
    </row>
    <row r="22" spans="1:11">
      <c r="A22" s="39" t="s">
        <v>311</v>
      </c>
      <c r="B22" s="42">
        <v>2</v>
      </c>
      <c r="C22" s="43">
        <v>1.5</v>
      </c>
      <c r="D22" s="43">
        <v>0</v>
      </c>
      <c r="E22" s="43">
        <v>1</v>
      </c>
      <c r="F22" s="43">
        <v>0</v>
      </c>
      <c r="G22" s="43">
        <v>0</v>
      </c>
      <c r="H22" s="43">
        <v>2</v>
      </c>
      <c r="I22" s="43">
        <v>0</v>
      </c>
      <c r="J22" s="43">
        <v>0</v>
      </c>
      <c r="K22" s="44">
        <f t="shared" ref="K22:K28" si="2">SUM(B22:J22)</f>
        <v>6.5</v>
      </c>
    </row>
    <row r="23" spans="1:11">
      <c r="A23" s="39" t="s">
        <v>312</v>
      </c>
      <c r="B23" s="42">
        <v>2.5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5">
        <v>0</v>
      </c>
      <c r="I23" s="46">
        <v>0</v>
      </c>
      <c r="J23" s="46">
        <v>1.25</v>
      </c>
      <c r="K23" s="44">
        <f t="shared" si="2"/>
        <v>3.75</v>
      </c>
    </row>
    <row r="24" spans="1:11">
      <c r="A24" s="39" t="s">
        <v>313</v>
      </c>
      <c r="B24" s="42">
        <v>4</v>
      </c>
      <c r="C24" s="43">
        <v>4</v>
      </c>
      <c r="D24" s="43">
        <v>0</v>
      </c>
      <c r="E24" s="43">
        <v>0</v>
      </c>
      <c r="F24" s="43">
        <v>0.5</v>
      </c>
      <c r="G24" s="43">
        <v>0.5</v>
      </c>
      <c r="H24" s="43">
        <v>0</v>
      </c>
      <c r="I24" s="43">
        <v>0</v>
      </c>
      <c r="J24" s="43">
        <v>0</v>
      </c>
      <c r="K24" s="44">
        <f t="shared" si="2"/>
        <v>9</v>
      </c>
    </row>
    <row r="25" spans="1:11">
      <c r="A25" s="39" t="s">
        <v>314</v>
      </c>
      <c r="B25" s="42">
        <v>5</v>
      </c>
      <c r="C25" s="43">
        <v>1.5</v>
      </c>
      <c r="D25" s="43">
        <v>0</v>
      </c>
      <c r="E25" s="43">
        <v>0</v>
      </c>
      <c r="F25" s="43">
        <v>0.25</v>
      </c>
      <c r="G25" s="43">
        <v>0.5</v>
      </c>
      <c r="H25" s="45">
        <v>0</v>
      </c>
      <c r="I25" s="46">
        <v>0</v>
      </c>
      <c r="J25" s="46">
        <v>0</v>
      </c>
      <c r="K25" s="44">
        <f t="shared" si="2"/>
        <v>7.25</v>
      </c>
    </row>
    <row r="26" spans="1:11">
      <c r="A26" s="39" t="s">
        <v>315</v>
      </c>
      <c r="B26" s="42">
        <v>1.5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5">
        <v>0</v>
      </c>
      <c r="I26" s="46">
        <v>0</v>
      </c>
      <c r="J26" s="42">
        <v>0</v>
      </c>
      <c r="K26" s="44">
        <f t="shared" si="2"/>
        <v>1.5</v>
      </c>
    </row>
    <row r="27" spans="1:11">
      <c r="A27" s="39" t="s">
        <v>316</v>
      </c>
      <c r="B27" s="42">
        <v>4.75</v>
      </c>
      <c r="C27" s="43">
        <v>0</v>
      </c>
      <c r="D27" s="43">
        <v>0</v>
      </c>
      <c r="E27" s="43">
        <v>0</v>
      </c>
      <c r="F27" s="43">
        <v>0.5</v>
      </c>
      <c r="G27" s="43">
        <v>0.5</v>
      </c>
      <c r="H27" s="45">
        <v>0</v>
      </c>
      <c r="I27" s="46">
        <v>0</v>
      </c>
      <c r="J27" s="46">
        <v>0</v>
      </c>
      <c r="K27" s="44">
        <f t="shared" si="2"/>
        <v>5.75</v>
      </c>
    </row>
    <row r="28" spans="1:11">
      <c r="A28" s="39" t="s">
        <v>317</v>
      </c>
      <c r="B28" s="42">
        <v>5.75</v>
      </c>
      <c r="C28" s="43">
        <v>2</v>
      </c>
      <c r="D28" s="43">
        <v>1</v>
      </c>
      <c r="E28" s="43">
        <v>1</v>
      </c>
      <c r="F28" s="43">
        <v>1</v>
      </c>
      <c r="G28" s="43">
        <v>1</v>
      </c>
      <c r="H28" s="45">
        <v>0</v>
      </c>
      <c r="I28" s="46">
        <v>0</v>
      </c>
      <c r="J28" s="46">
        <v>0</v>
      </c>
      <c r="K28" s="44">
        <f t="shared" si="2"/>
        <v>11.75</v>
      </c>
    </row>
    <row r="30" spans="1:11">
      <c r="A30" s="39" t="s">
        <v>318</v>
      </c>
      <c r="B30" s="42">
        <v>3.5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5">
        <v>0</v>
      </c>
      <c r="I30" s="46">
        <v>0</v>
      </c>
      <c r="J30" s="42">
        <v>0</v>
      </c>
      <c r="K30" s="44">
        <f t="shared" ref="K30:K32" si="3">SUM(B30:J30)</f>
        <v>3.5</v>
      </c>
    </row>
    <row r="31" spans="1:11">
      <c r="A31" s="39" t="s">
        <v>319</v>
      </c>
      <c r="B31" s="42">
        <v>5.5</v>
      </c>
      <c r="C31" s="42">
        <v>0.5</v>
      </c>
      <c r="D31" s="42">
        <v>0</v>
      </c>
      <c r="E31" s="42">
        <v>0</v>
      </c>
      <c r="F31" s="42">
        <v>0.5</v>
      </c>
      <c r="G31" s="42">
        <v>0.25</v>
      </c>
      <c r="H31" s="42">
        <v>0</v>
      </c>
      <c r="I31" s="42">
        <v>0</v>
      </c>
      <c r="J31" s="42">
        <v>0</v>
      </c>
      <c r="K31" s="44">
        <f t="shared" si="3"/>
        <v>6.75</v>
      </c>
    </row>
    <row r="32" spans="1:11">
      <c r="A32" s="39" t="s">
        <v>320</v>
      </c>
      <c r="B32" s="42">
        <v>4</v>
      </c>
      <c r="C32" s="42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4">
        <f t="shared" si="3"/>
        <v>4</v>
      </c>
    </row>
  </sheetData>
  <mergeCells count="4">
    <mergeCell ref="A1:A2"/>
    <mergeCell ref="B1:H1"/>
    <mergeCell ref="I1:J1"/>
    <mergeCell ref="K1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21"/>
  <sheetViews>
    <sheetView workbookViewId="0"/>
  </sheetViews>
  <sheetFormatPr baseColWidth="10" defaultColWidth="14.5" defaultRowHeight="15" customHeight="1"/>
  <cols>
    <col min="1" max="1" width="9.5" customWidth="1"/>
    <col min="2" max="2" width="17" customWidth="1"/>
    <col min="3" max="3" width="4.1640625" customWidth="1"/>
    <col min="4" max="4" width="5.5" customWidth="1"/>
    <col min="5" max="5" width="7.1640625" customWidth="1"/>
    <col min="6" max="6" width="10.1640625" customWidth="1"/>
    <col min="7" max="7" width="6.33203125" customWidth="1"/>
  </cols>
  <sheetData>
    <row r="1" spans="1:7">
      <c r="A1" s="47" t="s">
        <v>338</v>
      </c>
      <c r="B1" s="48" t="s">
        <v>339</v>
      </c>
      <c r="C1" s="48" t="s">
        <v>321</v>
      </c>
      <c r="D1" s="48" t="s">
        <v>322</v>
      </c>
      <c r="E1" s="48" t="s">
        <v>340</v>
      </c>
      <c r="F1" s="48" t="s">
        <v>324</v>
      </c>
      <c r="G1" s="48" t="s">
        <v>281</v>
      </c>
    </row>
    <row r="2" spans="1:7">
      <c r="A2" s="49">
        <v>30598031</v>
      </c>
      <c r="B2" s="50" t="s">
        <v>341</v>
      </c>
      <c r="C2" s="51">
        <v>3</v>
      </c>
      <c r="D2" s="51">
        <v>2</v>
      </c>
      <c r="E2" s="51">
        <v>0</v>
      </c>
      <c r="F2" s="51">
        <v>1</v>
      </c>
      <c r="G2" s="52">
        <v>6</v>
      </c>
    </row>
    <row r="3" spans="1:7">
      <c r="A3" s="27">
        <v>31423000</v>
      </c>
      <c r="B3" s="30" t="s">
        <v>310</v>
      </c>
      <c r="C3" s="29">
        <v>4</v>
      </c>
      <c r="D3" s="29">
        <v>2</v>
      </c>
      <c r="E3" s="29">
        <v>3</v>
      </c>
      <c r="F3" s="29">
        <v>2</v>
      </c>
      <c r="G3" s="53">
        <v>11</v>
      </c>
    </row>
    <row r="4" spans="1:7">
      <c r="A4" s="54">
        <v>30114012</v>
      </c>
      <c r="B4" s="50" t="s">
        <v>308</v>
      </c>
      <c r="C4" s="51">
        <v>4</v>
      </c>
      <c r="D4" s="51">
        <v>3</v>
      </c>
      <c r="E4" s="51">
        <v>3</v>
      </c>
      <c r="F4" s="51">
        <v>3</v>
      </c>
      <c r="G4" s="52">
        <v>13</v>
      </c>
    </row>
    <row r="5" spans="1:7">
      <c r="A5" s="27">
        <v>32121917</v>
      </c>
      <c r="B5" s="30" t="s">
        <v>342</v>
      </c>
      <c r="C5" s="29">
        <v>2</v>
      </c>
      <c r="D5" s="29">
        <v>3</v>
      </c>
      <c r="E5" s="29">
        <v>3</v>
      </c>
      <c r="F5" s="29">
        <v>8</v>
      </c>
      <c r="G5" s="53">
        <v>16</v>
      </c>
    </row>
    <row r="6" spans="1:7">
      <c r="A6" s="54">
        <v>29666935</v>
      </c>
      <c r="B6" s="50" t="s">
        <v>297</v>
      </c>
      <c r="C6" s="51">
        <v>3</v>
      </c>
      <c r="D6" s="51">
        <v>2</v>
      </c>
      <c r="E6" s="51">
        <v>3</v>
      </c>
      <c r="F6" s="51">
        <v>8</v>
      </c>
      <c r="G6" s="52">
        <v>16</v>
      </c>
    </row>
    <row r="7" spans="1:7">
      <c r="A7" s="27">
        <v>32242412</v>
      </c>
      <c r="B7" s="30" t="s">
        <v>305</v>
      </c>
      <c r="C7" s="29">
        <v>4</v>
      </c>
      <c r="D7" s="29">
        <v>3</v>
      </c>
      <c r="E7" s="29">
        <v>3</v>
      </c>
      <c r="F7" s="29">
        <v>1</v>
      </c>
      <c r="G7" s="53">
        <v>11</v>
      </c>
    </row>
    <row r="8" spans="1:7">
      <c r="A8" s="54">
        <v>33921124</v>
      </c>
      <c r="B8" s="50" t="s">
        <v>343</v>
      </c>
      <c r="C8" s="51">
        <v>1</v>
      </c>
      <c r="D8" s="51">
        <v>1</v>
      </c>
      <c r="E8" s="51">
        <v>3</v>
      </c>
      <c r="F8" s="51">
        <v>1</v>
      </c>
      <c r="G8" s="52">
        <v>6</v>
      </c>
    </row>
    <row r="9" spans="1:7">
      <c r="A9" s="27">
        <v>31255343</v>
      </c>
      <c r="B9" s="30" t="s">
        <v>311</v>
      </c>
      <c r="C9" s="29">
        <v>4</v>
      </c>
      <c r="D9" s="29">
        <v>2</v>
      </c>
      <c r="E9" s="29">
        <v>3</v>
      </c>
      <c r="F9" s="29">
        <v>1</v>
      </c>
      <c r="G9" s="53">
        <v>10</v>
      </c>
    </row>
    <row r="10" spans="1:7">
      <c r="A10" s="54">
        <v>31963201</v>
      </c>
      <c r="B10" s="50" t="s">
        <v>320</v>
      </c>
      <c r="C10" s="51">
        <v>1</v>
      </c>
      <c r="D10" s="51">
        <v>1</v>
      </c>
      <c r="E10" s="51">
        <v>3</v>
      </c>
      <c r="F10" s="51">
        <v>5</v>
      </c>
      <c r="G10" s="52">
        <v>10</v>
      </c>
    </row>
    <row r="11" spans="1:7">
      <c r="A11" s="27">
        <v>29895575</v>
      </c>
      <c r="B11" s="30" t="s">
        <v>318</v>
      </c>
      <c r="C11" s="29">
        <v>4</v>
      </c>
      <c r="D11" s="29">
        <v>3</v>
      </c>
      <c r="E11" s="29">
        <v>3</v>
      </c>
      <c r="F11" s="29">
        <v>6</v>
      </c>
      <c r="G11" s="53">
        <v>16</v>
      </c>
    </row>
    <row r="12" spans="1:7">
      <c r="A12" s="54">
        <v>31703910</v>
      </c>
      <c r="B12" s="50" t="s">
        <v>344</v>
      </c>
      <c r="C12" s="51">
        <v>4</v>
      </c>
      <c r="D12" s="51">
        <v>2</v>
      </c>
      <c r="E12" s="51">
        <v>3</v>
      </c>
      <c r="F12" s="51">
        <v>3</v>
      </c>
      <c r="G12" s="52">
        <v>12</v>
      </c>
    </row>
    <row r="13" spans="1:7">
      <c r="A13" s="27">
        <v>31071592</v>
      </c>
      <c r="B13" s="30" t="s">
        <v>300</v>
      </c>
      <c r="C13" s="29">
        <v>3</v>
      </c>
      <c r="D13" s="29">
        <v>1</v>
      </c>
      <c r="E13" s="29">
        <v>3</v>
      </c>
      <c r="F13" s="29">
        <v>6</v>
      </c>
      <c r="G13" s="53">
        <v>13</v>
      </c>
    </row>
    <row r="14" spans="1:7">
      <c r="A14" s="54">
        <v>30022208</v>
      </c>
      <c r="B14" s="50" t="s">
        <v>319</v>
      </c>
      <c r="C14" s="51">
        <v>2</v>
      </c>
      <c r="D14" s="51">
        <v>2</v>
      </c>
      <c r="E14" s="51">
        <v>3</v>
      </c>
      <c r="F14" s="51">
        <v>4</v>
      </c>
      <c r="G14" s="52">
        <v>11</v>
      </c>
    </row>
    <row r="15" spans="1:7">
      <c r="A15" s="27">
        <v>32491310</v>
      </c>
      <c r="B15" s="30" t="s">
        <v>336</v>
      </c>
      <c r="C15" s="29">
        <v>2</v>
      </c>
      <c r="D15" s="29">
        <v>1</v>
      </c>
      <c r="E15" s="29">
        <v>0</v>
      </c>
      <c r="F15" s="29">
        <v>4</v>
      </c>
      <c r="G15" s="53">
        <v>7</v>
      </c>
    </row>
    <row r="16" spans="1:7">
      <c r="A16" s="54">
        <v>30030485</v>
      </c>
      <c r="B16" s="50" t="s">
        <v>345</v>
      </c>
      <c r="C16" s="51">
        <v>2</v>
      </c>
      <c r="D16" s="51">
        <v>3</v>
      </c>
      <c r="E16" s="51">
        <v>0</v>
      </c>
      <c r="F16" s="51">
        <v>6</v>
      </c>
      <c r="G16" s="52">
        <v>11</v>
      </c>
    </row>
    <row r="17" spans="1:7">
      <c r="A17" s="27">
        <v>32122110</v>
      </c>
      <c r="B17" s="30" t="s">
        <v>316</v>
      </c>
      <c r="C17" s="29">
        <v>3</v>
      </c>
      <c r="D17" s="29">
        <v>3</v>
      </c>
      <c r="E17" s="29">
        <v>3</v>
      </c>
      <c r="F17" s="29">
        <v>3</v>
      </c>
      <c r="G17" s="53">
        <v>12</v>
      </c>
    </row>
    <row r="18" spans="1:7">
      <c r="A18" s="54">
        <v>31852058</v>
      </c>
      <c r="B18" s="50" t="s">
        <v>337</v>
      </c>
      <c r="C18" s="51">
        <v>4</v>
      </c>
      <c r="D18" s="51">
        <v>3</v>
      </c>
      <c r="E18" s="51">
        <v>1</v>
      </c>
      <c r="F18" s="51">
        <v>5</v>
      </c>
      <c r="G18" s="52">
        <v>11</v>
      </c>
    </row>
    <row r="19" spans="1:7">
      <c r="A19" s="27">
        <v>32401366</v>
      </c>
      <c r="B19" s="30" t="s">
        <v>346</v>
      </c>
      <c r="C19" s="29">
        <v>4</v>
      </c>
      <c r="D19" s="29">
        <v>3</v>
      </c>
      <c r="E19" s="29">
        <v>3</v>
      </c>
      <c r="F19" s="29">
        <v>4</v>
      </c>
      <c r="G19" s="53">
        <v>14</v>
      </c>
    </row>
    <row r="20" spans="1:7">
      <c r="A20" s="54">
        <v>30849611</v>
      </c>
      <c r="B20" s="50" t="s">
        <v>296</v>
      </c>
      <c r="C20" s="51">
        <v>4</v>
      </c>
      <c r="D20" s="51">
        <v>3</v>
      </c>
      <c r="E20" s="51">
        <v>3</v>
      </c>
      <c r="F20" s="51">
        <v>6</v>
      </c>
      <c r="G20" s="52">
        <f t="shared" ref="G20:G21" si="0">SUM(C20:F20)</f>
        <v>16</v>
      </c>
    </row>
    <row r="21" spans="1:7">
      <c r="A21" s="27">
        <v>31988236</v>
      </c>
      <c r="B21" s="30" t="s">
        <v>302</v>
      </c>
      <c r="C21" s="29">
        <v>4</v>
      </c>
      <c r="D21" s="29">
        <v>1.5</v>
      </c>
      <c r="E21" s="29">
        <v>3</v>
      </c>
      <c r="F21" s="29">
        <v>3.5</v>
      </c>
      <c r="G21" s="53">
        <f t="shared" si="0"/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21"/>
  <sheetViews>
    <sheetView workbookViewId="0"/>
  </sheetViews>
  <sheetFormatPr baseColWidth="10" defaultColWidth="14.5" defaultRowHeight="15" customHeight="1"/>
  <cols>
    <col min="1" max="2" width="9.5" customWidth="1"/>
    <col min="3" max="4" width="8.33203125" customWidth="1"/>
    <col min="5" max="5" width="8.6640625" customWidth="1"/>
    <col min="6" max="6" width="6" customWidth="1"/>
    <col min="7" max="7" width="9" customWidth="1"/>
    <col min="8" max="8" width="8.33203125" customWidth="1"/>
    <col min="9" max="9" width="11.1640625" customWidth="1"/>
    <col min="10" max="10" width="7.5" customWidth="1"/>
    <col min="11" max="11" width="8.5" customWidth="1"/>
    <col min="12" max="13" width="8.33203125" customWidth="1"/>
    <col min="14" max="16" width="8" customWidth="1"/>
    <col min="17" max="17" width="6.6640625" customWidth="1"/>
    <col min="18" max="19" width="6.5" customWidth="1"/>
    <col min="20" max="20" width="5.83203125" customWidth="1"/>
    <col min="21" max="21" width="5" customWidth="1"/>
    <col min="22" max="22" width="6.5" customWidth="1"/>
    <col min="23" max="23" width="5.83203125" customWidth="1"/>
    <col min="24" max="24" width="5" customWidth="1"/>
    <col min="25" max="25" width="6.6640625" customWidth="1"/>
    <col min="26" max="26" width="5.5" customWidth="1"/>
    <col min="27" max="28" width="6" customWidth="1"/>
  </cols>
  <sheetData>
    <row r="1" spans="1:28">
      <c r="A1" s="55"/>
      <c r="B1" s="55"/>
      <c r="C1" s="55"/>
      <c r="D1" s="55"/>
      <c r="E1" s="55"/>
      <c r="F1" s="153" t="s">
        <v>347</v>
      </c>
      <c r="G1" s="141"/>
      <c r="H1" s="141"/>
      <c r="I1" s="154"/>
      <c r="J1" s="55"/>
      <c r="K1" s="153" t="s">
        <v>348</v>
      </c>
      <c r="L1" s="141"/>
      <c r="M1" s="154"/>
      <c r="N1" s="155" t="s">
        <v>349</v>
      </c>
      <c r="O1" s="141"/>
      <c r="P1" s="141"/>
      <c r="Q1" s="153" t="s">
        <v>350</v>
      </c>
      <c r="R1" s="141"/>
      <c r="S1" s="154"/>
      <c r="T1" s="155" t="s">
        <v>351</v>
      </c>
      <c r="U1" s="141"/>
      <c r="V1" s="141"/>
      <c r="W1" s="153" t="s">
        <v>352</v>
      </c>
      <c r="X1" s="154"/>
      <c r="Y1" s="155" t="s">
        <v>353</v>
      </c>
      <c r="Z1" s="154"/>
      <c r="AA1" s="56"/>
      <c r="AB1" s="56"/>
    </row>
    <row r="2" spans="1:28">
      <c r="A2" s="57" t="s">
        <v>338</v>
      </c>
      <c r="B2" s="58" t="s">
        <v>354</v>
      </c>
      <c r="C2" s="58" t="s">
        <v>339</v>
      </c>
      <c r="D2" s="58" t="s">
        <v>355</v>
      </c>
      <c r="E2" s="58" t="s">
        <v>356</v>
      </c>
      <c r="F2" s="59" t="s">
        <v>357</v>
      </c>
      <c r="G2" s="58" t="s">
        <v>358</v>
      </c>
      <c r="H2" s="58" t="s">
        <v>359</v>
      </c>
      <c r="I2" s="60" t="s">
        <v>360</v>
      </c>
      <c r="J2" s="58" t="s">
        <v>361</v>
      </c>
      <c r="K2" s="59" t="s">
        <v>362</v>
      </c>
      <c r="L2" s="58" t="s">
        <v>363</v>
      </c>
      <c r="M2" s="60" t="s">
        <v>364</v>
      </c>
      <c r="N2" s="58" t="s">
        <v>365</v>
      </c>
      <c r="O2" s="58" t="s">
        <v>366</v>
      </c>
      <c r="P2" s="58" t="s">
        <v>367</v>
      </c>
      <c r="Q2" s="59" t="s">
        <v>368</v>
      </c>
      <c r="R2" s="58" t="s">
        <v>369</v>
      </c>
      <c r="S2" s="60" t="s">
        <v>370</v>
      </c>
      <c r="T2" s="58" t="s">
        <v>371</v>
      </c>
      <c r="U2" s="58" t="s">
        <v>372</v>
      </c>
      <c r="V2" s="58" t="s">
        <v>373</v>
      </c>
      <c r="W2" s="59" t="s">
        <v>374</v>
      </c>
      <c r="X2" s="60" t="s">
        <v>375</v>
      </c>
      <c r="Y2" s="59" t="s">
        <v>376</v>
      </c>
      <c r="Z2" s="60" t="s">
        <v>377</v>
      </c>
      <c r="AA2" s="61" t="s">
        <v>281</v>
      </c>
      <c r="AB2" s="62"/>
    </row>
    <row r="3" spans="1:28">
      <c r="A3" s="63">
        <v>32121917</v>
      </c>
      <c r="B3" s="64" t="s">
        <v>201</v>
      </c>
      <c r="C3" s="64" t="s">
        <v>202</v>
      </c>
      <c r="D3" s="65">
        <v>4</v>
      </c>
      <c r="E3" s="65">
        <v>2</v>
      </c>
      <c r="F3" s="66">
        <v>2</v>
      </c>
      <c r="G3" s="67">
        <v>0.25</v>
      </c>
      <c r="H3" s="67">
        <v>0.5</v>
      </c>
      <c r="I3" s="68">
        <v>2</v>
      </c>
      <c r="J3" s="69">
        <v>2</v>
      </c>
      <c r="K3" s="70">
        <v>0.8</v>
      </c>
      <c r="L3" s="71">
        <v>2</v>
      </c>
      <c r="M3" s="72"/>
      <c r="N3" s="67">
        <v>1</v>
      </c>
      <c r="O3" s="71">
        <v>2</v>
      </c>
      <c r="P3" s="71">
        <v>3</v>
      </c>
      <c r="Q3" s="73">
        <v>0.9</v>
      </c>
      <c r="R3" s="71">
        <v>1</v>
      </c>
      <c r="S3" s="72"/>
      <c r="T3" s="71">
        <v>1</v>
      </c>
      <c r="U3" s="71">
        <v>2</v>
      </c>
      <c r="V3" s="64"/>
      <c r="W3" s="66">
        <v>1</v>
      </c>
      <c r="X3" s="74">
        <v>1</v>
      </c>
      <c r="Y3" s="66">
        <v>1</v>
      </c>
      <c r="Z3" s="74">
        <v>1</v>
      </c>
      <c r="AA3" s="75">
        <v>24.45</v>
      </c>
      <c r="AB3" s="76"/>
    </row>
    <row r="4" spans="1:28">
      <c r="A4" s="77">
        <v>31852058</v>
      </c>
      <c r="B4" s="78" t="s">
        <v>135</v>
      </c>
      <c r="C4" s="78" t="s">
        <v>136</v>
      </c>
      <c r="D4" s="79">
        <v>13</v>
      </c>
      <c r="E4" s="79">
        <v>5</v>
      </c>
      <c r="F4" s="66">
        <v>2</v>
      </c>
      <c r="G4" s="67">
        <v>1</v>
      </c>
      <c r="H4" s="67">
        <v>1.5</v>
      </c>
      <c r="I4" s="68">
        <v>1.5</v>
      </c>
      <c r="J4" s="80">
        <v>1.7</v>
      </c>
      <c r="K4" s="66">
        <v>1</v>
      </c>
      <c r="L4" s="80">
        <v>1.9</v>
      </c>
      <c r="M4" s="81"/>
      <c r="N4" s="80">
        <v>1</v>
      </c>
      <c r="O4" s="80">
        <v>2</v>
      </c>
      <c r="P4" s="78"/>
      <c r="Q4" s="66">
        <v>1</v>
      </c>
      <c r="R4" s="80">
        <v>1</v>
      </c>
      <c r="S4" s="81"/>
      <c r="T4" s="80">
        <v>1</v>
      </c>
      <c r="U4" s="80">
        <v>1.8</v>
      </c>
      <c r="V4" s="69">
        <v>4</v>
      </c>
      <c r="W4" s="66">
        <v>1</v>
      </c>
      <c r="X4" s="82">
        <v>1</v>
      </c>
      <c r="Y4" s="83">
        <v>1</v>
      </c>
      <c r="Z4" s="82">
        <v>1</v>
      </c>
      <c r="AA4" s="84">
        <v>26.4</v>
      </c>
      <c r="AB4" s="76"/>
    </row>
    <row r="5" spans="1:28">
      <c r="A5" s="77">
        <v>29666935</v>
      </c>
      <c r="B5" s="78" t="s">
        <v>43</v>
      </c>
      <c r="C5" s="78" t="s">
        <v>44</v>
      </c>
      <c r="D5" s="79">
        <v>6</v>
      </c>
      <c r="E5" s="79">
        <v>1</v>
      </c>
      <c r="F5" s="66">
        <v>2</v>
      </c>
      <c r="G5" s="67">
        <v>1</v>
      </c>
      <c r="H5" s="67">
        <v>1</v>
      </c>
      <c r="I5" s="68">
        <v>1</v>
      </c>
      <c r="J5" s="67">
        <v>2</v>
      </c>
      <c r="K5" s="66">
        <v>1</v>
      </c>
      <c r="L5" s="80">
        <v>1.8</v>
      </c>
      <c r="M5" s="81"/>
      <c r="N5" s="67">
        <v>1</v>
      </c>
      <c r="O5" s="80">
        <v>1.8</v>
      </c>
      <c r="P5" s="78"/>
      <c r="Q5" s="83">
        <v>0.25</v>
      </c>
      <c r="R5" s="80">
        <v>0.25</v>
      </c>
      <c r="S5" s="81"/>
      <c r="T5" s="80">
        <v>2</v>
      </c>
      <c r="U5" s="80">
        <v>1.9</v>
      </c>
      <c r="V5" s="80">
        <v>1</v>
      </c>
      <c r="W5" s="66">
        <v>1</v>
      </c>
      <c r="X5" s="82">
        <v>0.5</v>
      </c>
      <c r="Y5" s="73">
        <v>1</v>
      </c>
      <c r="Z5" s="85">
        <v>1</v>
      </c>
      <c r="AA5" s="84">
        <v>21.5</v>
      </c>
      <c r="AB5" s="76"/>
    </row>
    <row r="6" spans="1:28">
      <c r="A6" s="77">
        <v>32401366</v>
      </c>
      <c r="B6" s="78" t="s">
        <v>193</v>
      </c>
      <c r="C6" s="78" t="s">
        <v>194</v>
      </c>
      <c r="D6" s="79">
        <v>11</v>
      </c>
      <c r="E6" s="79">
        <v>3</v>
      </c>
      <c r="F6" s="66">
        <v>1.5</v>
      </c>
      <c r="G6" s="67">
        <v>1</v>
      </c>
      <c r="H6" s="67">
        <v>1</v>
      </c>
      <c r="I6" s="68">
        <v>0.5</v>
      </c>
      <c r="J6" s="67">
        <v>1.5</v>
      </c>
      <c r="K6" s="83">
        <v>0.5</v>
      </c>
      <c r="L6" s="80">
        <v>0</v>
      </c>
      <c r="M6" s="81"/>
      <c r="N6" s="67">
        <v>1</v>
      </c>
      <c r="O6" s="80">
        <v>0</v>
      </c>
      <c r="P6" s="78"/>
      <c r="Q6" s="83">
        <v>0</v>
      </c>
      <c r="R6" s="80">
        <v>0</v>
      </c>
      <c r="S6" s="81"/>
      <c r="T6" s="80">
        <v>0</v>
      </c>
      <c r="U6" s="80">
        <v>0</v>
      </c>
      <c r="V6" s="78"/>
      <c r="W6" s="66">
        <v>1</v>
      </c>
      <c r="X6" s="82">
        <v>0</v>
      </c>
      <c r="Y6" s="83">
        <v>0</v>
      </c>
      <c r="Z6" s="82">
        <v>0</v>
      </c>
      <c r="AA6" s="84">
        <v>8</v>
      </c>
      <c r="AB6" s="76"/>
    </row>
    <row r="7" spans="1:28">
      <c r="A7" s="63">
        <v>29895575</v>
      </c>
      <c r="B7" s="64" t="s">
        <v>242</v>
      </c>
      <c r="C7" s="64" t="s">
        <v>243</v>
      </c>
      <c r="D7" s="65">
        <v>2</v>
      </c>
      <c r="E7" s="65">
        <v>4</v>
      </c>
      <c r="F7" s="86">
        <v>45690</v>
      </c>
      <c r="G7" s="87">
        <v>45658</v>
      </c>
      <c r="H7" s="67" t="s">
        <v>378</v>
      </c>
      <c r="I7" s="68" t="s">
        <v>379</v>
      </c>
      <c r="J7" s="87">
        <v>45659</v>
      </c>
      <c r="K7" s="70" t="s">
        <v>380</v>
      </c>
      <c r="L7" s="88">
        <v>45659</v>
      </c>
      <c r="M7" s="72"/>
      <c r="N7" s="69" t="s">
        <v>381</v>
      </c>
      <c r="O7" s="71" t="s">
        <v>382</v>
      </c>
      <c r="P7" s="64"/>
      <c r="Q7" s="70" t="s">
        <v>383</v>
      </c>
      <c r="R7" s="71" t="s">
        <v>384</v>
      </c>
      <c r="S7" s="72"/>
      <c r="T7" s="71" t="s">
        <v>383</v>
      </c>
      <c r="U7" s="71" t="s">
        <v>382</v>
      </c>
      <c r="V7" s="64"/>
      <c r="W7" s="86">
        <v>45658</v>
      </c>
      <c r="X7" s="74" t="s">
        <v>383</v>
      </c>
      <c r="Y7" s="70" t="s">
        <v>381</v>
      </c>
      <c r="Z7" s="74" t="s">
        <v>384</v>
      </c>
      <c r="AA7" s="75">
        <v>9</v>
      </c>
      <c r="AB7" s="76"/>
    </row>
    <row r="8" spans="1:28">
      <c r="A8" s="63">
        <v>31255343</v>
      </c>
      <c r="B8" s="64" t="s">
        <v>184</v>
      </c>
      <c r="C8" s="64" t="s">
        <v>185</v>
      </c>
      <c r="D8" s="65">
        <v>5</v>
      </c>
      <c r="E8" s="65">
        <v>6</v>
      </c>
      <c r="F8" s="66">
        <v>2</v>
      </c>
      <c r="G8" s="67">
        <v>0</v>
      </c>
      <c r="H8" s="67">
        <v>1</v>
      </c>
      <c r="I8" s="68">
        <v>1.5</v>
      </c>
      <c r="J8" s="67">
        <v>2</v>
      </c>
      <c r="K8" s="73">
        <v>0.75</v>
      </c>
      <c r="L8" s="71">
        <v>0</v>
      </c>
      <c r="M8" s="72"/>
      <c r="N8" s="69">
        <v>1</v>
      </c>
      <c r="O8" s="71">
        <v>0</v>
      </c>
      <c r="P8" s="71">
        <v>1</v>
      </c>
      <c r="Q8" s="70">
        <v>0.5</v>
      </c>
      <c r="R8" s="71">
        <v>0</v>
      </c>
      <c r="S8" s="72"/>
      <c r="T8" s="71">
        <v>1</v>
      </c>
      <c r="U8" s="71">
        <v>0</v>
      </c>
      <c r="V8" s="71">
        <v>1</v>
      </c>
      <c r="W8" s="70">
        <v>0.5</v>
      </c>
      <c r="X8" s="74">
        <v>0</v>
      </c>
      <c r="Y8" s="70">
        <v>0.5</v>
      </c>
      <c r="Z8" s="74">
        <v>0</v>
      </c>
      <c r="AA8" s="75">
        <v>12.75</v>
      </c>
      <c r="AB8" s="76"/>
    </row>
    <row r="9" spans="1:28">
      <c r="A9" s="77">
        <v>30114012</v>
      </c>
      <c r="B9" s="78" t="s">
        <v>143</v>
      </c>
      <c r="C9" s="78" t="s">
        <v>44</v>
      </c>
      <c r="D9" s="79">
        <v>12</v>
      </c>
      <c r="E9" s="79">
        <v>7</v>
      </c>
      <c r="F9" s="66">
        <v>2</v>
      </c>
      <c r="G9" s="67">
        <v>1</v>
      </c>
      <c r="H9" s="67">
        <v>0.5</v>
      </c>
      <c r="I9" s="68">
        <v>0.5</v>
      </c>
      <c r="J9" s="80">
        <v>1</v>
      </c>
      <c r="K9" s="73">
        <v>0.75</v>
      </c>
      <c r="L9" s="69">
        <v>1</v>
      </c>
      <c r="M9" s="81"/>
      <c r="N9" s="67">
        <v>1</v>
      </c>
      <c r="O9" s="80">
        <v>1.75</v>
      </c>
      <c r="P9" s="78"/>
      <c r="Q9" s="83">
        <v>0.5</v>
      </c>
      <c r="R9" s="80">
        <v>0.5</v>
      </c>
      <c r="S9" s="81"/>
      <c r="T9" s="80">
        <v>0.75</v>
      </c>
      <c r="U9" s="80">
        <v>2</v>
      </c>
      <c r="V9" s="78"/>
      <c r="W9" s="83">
        <v>1</v>
      </c>
      <c r="X9" s="68">
        <v>1</v>
      </c>
      <c r="Y9" s="83">
        <v>0.5</v>
      </c>
      <c r="Z9" s="82">
        <v>1</v>
      </c>
      <c r="AA9" s="84">
        <v>16.75</v>
      </c>
      <c r="AB9" s="76"/>
    </row>
    <row r="10" spans="1:28">
      <c r="A10" s="77">
        <v>30030485</v>
      </c>
      <c r="B10" s="78" t="s">
        <v>102</v>
      </c>
      <c r="C10" s="78" t="s">
        <v>103</v>
      </c>
      <c r="D10" s="79">
        <v>16</v>
      </c>
      <c r="E10" s="79">
        <v>9</v>
      </c>
      <c r="F10" s="66">
        <v>2</v>
      </c>
      <c r="G10" s="67">
        <v>1</v>
      </c>
      <c r="H10" s="67">
        <v>1</v>
      </c>
      <c r="I10" s="68">
        <v>1</v>
      </c>
      <c r="J10" s="80">
        <v>1</v>
      </c>
      <c r="K10" s="83">
        <v>0.75</v>
      </c>
      <c r="L10" s="67">
        <v>1.75</v>
      </c>
      <c r="M10" s="81"/>
      <c r="N10" s="80">
        <v>0.75</v>
      </c>
      <c r="O10" s="69">
        <v>1.5</v>
      </c>
      <c r="P10" s="78"/>
      <c r="Q10" s="80">
        <v>0.75</v>
      </c>
      <c r="R10" s="80">
        <v>0</v>
      </c>
      <c r="S10" s="82">
        <v>1</v>
      </c>
      <c r="T10" s="67">
        <v>0</v>
      </c>
      <c r="U10" s="67">
        <v>0</v>
      </c>
      <c r="V10" s="78"/>
      <c r="W10" s="73">
        <v>0.5</v>
      </c>
      <c r="X10" s="82">
        <v>1</v>
      </c>
      <c r="Y10" s="83">
        <v>1</v>
      </c>
      <c r="Z10" s="82">
        <v>0.5</v>
      </c>
      <c r="AA10" s="84">
        <v>15.5</v>
      </c>
      <c r="AB10" s="76"/>
    </row>
    <row r="11" spans="1:28">
      <c r="A11" s="63">
        <v>31703910</v>
      </c>
      <c r="B11" s="64" t="s">
        <v>217</v>
      </c>
      <c r="C11" s="64" t="s">
        <v>112</v>
      </c>
      <c r="D11" s="65">
        <v>14</v>
      </c>
      <c r="E11" s="65">
        <v>10</v>
      </c>
      <c r="F11" s="66">
        <v>2</v>
      </c>
      <c r="G11" s="67">
        <v>1</v>
      </c>
      <c r="H11" s="67">
        <v>1.5</v>
      </c>
      <c r="I11" s="68">
        <v>1.5</v>
      </c>
      <c r="J11" s="67">
        <v>1</v>
      </c>
      <c r="K11" s="66">
        <v>1</v>
      </c>
      <c r="L11" s="71">
        <v>1</v>
      </c>
      <c r="M11" s="72"/>
      <c r="N11" s="71">
        <v>1</v>
      </c>
      <c r="O11" s="71">
        <v>1</v>
      </c>
      <c r="P11" s="64"/>
      <c r="Q11" s="73">
        <v>0.5</v>
      </c>
      <c r="R11" s="71">
        <v>0.5</v>
      </c>
      <c r="S11" s="72"/>
      <c r="T11" s="69">
        <v>1</v>
      </c>
      <c r="U11" s="71">
        <v>2</v>
      </c>
      <c r="V11" s="64"/>
      <c r="W11" s="66">
        <v>1</v>
      </c>
      <c r="X11" s="74">
        <v>1</v>
      </c>
      <c r="Y11" s="73">
        <v>1</v>
      </c>
      <c r="Z11" s="74">
        <v>0</v>
      </c>
      <c r="AA11" s="75">
        <v>18</v>
      </c>
      <c r="AB11" s="76"/>
    </row>
    <row r="12" spans="1:28">
      <c r="A12" s="77">
        <v>30849611</v>
      </c>
      <c r="B12" s="78" t="s">
        <v>35</v>
      </c>
      <c r="C12" s="78" t="s">
        <v>36</v>
      </c>
      <c r="D12" s="79">
        <v>1</v>
      </c>
      <c r="E12" s="79">
        <v>11</v>
      </c>
      <c r="F12" s="66">
        <v>2</v>
      </c>
      <c r="G12" s="67">
        <v>1</v>
      </c>
      <c r="H12" s="67">
        <v>2</v>
      </c>
      <c r="I12" s="68">
        <v>0.5</v>
      </c>
      <c r="J12" s="67">
        <v>1.5</v>
      </c>
      <c r="K12" s="73">
        <v>0.75</v>
      </c>
      <c r="L12" s="67">
        <v>2</v>
      </c>
      <c r="M12" s="81"/>
      <c r="N12" s="73">
        <v>0.75</v>
      </c>
      <c r="O12" s="67">
        <v>2</v>
      </c>
      <c r="P12" s="78"/>
      <c r="Q12" s="83">
        <v>1</v>
      </c>
      <c r="R12" s="67">
        <v>1</v>
      </c>
      <c r="S12" s="85">
        <v>1</v>
      </c>
      <c r="T12" s="80">
        <v>1</v>
      </c>
      <c r="U12" s="80">
        <v>2</v>
      </c>
      <c r="V12" s="69">
        <v>3</v>
      </c>
      <c r="W12" s="73">
        <v>1</v>
      </c>
      <c r="X12" s="82">
        <v>1</v>
      </c>
      <c r="Y12" s="83">
        <v>1</v>
      </c>
      <c r="Z12" s="82">
        <v>0</v>
      </c>
      <c r="AA12" s="84">
        <v>24.5</v>
      </c>
      <c r="AB12" s="76"/>
    </row>
    <row r="13" spans="1:28">
      <c r="A13" s="63">
        <v>30598031</v>
      </c>
      <c r="B13" s="64" t="s">
        <v>127</v>
      </c>
      <c r="C13" s="64" t="s">
        <v>94</v>
      </c>
      <c r="D13" s="65">
        <v>3</v>
      </c>
      <c r="E13" s="65">
        <v>16</v>
      </c>
      <c r="F13" s="66">
        <v>1.75</v>
      </c>
      <c r="G13" s="67">
        <v>0.5</v>
      </c>
      <c r="H13" s="67">
        <v>2.5</v>
      </c>
      <c r="I13" s="72"/>
      <c r="J13" s="69">
        <v>1</v>
      </c>
      <c r="K13" s="66">
        <v>1</v>
      </c>
      <c r="L13" s="67">
        <v>2</v>
      </c>
      <c r="M13" s="72"/>
      <c r="N13" s="71">
        <v>0.75</v>
      </c>
      <c r="O13" s="71">
        <v>1.9</v>
      </c>
      <c r="P13" s="71">
        <v>3</v>
      </c>
      <c r="Q13" s="70">
        <v>1</v>
      </c>
      <c r="R13" s="71">
        <v>0</v>
      </c>
      <c r="S13" s="74">
        <v>2</v>
      </c>
      <c r="T13" s="69">
        <v>1</v>
      </c>
      <c r="U13" s="71">
        <v>2</v>
      </c>
      <c r="V13" s="64"/>
      <c r="W13" s="66">
        <v>1</v>
      </c>
      <c r="X13" s="74">
        <v>1</v>
      </c>
      <c r="Y13" s="73">
        <v>0.75</v>
      </c>
      <c r="Z13" s="74">
        <v>0</v>
      </c>
      <c r="AA13" s="75">
        <v>23.15</v>
      </c>
      <c r="AB13" s="76"/>
    </row>
    <row r="14" spans="1:28">
      <c r="A14" s="63">
        <v>33921124</v>
      </c>
      <c r="B14" s="64" t="s">
        <v>209</v>
      </c>
      <c r="C14" s="64" t="s">
        <v>210</v>
      </c>
      <c r="D14" s="65">
        <v>15</v>
      </c>
      <c r="E14" s="65">
        <v>13</v>
      </c>
      <c r="F14" s="66">
        <v>2</v>
      </c>
      <c r="G14" s="67">
        <v>1</v>
      </c>
      <c r="H14" s="67">
        <v>1.5</v>
      </c>
      <c r="I14" s="68">
        <v>0.5</v>
      </c>
      <c r="J14" s="64"/>
      <c r="K14" s="70">
        <v>0.75</v>
      </c>
      <c r="L14" s="69">
        <v>1.5</v>
      </c>
      <c r="M14" s="72"/>
      <c r="N14" s="71">
        <v>0.5</v>
      </c>
      <c r="O14" s="69">
        <v>1</v>
      </c>
      <c r="P14" s="64"/>
      <c r="Q14" s="70">
        <v>0</v>
      </c>
      <c r="R14" s="69">
        <v>0.5</v>
      </c>
      <c r="S14" s="72"/>
      <c r="T14" s="71">
        <v>0</v>
      </c>
      <c r="U14" s="71">
        <v>0</v>
      </c>
      <c r="V14" s="64"/>
      <c r="W14" s="66">
        <v>1</v>
      </c>
      <c r="X14" s="72"/>
      <c r="Y14" s="66">
        <v>0</v>
      </c>
      <c r="Z14" s="74">
        <v>0</v>
      </c>
      <c r="AA14" s="75">
        <v>10.25</v>
      </c>
      <c r="AB14" s="76"/>
    </row>
    <row r="15" spans="1:28">
      <c r="A15" s="77">
        <v>31963201</v>
      </c>
      <c r="B15" s="78" t="s">
        <v>267</v>
      </c>
      <c r="C15" s="78" t="s">
        <v>268</v>
      </c>
      <c r="D15" s="79">
        <v>18</v>
      </c>
      <c r="E15" s="79">
        <v>14</v>
      </c>
      <c r="F15" s="66">
        <v>1</v>
      </c>
      <c r="G15" s="67">
        <v>1</v>
      </c>
      <c r="H15" s="67">
        <v>1</v>
      </c>
      <c r="I15" s="68">
        <v>1.5</v>
      </c>
      <c r="J15" s="67">
        <v>2</v>
      </c>
      <c r="K15" s="83">
        <v>0.5</v>
      </c>
      <c r="L15" s="80">
        <v>1</v>
      </c>
      <c r="M15" s="81"/>
      <c r="N15" s="80">
        <v>0.75</v>
      </c>
      <c r="O15" s="80">
        <v>1.5</v>
      </c>
      <c r="P15" s="78"/>
      <c r="Q15" s="83">
        <v>0</v>
      </c>
      <c r="R15" s="80">
        <v>0</v>
      </c>
      <c r="S15" s="81"/>
      <c r="T15" s="80">
        <v>1</v>
      </c>
      <c r="U15" s="80">
        <v>2</v>
      </c>
      <c r="V15" s="78"/>
      <c r="W15" s="66">
        <v>1</v>
      </c>
      <c r="X15" s="82">
        <v>1</v>
      </c>
      <c r="Y15" s="83">
        <v>0.5</v>
      </c>
      <c r="Z15" s="82">
        <v>1</v>
      </c>
      <c r="AA15" s="84">
        <v>16.75</v>
      </c>
      <c r="AB15" s="76"/>
    </row>
    <row r="16" spans="1:28">
      <c r="A16" s="77">
        <v>32122110</v>
      </c>
      <c r="B16" s="78" t="s">
        <v>225</v>
      </c>
      <c r="C16" s="78" t="s">
        <v>226</v>
      </c>
      <c r="D16" s="79">
        <v>22</v>
      </c>
      <c r="E16" s="79">
        <v>17</v>
      </c>
      <c r="F16" s="66">
        <v>1.75</v>
      </c>
      <c r="G16" s="67">
        <v>1</v>
      </c>
      <c r="H16" s="67">
        <v>1</v>
      </c>
      <c r="I16" s="81"/>
      <c r="J16" s="80">
        <v>2</v>
      </c>
      <c r="K16" s="83">
        <v>0.5</v>
      </c>
      <c r="L16" s="80">
        <v>1</v>
      </c>
      <c r="M16" s="81"/>
      <c r="N16" s="67">
        <v>1</v>
      </c>
      <c r="O16" s="80">
        <v>0.5</v>
      </c>
      <c r="P16" s="78"/>
      <c r="Q16" s="83">
        <v>0</v>
      </c>
      <c r="R16" s="80">
        <v>0</v>
      </c>
      <c r="S16" s="81"/>
      <c r="T16" s="80">
        <v>0</v>
      </c>
      <c r="U16" s="80">
        <v>0</v>
      </c>
      <c r="V16" s="78"/>
      <c r="W16" s="66">
        <v>1</v>
      </c>
      <c r="X16" s="82">
        <v>1</v>
      </c>
      <c r="Y16" s="83">
        <v>0</v>
      </c>
      <c r="Z16" s="82">
        <v>0</v>
      </c>
      <c r="AA16" s="84">
        <v>10.75</v>
      </c>
      <c r="AB16" s="76"/>
    </row>
    <row r="17" spans="1:28">
      <c r="A17" s="77">
        <v>30022208</v>
      </c>
      <c r="B17" s="78" t="s">
        <v>260</v>
      </c>
      <c r="C17" s="78" t="s">
        <v>61</v>
      </c>
      <c r="D17" s="79">
        <v>17</v>
      </c>
      <c r="E17" s="79"/>
      <c r="F17" s="83">
        <v>2</v>
      </c>
      <c r="G17" s="80">
        <v>1</v>
      </c>
      <c r="H17" s="80">
        <v>0.5</v>
      </c>
      <c r="I17" s="82">
        <v>1</v>
      </c>
      <c r="J17" s="69">
        <v>0.75</v>
      </c>
      <c r="K17" s="66">
        <v>0.75</v>
      </c>
      <c r="L17" s="80">
        <v>1</v>
      </c>
      <c r="M17" s="81"/>
      <c r="N17" s="80">
        <v>0.5</v>
      </c>
      <c r="O17" s="80">
        <v>1</v>
      </c>
      <c r="P17" s="78"/>
      <c r="Q17" s="83">
        <v>0.5</v>
      </c>
      <c r="R17" s="80">
        <v>0.75</v>
      </c>
      <c r="S17" s="81"/>
      <c r="T17" s="67">
        <v>0</v>
      </c>
      <c r="U17" s="67">
        <v>0</v>
      </c>
      <c r="V17" s="78"/>
      <c r="W17" s="83">
        <v>0.5</v>
      </c>
      <c r="X17" s="82">
        <v>1</v>
      </c>
      <c r="Y17" s="66">
        <v>1</v>
      </c>
      <c r="Z17" s="82">
        <v>0.75</v>
      </c>
      <c r="AA17" s="84">
        <v>13</v>
      </c>
      <c r="AB17" s="76"/>
    </row>
    <row r="18" spans="1:28">
      <c r="A18" s="63">
        <v>32242412</v>
      </c>
      <c r="B18" s="64" t="s">
        <v>118</v>
      </c>
      <c r="C18" s="64" t="s">
        <v>119</v>
      </c>
      <c r="D18" s="65">
        <v>7</v>
      </c>
      <c r="E18" s="65"/>
      <c r="F18" s="70">
        <v>2</v>
      </c>
      <c r="G18" s="71">
        <v>1</v>
      </c>
      <c r="H18" s="71">
        <v>0.5</v>
      </c>
      <c r="I18" s="74">
        <v>3</v>
      </c>
      <c r="J18" s="64"/>
      <c r="K18" s="70">
        <v>0.5</v>
      </c>
      <c r="L18" s="71">
        <v>0</v>
      </c>
      <c r="M18" s="72"/>
      <c r="N18" s="71">
        <v>0.25</v>
      </c>
      <c r="O18" s="71">
        <v>1</v>
      </c>
      <c r="P18" s="64"/>
      <c r="Q18" s="70">
        <v>0.5</v>
      </c>
      <c r="R18" s="71">
        <v>0.5</v>
      </c>
      <c r="S18" s="72"/>
      <c r="T18" s="71">
        <v>0.25</v>
      </c>
      <c r="U18" s="71">
        <v>0</v>
      </c>
      <c r="V18" s="64"/>
      <c r="W18" s="70">
        <v>0.75</v>
      </c>
      <c r="X18" s="74">
        <v>0.5</v>
      </c>
      <c r="Y18" s="70">
        <v>0</v>
      </c>
      <c r="Z18" s="74">
        <v>0.5</v>
      </c>
      <c r="AA18" s="75">
        <f>SUM(F18:Z18)</f>
        <v>11.25</v>
      </c>
      <c r="AB18" s="76"/>
    </row>
    <row r="19" spans="1:28">
      <c r="A19" s="63">
        <v>32491310</v>
      </c>
      <c r="B19" s="64" t="s">
        <v>76</v>
      </c>
      <c r="C19" s="64" t="s">
        <v>77</v>
      </c>
      <c r="D19" s="65">
        <v>19</v>
      </c>
      <c r="E19" s="65"/>
      <c r="F19" s="70">
        <v>2</v>
      </c>
      <c r="G19" s="71">
        <v>1</v>
      </c>
      <c r="H19" s="71">
        <v>0.5</v>
      </c>
      <c r="I19" s="74">
        <v>1.5</v>
      </c>
      <c r="J19" s="71">
        <v>1.5</v>
      </c>
      <c r="K19" s="70">
        <v>0.5</v>
      </c>
      <c r="L19" s="71">
        <v>0</v>
      </c>
      <c r="M19" s="72"/>
      <c r="N19" s="71">
        <v>0.5</v>
      </c>
      <c r="O19" s="71">
        <v>0</v>
      </c>
      <c r="P19" s="71">
        <v>1</v>
      </c>
      <c r="Q19" s="70">
        <v>0.5</v>
      </c>
      <c r="R19" s="71">
        <v>0</v>
      </c>
      <c r="S19" s="74">
        <v>1</v>
      </c>
      <c r="T19" s="71">
        <v>0.5</v>
      </c>
      <c r="U19" s="71">
        <v>0</v>
      </c>
      <c r="V19" s="64"/>
      <c r="W19" s="70">
        <v>0.5</v>
      </c>
      <c r="X19" s="74">
        <v>0</v>
      </c>
      <c r="Y19" s="70">
        <v>0.25</v>
      </c>
      <c r="Z19" s="74">
        <v>0</v>
      </c>
      <c r="AA19" s="75">
        <v>11.25</v>
      </c>
      <c r="AB19" s="55"/>
    </row>
    <row r="20" spans="1:28">
      <c r="A20" s="77">
        <v>31423000</v>
      </c>
      <c r="B20" s="78" t="s">
        <v>167</v>
      </c>
      <c r="C20" s="78" t="s">
        <v>168</v>
      </c>
      <c r="D20" s="79">
        <v>20</v>
      </c>
      <c r="E20" s="79"/>
      <c r="F20" s="83">
        <v>0</v>
      </c>
      <c r="G20" s="80">
        <v>0</v>
      </c>
      <c r="H20" s="80">
        <v>0</v>
      </c>
      <c r="I20" s="82">
        <v>0</v>
      </c>
      <c r="J20" s="80">
        <v>0</v>
      </c>
      <c r="K20" s="83">
        <v>0.5</v>
      </c>
      <c r="L20" s="80">
        <v>0.5</v>
      </c>
      <c r="M20" s="81"/>
      <c r="N20" s="80">
        <v>0</v>
      </c>
      <c r="O20" s="80">
        <v>0</v>
      </c>
      <c r="P20" s="78"/>
      <c r="Q20" s="83">
        <v>0</v>
      </c>
      <c r="R20" s="80">
        <v>0</v>
      </c>
      <c r="S20" s="81"/>
      <c r="T20" s="80">
        <v>0</v>
      </c>
      <c r="U20" s="80">
        <v>0</v>
      </c>
      <c r="V20" s="78"/>
      <c r="W20" s="83">
        <v>0.5</v>
      </c>
      <c r="X20" s="82">
        <v>1</v>
      </c>
      <c r="Y20" s="83">
        <v>0</v>
      </c>
      <c r="Z20" s="82">
        <v>0</v>
      </c>
      <c r="AA20" s="89">
        <v>2.5</v>
      </c>
    </row>
    <row r="21" spans="1:28">
      <c r="A21" s="90">
        <v>31988236</v>
      </c>
      <c r="B21" s="91" t="s">
        <v>84</v>
      </c>
      <c r="C21" s="91" t="s">
        <v>85</v>
      </c>
      <c r="D21" s="92">
        <v>21</v>
      </c>
      <c r="E21" s="92"/>
      <c r="F21" s="93">
        <v>2</v>
      </c>
      <c r="G21" s="94">
        <v>1</v>
      </c>
      <c r="H21" s="94">
        <v>0.25</v>
      </c>
      <c r="I21" s="95">
        <v>0.5</v>
      </c>
      <c r="J21" s="94">
        <v>0</v>
      </c>
      <c r="K21" s="93">
        <v>0.5</v>
      </c>
      <c r="L21" s="94">
        <v>1</v>
      </c>
      <c r="M21" s="96"/>
      <c r="N21" s="94">
        <v>0.75</v>
      </c>
      <c r="O21" s="94">
        <v>1</v>
      </c>
      <c r="P21" s="94">
        <v>1</v>
      </c>
      <c r="Q21" s="93">
        <v>0.75</v>
      </c>
      <c r="R21" s="94">
        <v>0</v>
      </c>
      <c r="S21" s="96"/>
      <c r="T21" s="94">
        <v>0</v>
      </c>
      <c r="U21" s="94">
        <v>0</v>
      </c>
      <c r="V21" s="91"/>
      <c r="W21" s="93">
        <v>0</v>
      </c>
      <c r="X21" s="95">
        <v>0</v>
      </c>
      <c r="Y21" s="93">
        <v>0</v>
      </c>
      <c r="Z21" s="95">
        <v>1</v>
      </c>
      <c r="AA21" s="97">
        <v>9.75</v>
      </c>
    </row>
  </sheetData>
  <mergeCells count="7">
    <mergeCell ref="W1:X1"/>
    <mergeCell ref="Y1:Z1"/>
    <mergeCell ref="F1:I1"/>
    <mergeCell ref="K1:M1"/>
    <mergeCell ref="N1:P1"/>
    <mergeCell ref="Q1:S1"/>
    <mergeCell ref="T1:V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Q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5" defaultRowHeight="15" customHeight="1"/>
  <sheetData>
    <row r="1" spans="1:17">
      <c r="A1" s="1" t="s">
        <v>19</v>
      </c>
      <c r="B1" s="1" t="s">
        <v>339</v>
      </c>
      <c r="C1" s="98" t="s">
        <v>385</v>
      </c>
      <c r="D1" s="98" t="s">
        <v>386</v>
      </c>
      <c r="E1" s="98" t="s">
        <v>387</v>
      </c>
      <c r="F1" s="98" t="s">
        <v>388</v>
      </c>
      <c r="G1" s="98" t="s">
        <v>389</v>
      </c>
      <c r="H1" s="98" t="s">
        <v>390</v>
      </c>
      <c r="I1" s="98" t="s">
        <v>391</v>
      </c>
      <c r="J1" s="98" t="s">
        <v>392</v>
      </c>
      <c r="K1" s="98" t="s">
        <v>393</v>
      </c>
      <c r="L1" s="98" t="s">
        <v>394</v>
      </c>
      <c r="M1" s="98" t="s">
        <v>395</v>
      </c>
      <c r="N1" s="98" t="s">
        <v>396</v>
      </c>
      <c r="O1" s="98" t="s">
        <v>397</v>
      </c>
      <c r="P1" s="98" t="s">
        <v>398</v>
      </c>
      <c r="Q1" s="99" t="s">
        <v>399</v>
      </c>
    </row>
    <row r="2" spans="1:17">
      <c r="A2" s="98" t="s">
        <v>400</v>
      </c>
      <c r="B2" s="98" t="s">
        <v>401</v>
      </c>
      <c r="C2" s="100">
        <v>16</v>
      </c>
      <c r="D2" s="100">
        <v>16.329999999999998</v>
      </c>
      <c r="E2" s="100">
        <v>12</v>
      </c>
      <c r="F2" s="100">
        <v>10</v>
      </c>
      <c r="G2" s="101"/>
      <c r="H2" s="101"/>
      <c r="I2" s="101"/>
      <c r="J2" s="100">
        <v>10</v>
      </c>
      <c r="K2" s="100">
        <v>14</v>
      </c>
      <c r="L2" s="100">
        <v>13.5</v>
      </c>
      <c r="M2" s="101"/>
      <c r="N2" s="101"/>
      <c r="O2" s="101"/>
      <c r="P2" s="101"/>
      <c r="Q2" s="102">
        <f t="shared" ref="Q2:Q31" si="0">SUM(C2:P2)/COUNTA(C$1:P$1)</f>
        <v>6.5592857142857142</v>
      </c>
    </row>
    <row r="3" spans="1:17">
      <c r="A3" s="98" t="s">
        <v>402</v>
      </c>
      <c r="B3" s="98" t="s">
        <v>403</v>
      </c>
      <c r="C3" s="103">
        <v>15.33</v>
      </c>
      <c r="D3" s="103">
        <v>20</v>
      </c>
      <c r="E3" s="103">
        <v>10</v>
      </c>
      <c r="F3" s="103">
        <v>13</v>
      </c>
      <c r="G3" s="103">
        <v>0</v>
      </c>
      <c r="H3" s="103">
        <v>12</v>
      </c>
      <c r="I3" s="103">
        <v>14</v>
      </c>
      <c r="J3" s="103">
        <v>10</v>
      </c>
      <c r="K3" s="103">
        <v>13</v>
      </c>
      <c r="L3" s="103">
        <v>20</v>
      </c>
      <c r="M3" s="103">
        <v>20</v>
      </c>
      <c r="N3" s="103">
        <v>10</v>
      </c>
      <c r="O3" s="103">
        <v>14</v>
      </c>
      <c r="P3" s="104"/>
      <c r="Q3" s="102">
        <f t="shared" si="0"/>
        <v>12.237857142857141</v>
      </c>
    </row>
    <row r="4" spans="1:17">
      <c r="A4" s="98" t="s">
        <v>404</v>
      </c>
      <c r="B4" s="98" t="s">
        <v>405</v>
      </c>
      <c r="C4" s="100">
        <v>18</v>
      </c>
      <c r="D4" s="100">
        <v>17</v>
      </c>
      <c r="E4" s="100">
        <v>18</v>
      </c>
      <c r="F4" s="100">
        <v>20</v>
      </c>
      <c r="G4" s="100">
        <v>18</v>
      </c>
      <c r="H4" s="100">
        <v>18</v>
      </c>
      <c r="I4" s="100">
        <v>20</v>
      </c>
      <c r="J4" s="100">
        <v>19</v>
      </c>
      <c r="K4" s="100">
        <v>16</v>
      </c>
      <c r="L4" s="100">
        <v>10</v>
      </c>
      <c r="M4" s="100">
        <v>18</v>
      </c>
      <c r="N4" s="100">
        <v>18</v>
      </c>
      <c r="O4" s="100">
        <v>16</v>
      </c>
      <c r="P4" s="100">
        <v>18</v>
      </c>
      <c r="Q4" s="102">
        <f t="shared" si="0"/>
        <v>17.428571428571427</v>
      </c>
    </row>
    <row r="5" spans="1:17">
      <c r="A5" s="98" t="s">
        <v>406</v>
      </c>
      <c r="B5" s="98" t="s">
        <v>407</v>
      </c>
      <c r="C5" s="103">
        <v>16</v>
      </c>
      <c r="D5" s="103">
        <v>17</v>
      </c>
      <c r="E5" s="103">
        <v>14</v>
      </c>
      <c r="F5" s="103">
        <v>17.5</v>
      </c>
      <c r="G5" s="103">
        <v>16</v>
      </c>
      <c r="H5" s="103">
        <v>18</v>
      </c>
      <c r="I5" s="103">
        <v>14</v>
      </c>
      <c r="J5" s="103">
        <v>15</v>
      </c>
      <c r="K5" s="103">
        <v>16</v>
      </c>
      <c r="L5" s="103">
        <v>20</v>
      </c>
      <c r="M5" s="103">
        <v>16</v>
      </c>
      <c r="N5" s="103">
        <v>14</v>
      </c>
      <c r="O5" s="104"/>
      <c r="P5" s="104"/>
      <c r="Q5" s="102">
        <f t="shared" si="0"/>
        <v>13.821428571428571</v>
      </c>
    </row>
    <row r="6" spans="1:17">
      <c r="A6" s="98" t="s">
        <v>408</v>
      </c>
      <c r="B6" s="98" t="s">
        <v>409</v>
      </c>
      <c r="C6" s="100">
        <v>14</v>
      </c>
      <c r="D6" s="100">
        <v>10.33</v>
      </c>
      <c r="E6" s="100">
        <v>15</v>
      </c>
      <c r="F6" s="100">
        <v>10</v>
      </c>
      <c r="G6" s="100">
        <v>10</v>
      </c>
      <c r="H6" s="100">
        <v>10</v>
      </c>
      <c r="I6" s="100">
        <v>10</v>
      </c>
      <c r="J6" s="100">
        <v>18</v>
      </c>
      <c r="K6" s="100">
        <v>12</v>
      </c>
      <c r="L6" s="100">
        <v>16</v>
      </c>
      <c r="M6" s="100">
        <v>16</v>
      </c>
      <c r="N6" s="100">
        <v>10</v>
      </c>
      <c r="O6" s="100">
        <v>10</v>
      </c>
      <c r="P6" s="100">
        <v>10</v>
      </c>
      <c r="Q6" s="102">
        <f t="shared" si="0"/>
        <v>12.237857142857141</v>
      </c>
    </row>
    <row r="7" spans="1:17">
      <c r="A7" s="98" t="s">
        <v>410</v>
      </c>
      <c r="B7" s="98" t="s">
        <v>411</v>
      </c>
      <c r="C7" s="103">
        <v>12</v>
      </c>
      <c r="D7" s="103">
        <v>14</v>
      </c>
      <c r="E7" s="103">
        <v>12</v>
      </c>
      <c r="F7" s="103">
        <v>10</v>
      </c>
      <c r="G7" s="103">
        <v>18</v>
      </c>
      <c r="H7" s="103">
        <v>10</v>
      </c>
      <c r="I7" s="103">
        <v>10</v>
      </c>
      <c r="J7" s="103">
        <v>10</v>
      </c>
      <c r="K7" s="103">
        <v>10</v>
      </c>
      <c r="L7" s="103">
        <v>12</v>
      </c>
      <c r="M7" s="103">
        <v>15</v>
      </c>
      <c r="N7" s="103">
        <v>14</v>
      </c>
      <c r="O7" s="104"/>
      <c r="P7" s="103">
        <v>14</v>
      </c>
      <c r="Q7" s="102">
        <f t="shared" si="0"/>
        <v>11.5</v>
      </c>
    </row>
    <row r="8" spans="1:17">
      <c r="A8" s="98" t="s">
        <v>71</v>
      </c>
      <c r="B8" s="98" t="s">
        <v>412</v>
      </c>
      <c r="C8" s="100">
        <v>18</v>
      </c>
      <c r="D8" s="100">
        <v>14.33</v>
      </c>
      <c r="E8" s="100">
        <v>18</v>
      </c>
      <c r="F8" s="100">
        <v>17</v>
      </c>
      <c r="G8" s="100">
        <v>18</v>
      </c>
      <c r="H8" s="100">
        <v>18</v>
      </c>
      <c r="I8" s="100">
        <v>14</v>
      </c>
      <c r="J8" s="100">
        <v>15</v>
      </c>
      <c r="K8" s="100">
        <v>18</v>
      </c>
      <c r="L8" s="100">
        <v>10</v>
      </c>
      <c r="M8" s="100">
        <v>16</v>
      </c>
      <c r="N8" s="100">
        <v>10</v>
      </c>
      <c r="O8" s="100">
        <v>10</v>
      </c>
      <c r="P8" s="100">
        <v>10</v>
      </c>
      <c r="Q8" s="102">
        <f t="shared" si="0"/>
        <v>14.737857142857141</v>
      </c>
    </row>
    <row r="9" spans="1:17">
      <c r="A9" s="98" t="s">
        <v>413</v>
      </c>
      <c r="B9" s="98" t="s">
        <v>414</v>
      </c>
      <c r="C9" s="103">
        <v>16</v>
      </c>
      <c r="D9" s="103">
        <v>17</v>
      </c>
      <c r="E9" s="103">
        <v>12</v>
      </c>
      <c r="F9" s="103">
        <v>15.5</v>
      </c>
      <c r="G9" s="103">
        <v>18</v>
      </c>
      <c r="H9" s="103">
        <v>15.5</v>
      </c>
      <c r="I9" s="103">
        <v>14</v>
      </c>
      <c r="J9" s="103">
        <v>10</v>
      </c>
      <c r="K9" s="103">
        <v>11.6</v>
      </c>
      <c r="L9" s="103">
        <v>10</v>
      </c>
      <c r="M9" s="103">
        <v>10</v>
      </c>
      <c r="N9" s="103">
        <v>10</v>
      </c>
      <c r="O9" s="103">
        <v>10</v>
      </c>
      <c r="P9" s="103">
        <v>10</v>
      </c>
      <c r="Q9" s="102">
        <f t="shared" si="0"/>
        <v>12.828571428571427</v>
      </c>
    </row>
    <row r="10" spans="1:17">
      <c r="A10" s="98" t="s">
        <v>415</v>
      </c>
      <c r="B10" s="98" t="s">
        <v>416</v>
      </c>
      <c r="C10" s="100">
        <v>18.670000000000002</v>
      </c>
      <c r="D10" s="100">
        <v>17</v>
      </c>
      <c r="E10" s="100">
        <v>15</v>
      </c>
      <c r="F10" s="100">
        <v>14</v>
      </c>
      <c r="G10" s="100">
        <v>18</v>
      </c>
      <c r="H10" s="100">
        <v>12.5</v>
      </c>
      <c r="I10" s="100">
        <v>18</v>
      </c>
      <c r="J10" s="100">
        <v>18</v>
      </c>
      <c r="K10" s="100">
        <v>19</v>
      </c>
      <c r="L10" s="100">
        <v>18.5</v>
      </c>
      <c r="M10" s="100">
        <v>18</v>
      </c>
      <c r="N10" s="100">
        <v>16</v>
      </c>
      <c r="O10" s="100">
        <v>14</v>
      </c>
      <c r="P10" s="100">
        <v>20</v>
      </c>
      <c r="Q10" s="102">
        <f t="shared" si="0"/>
        <v>16.905000000000001</v>
      </c>
    </row>
    <row r="11" spans="1:17">
      <c r="A11" s="98" t="s">
        <v>417</v>
      </c>
      <c r="B11" s="98" t="s">
        <v>418</v>
      </c>
      <c r="C11" s="103">
        <v>20</v>
      </c>
      <c r="D11" s="103">
        <v>19</v>
      </c>
      <c r="E11" s="103">
        <v>16</v>
      </c>
      <c r="F11" s="103">
        <v>16</v>
      </c>
      <c r="G11" s="103">
        <v>18</v>
      </c>
      <c r="H11" s="103">
        <v>20</v>
      </c>
      <c r="I11" s="103">
        <v>16</v>
      </c>
      <c r="J11" s="103">
        <v>19</v>
      </c>
      <c r="K11" s="103">
        <v>19</v>
      </c>
      <c r="L11" s="103">
        <v>19.600000000000001</v>
      </c>
      <c r="M11" s="103">
        <v>16</v>
      </c>
      <c r="N11" s="103">
        <v>14</v>
      </c>
      <c r="O11" s="104"/>
      <c r="P11" s="104"/>
      <c r="Q11" s="102">
        <f t="shared" si="0"/>
        <v>15.185714285714285</v>
      </c>
    </row>
    <row r="12" spans="1:17">
      <c r="A12" s="98" t="s">
        <v>105</v>
      </c>
      <c r="B12" s="98" t="s">
        <v>419</v>
      </c>
      <c r="C12" s="100">
        <v>18</v>
      </c>
      <c r="D12" s="100">
        <v>19</v>
      </c>
      <c r="E12" s="100">
        <v>13</v>
      </c>
      <c r="F12" s="100">
        <v>19.5</v>
      </c>
      <c r="G12" s="100">
        <v>20</v>
      </c>
      <c r="H12" s="100">
        <v>20</v>
      </c>
      <c r="I12" s="100">
        <v>18</v>
      </c>
      <c r="J12" s="100">
        <v>14</v>
      </c>
      <c r="K12" s="100">
        <v>15</v>
      </c>
      <c r="L12" s="100">
        <v>18</v>
      </c>
      <c r="M12" s="100">
        <v>16</v>
      </c>
      <c r="N12" s="100">
        <v>20</v>
      </c>
      <c r="O12" s="100">
        <v>18</v>
      </c>
      <c r="P12" s="100">
        <v>14</v>
      </c>
      <c r="Q12" s="102">
        <f t="shared" si="0"/>
        <v>17.321428571428573</v>
      </c>
    </row>
    <row r="13" spans="1:17">
      <c r="A13" s="98" t="s">
        <v>420</v>
      </c>
      <c r="B13" s="98" t="s">
        <v>421</v>
      </c>
      <c r="C13" s="103">
        <v>20</v>
      </c>
      <c r="D13" s="103">
        <v>0</v>
      </c>
      <c r="E13" s="103">
        <v>15</v>
      </c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2">
        <f t="shared" si="0"/>
        <v>2.5</v>
      </c>
    </row>
    <row r="14" spans="1:17">
      <c r="A14" s="98" t="s">
        <v>422</v>
      </c>
      <c r="B14" s="98" t="s">
        <v>423</v>
      </c>
      <c r="C14" s="100">
        <v>14</v>
      </c>
      <c r="D14" s="100">
        <v>13</v>
      </c>
      <c r="E14" s="100">
        <v>15</v>
      </c>
      <c r="F14" s="100">
        <v>11</v>
      </c>
      <c r="G14" s="100">
        <v>13</v>
      </c>
      <c r="H14" s="100">
        <v>16</v>
      </c>
      <c r="I14" s="100">
        <v>18</v>
      </c>
      <c r="J14" s="100">
        <v>18</v>
      </c>
      <c r="K14" s="100">
        <v>17</v>
      </c>
      <c r="L14" s="100">
        <v>18.670000000000002</v>
      </c>
      <c r="M14" s="100">
        <v>18</v>
      </c>
      <c r="N14" s="100">
        <v>18</v>
      </c>
      <c r="O14" s="100">
        <v>16</v>
      </c>
      <c r="P14" s="100">
        <v>14</v>
      </c>
      <c r="Q14" s="102">
        <f t="shared" si="0"/>
        <v>15.690714285714288</v>
      </c>
    </row>
    <row r="15" spans="1:17">
      <c r="A15" s="98" t="s">
        <v>424</v>
      </c>
      <c r="B15" s="98" t="s">
        <v>425</v>
      </c>
      <c r="C15" s="103">
        <v>14</v>
      </c>
      <c r="D15" s="103">
        <v>15</v>
      </c>
      <c r="E15" s="103">
        <v>12</v>
      </c>
      <c r="F15" s="103">
        <v>9.5</v>
      </c>
      <c r="G15" s="103">
        <v>16</v>
      </c>
      <c r="H15" s="103">
        <v>18</v>
      </c>
      <c r="I15" s="103">
        <v>10</v>
      </c>
      <c r="J15" s="103">
        <v>19.329999999999998</v>
      </c>
      <c r="K15" s="103">
        <v>18</v>
      </c>
      <c r="L15" s="103">
        <v>19.600000000000001</v>
      </c>
      <c r="M15" s="103">
        <v>20</v>
      </c>
      <c r="N15" s="103">
        <v>18</v>
      </c>
      <c r="O15" s="103">
        <v>18</v>
      </c>
      <c r="P15" s="103">
        <v>18</v>
      </c>
      <c r="Q15" s="102">
        <f t="shared" si="0"/>
        <v>16.102142857142855</v>
      </c>
    </row>
    <row r="16" spans="1:17">
      <c r="A16" s="98" t="s">
        <v>139</v>
      </c>
      <c r="B16" s="98" t="s">
        <v>426</v>
      </c>
      <c r="C16" s="100">
        <v>20</v>
      </c>
      <c r="D16" s="100">
        <v>16.670000000000002</v>
      </c>
      <c r="E16" s="100">
        <v>16</v>
      </c>
      <c r="F16" s="100">
        <v>20</v>
      </c>
      <c r="G16" s="100">
        <v>18</v>
      </c>
      <c r="H16" s="100">
        <v>20</v>
      </c>
      <c r="I16" s="100">
        <v>20</v>
      </c>
      <c r="J16" s="100">
        <v>14</v>
      </c>
      <c r="K16" s="100">
        <v>19</v>
      </c>
      <c r="L16" s="100">
        <v>17.329999999999998</v>
      </c>
      <c r="M16" s="100">
        <v>18</v>
      </c>
      <c r="N16" s="100">
        <v>18</v>
      </c>
      <c r="O16" s="100">
        <v>20</v>
      </c>
      <c r="P16" s="100">
        <v>20</v>
      </c>
      <c r="Q16" s="102">
        <f t="shared" si="0"/>
        <v>18.357142857142858</v>
      </c>
    </row>
    <row r="17" spans="1:17">
      <c r="A17" s="98" t="s">
        <v>153</v>
      </c>
      <c r="B17" s="98" t="s">
        <v>427</v>
      </c>
      <c r="C17" s="103">
        <v>16</v>
      </c>
      <c r="D17" s="103">
        <v>15</v>
      </c>
      <c r="E17" s="103">
        <v>10</v>
      </c>
      <c r="F17" s="103">
        <v>10</v>
      </c>
      <c r="G17" s="103">
        <v>12</v>
      </c>
      <c r="H17" s="103">
        <v>13.5</v>
      </c>
      <c r="I17" s="103">
        <v>14</v>
      </c>
      <c r="J17" s="104"/>
      <c r="K17" s="104"/>
      <c r="L17" s="104"/>
      <c r="M17" s="104"/>
      <c r="N17" s="104"/>
      <c r="O17" s="104"/>
      <c r="P17" s="104"/>
      <c r="Q17" s="102">
        <f t="shared" si="0"/>
        <v>6.4642857142857144</v>
      </c>
    </row>
    <row r="18" spans="1:17">
      <c r="A18" s="98" t="s">
        <v>162</v>
      </c>
      <c r="B18" s="98" t="s">
        <v>428</v>
      </c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2">
        <f t="shared" si="0"/>
        <v>0</v>
      </c>
    </row>
    <row r="19" spans="1:17">
      <c r="A19" s="98" t="s">
        <v>171</v>
      </c>
      <c r="B19" s="98" t="s">
        <v>429</v>
      </c>
      <c r="C19" s="103">
        <v>16</v>
      </c>
      <c r="D19" s="103">
        <v>17</v>
      </c>
      <c r="E19" s="103">
        <v>18</v>
      </c>
      <c r="F19" s="103">
        <v>14</v>
      </c>
      <c r="G19" s="103">
        <v>18</v>
      </c>
      <c r="H19" s="103">
        <v>16.5</v>
      </c>
      <c r="I19" s="103">
        <v>16</v>
      </c>
      <c r="J19" s="103">
        <v>16</v>
      </c>
      <c r="K19" s="103">
        <v>11</v>
      </c>
      <c r="L19" s="103">
        <v>10</v>
      </c>
      <c r="M19" s="103">
        <v>10</v>
      </c>
      <c r="N19" s="103">
        <v>10</v>
      </c>
      <c r="O19" s="103">
        <v>18</v>
      </c>
      <c r="P19" s="103">
        <v>12</v>
      </c>
      <c r="Q19" s="102">
        <f t="shared" si="0"/>
        <v>14.464285714285714</v>
      </c>
    </row>
    <row r="20" spans="1:17">
      <c r="A20" s="98" t="s">
        <v>430</v>
      </c>
      <c r="B20" s="98" t="s">
        <v>431</v>
      </c>
      <c r="C20" s="100">
        <v>18</v>
      </c>
      <c r="D20" s="100">
        <v>9.67</v>
      </c>
      <c r="E20" s="100">
        <v>10</v>
      </c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2">
        <f t="shared" si="0"/>
        <v>2.6907142857142858</v>
      </c>
    </row>
    <row r="21" spans="1:17">
      <c r="A21" s="98" t="s">
        <v>432</v>
      </c>
      <c r="B21" s="98" t="s">
        <v>433</v>
      </c>
      <c r="C21" s="103">
        <v>19.329999999999998</v>
      </c>
      <c r="D21" s="103">
        <v>20</v>
      </c>
      <c r="E21" s="103">
        <v>16</v>
      </c>
      <c r="F21" s="103">
        <v>18</v>
      </c>
      <c r="G21" s="103">
        <v>20</v>
      </c>
      <c r="H21" s="103">
        <v>17.5</v>
      </c>
      <c r="I21" s="103">
        <v>18</v>
      </c>
      <c r="J21" s="103">
        <v>16</v>
      </c>
      <c r="K21" s="103">
        <v>17.329999999999998</v>
      </c>
      <c r="L21" s="103">
        <v>19.600000000000001</v>
      </c>
      <c r="M21" s="103">
        <v>19</v>
      </c>
      <c r="N21" s="103">
        <v>20</v>
      </c>
      <c r="O21" s="103">
        <v>16</v>
      </c>
      <c r="P21" s="103">
        <v>16</v>
      </c>
      <c r="Q21" s="102">
        <f t="shared" si="0"/>
        <v>18.054285714285712</v>
      </c>
    </row>
    <row r="22" spans="1:17">
      <c r="A22" s="98" t="s">
        <v>434</v>
      </c>
      <c r="B22" s="98" t="s">
        <v>435</v>
      </c>
      <c r="C22" s="100">
        <v>20</v>
      </c>
      <c r="D22" s="100">
        <v>18.329999999999998</v>
      </c>
      <c r="E22" s="100">
        <v>16</v>
      </c>
      <c r="F22" s="100">
        <v>18</v>
      </c>
      <c r="G22" s="100">
        <v>20</v>
      </c>
      <c r="H22" s="100">
        <v>20</v>
      </c>
      <c r="I22" s="100">
        <v>10</v>
      </c>
      <c r="J22" s="100">
        <v>10</v>
      </c>
      <c r="K22" s="100">
        <v>15</v>
      </c>
      <c r="L22" s="100">
        <v>10</v>
      </c>
      <c r="M22" s="100">
        <v>15</v>
      </c>
      <c r="N22" s="100">
        <v>14</v>
      </c>
      <c r="O22" s="100">
        <v>12</v>
      </c>
      <c r="P22" s="100">
        <v>10</v>
      </c>
      <c r="Q22" s="102">
        <f t="shared" si="0"/>
        <v>14.880714285714285</v>
      </c>
    </row>
    <row r="23" spans="1:17">
      <c r="A23" s="98" t="s">
        <v>205</v>
      </c>
      <c r="B23" s="98" t="s">
        <v>436</v>
      </c>
      <c r="C23" s="103">
        <v>12</v>
      </c>
      <c r="D23" s="103">
        <v>17</v>
      </c>
      <c r="E23" s="103">
        <v>13.33</v>
      </c>
      <c r="F23" s="103">
        <v>16</v>
      </c>
      <c r="G23" s="103">
        <v>20</v>
      </c>
      <c r="H23" s="103">
        <v>17.5</v>
      </c>
      <c r="I23" s="103">
        <v>18</v>
      </c>
      <c r="J23" s="103">
        <v>17.329999999999998</v>
      </c>
      <c r="K23" s="103">
        <v>16.670000000000002</v>
      </c>
      <c r="L23" s="103">
        <v>17</v>
      </c>
      <c r="M23" s="103">
        <v>20</v>
      </c>
      <c r="N23" s="103">
        <v>16</v>
      </c>
      <c r="O23" s="103">
        <v>20</v>
      </c>
      <c r="P23" s="103">
        <v>18</v>
      </c>
      <c r="Q23" s="102">
        <f t="shared" si="0"/>
        <v>17.059285714285714</v>
      </c>
    </row>
    <row r="24" spans="1:17">
      <c r="A24" s="98" t="s">
        <v>437</v>
      </c>
      <c r="B24" s="98" t="s">
        <v>438</v>
      </c>
      <c r="C24" s="100">
        <v>10</v>
      </c>
      <c r="D24" s="100">
        <v>17</v>
      </c>
      <c r="E24" s="100">
        <v>15</v>
      </c>
      <c r="F24" s="100">
        <v>11.5</v>
      </c>
      <c r="G24" s="100">
        <v>16</v>
      </c>
      <c r="H24" s="100">
        <v>13.5</v>
      </c>
      <c r="I24" s="100">
        <v>16</v>
      </c>
      <c r="J24" s="100">
        <v>10.67</v>
      </c>
      <c r="K24" s="100">
        <v>17</v>
      </c>
      <c r="L24" s="100">
        <v>19</v>
      </c>
      <c r="M24" s="100">
        <v>20</v>
      </c>
      <c r="N24" s="100">
        <v>16</v>
      </c>
      <c r="O24" s="100">
        <v>18.670000000000002</v>
      </c>
      <c r="P24" s="100">
        <v>20</v>
      </c>
      <c r="Q24" s="102">
        <f t="shared" si="0"/>
        <v>15.738571428571431</v>
      </c>
    </row>
    <row r="25" spans="1:17">
      <c r="A25" s="98" t="s">
        <v>220</v>
      </c>
      <c r="B25" s="98" t="s">
        <v>439</v>
      </c>
      <c r="C25" s="103">
        <v>18</v>
      </c>
      <c r="D25" s="103">
        <v>18</v>
      </c>
      <c r="E25" s="103">
        <v>16</v>
      </c>
      <c r="F25" s="103">
        <v>13</v>
      </c>
      <c r="G25" s="103">
        <v>12</v>
      </c>
      <c r="H25" s="103">
        <v>17.5</v>
      </c>
      <c r="I25" s="103">
        <v>18</v>
      </c>
      <c r="J25" s="103">
        <v>14</v>
      </c>
      <c r="K25" s="103">
        <v>14</v>
      </c>
      <c r="L25" s="103">
        <v>18</v>
      </c>
      <c r="M25" s="103">
        <v>20</v>
      </c>
      <c r="N25" s="103">
        <v>14</v>
      </c>
      <c r="O25" s="103">
        <v>20</v>
      </c>
      <c r="P25" s="103">
        <v>18</v>
      </c>
      <c r="Q25" s="102">
        <f t="shared" si="0"/>
        <v>16.464285714285715</v>
      </c>
    </row>
    <row r="26" spans="1:17">
      <c r="A26" s="98" t="s">
        <v>440</v>
      </c>
      <c r="B26" s="98" t="s">
        <v>441</v>
      </c>
      <c r="C26" s="100">
        <v>18</v>
      </c>
      <c r="D26" s="100">
        <v>19</v>
      </c>
      <c r="E26" s="100">
        <v>14.33</v>
      </c>
      <c r="F26" s="100">
        <v>11.5</v>
      </c>
      <c r="G26" s="100">
        <v>10</v>
      </c>
      <c r="H26" s="100">
        <v>10</v>
      </c>
      <c r="I26" s="100">
        <v>10</v>
      </c>
      <c r="J26" s="100">
        <v>16</v>
      </c>
      <c r="K26" s="100">
        <v>14</v>
      </c>
      <c r="L26" s="100">
        <v>10</v>
      </c>
      <c r="M26" s="100">
        <v>10</v>
      </c>
      <c r="N26" s="100">
        <v>10</v>
      </c>
      <c r="O26" s="100">
        <v>10</v>
      </c>
      <c r="P26" s="100">
        <v>10</v>
      </c>
      <c r="Q26" s="102">
        <f t="shared" si="0"/>
        <v>12.344999999999999</v>
      </c>
    </row>
    <row r="27" spans="1:17">
      <c r="A27" s="98" t="s">
        <v>442</v>
      </c>
      <c r="B27" s="98" t="s">
        <v>443</v>
      </c>
      <c r="C27" s="103">
        <v>12</v>
      </c>
      <c r="D27" s="103">
        <v>18</v>
      </c>
      <c r="E27" s="103">
        <v>14</v>
      </c>
      <c r="F27" s="103">
        <v>12</v>
      </c>
      <c r="G27" s="103">
        <v>20</v>
      </c>
      <c r="H27" s="103">
        <v>15.5</v>
      </c>
      <c r="I27" s="103">
        <v>18</v>
      </c>
      <c r="J27" s="103">
        <v>16.670000000000002</v>
      </c>
      <c r="K27" s="103">
        <v>14</v>
      </c>
      <c r="L27" s="103">
        <v>15</v>
      </c>
      <c r="M27" s="103">
        <v>18</v>
      </c>
      <c r="N27" s="103">
        <v>12</v>
      </c>
      <c r="O27" s="104"/>
      <c r="P27" s="103">
        <v>18</v>
      </c>
      <c r="Q27" s="102">
        <f t="shared" si="0"/>
        <v>14.512142857142859</v>
      </c>
    </row>
    <row r="28" spans="1:17">
      <c r="A28" s="98" t="s">
        <v>246</v>
      </c>
      <c r="B28" s="98" t="s">
        <v>444</v>
      </c>
      <c r="C28" s="100">
        <v>16</v>
      </c>
      <c r="D28" s="100">
        <v>16</v>
      </c>
      <c r="E28" s="100">
        <v>16</v>
      </c>
      <c r="F28" s="100">
        <v>10</v>
      </c>
      <c r="G28" s="100">
        <v>16</v>
      </c>
      <c r="H28" s="100">
        <v>18</v>
      </c>
      <c r="I28" s="100">
        <v>16</v>
      </c>
      <c r="J28" s="100">
        <v>10</v>
      </c>
      <c r="K28" s="100">
        <v>17</v>
      </c>
      <c r="L28" s="100">
        <v>20</v>
      </c>
      <c r="M28" s="100">
        <v>10</v>
      </c>
      <c r="N28" s="100">
        <v>10</v>
      </c>
      <c r="O28" s="100">
        <v>16</v>
      </c>
      <c r="P28" s="100">
        <v>20</v>
      </c>
      <c r="Q28" s="102">
        <f t="shared" si="0"/>
        <v>15.071428571428571</v>
      </c>
    </row>
    <row r="29" spans="1:17">
      <c r="A29" s="98" t="s">
        <v>445</v>
      </c>
      <c r="B29" s="98" t="s">
        <v>446</v>
      </c>
      <c r="C29" s="103">
        <v>18</v>
      </c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2">
        <f t="shared" si="0"/>
        <v>1.2857142857142858</v>
      </c>
    </row>
    <row r="30" spans="1:17">
      <c r="A30" s="98" t="s">
        <v>262</v>
      </c>
      <c r="B30" s="98" t="s">
        <v>447</v>
      </c>
      <c r="C30" s="100">
        <v>18</v>
      </c>
      <c r="D30" s="100">
        <v>13</v>
      </c>
      <c r="E30" s="100">
        <v>15</v>
      </c>
      <c r="F30" s="100">
        <v>15.5</v>
      </c>
      <c r="G30" s="100">
        <v>17</v>
      </c>
      <c r="H30" s="100">
        <v>14</v>
      </c>
      <c r="I30" s="100">
        <v>10</v>
      </c>
      <c r="J30" s="100">
        <v>9</v>
      </c>
      <c r="K30" s="100">
        <v>15</v>
      </c>
      <c r="L30" s="100">
        <v>14</v>
      </c>
      <c r="M30" s="100">
        <v>10</v>
      </c>
      <c r="N30" s="100">
        <v>14</v>
      </c>
      <c r="O30" s="100">
        <v>6</v>
      </c>
      <c r="P30" s="100">
        <v>14</v>
      </c>
      <c r="Q30" s="102">
        <f t="shared" si="0"/>
        <v>13.178571428571429</v>
      </c>
    </row>
    <row r="31" spans="1:17">
      <c r="A31" s="98" t="s">
        <v>271</v>
      </c>
      <c r="B31" s="98" t="s">
        <v>448</v>
      </c>
      <c r="C31" s="103">
        <v>16</v>
      </c>
      <c r="D31" s="103">
        <v>16.670000000000002</v>
      </c>
      <c r="E31" s="103">
        <v>18</v>
      </c>
      <c r="F31" s="103">
        <v>20</v>
      </c>
      <c r="G31" s="103">
        <v>18</v>
      </c>
      <c r="H31" s="103">
        <v>19.5</v>
      </c>
      <c r="I31" s="103">
        <v>20</v>
      </c>
      <c r="J31" s="103">
        <v>18</v>
      </c>
      <c r="K31" s="103">
        <v>20</v>
      </c>
      <c r="L31" s="103">
        <v>20</v>
      </c>
      <c r="M31" s="103">
        <v>20</v>
      </c>
      <c r="N31" s="103">
        <v>18</v>
      </c>
      <c r="O31" s="103">
        <v>20</v>
      </c>
      <c r="P31" s="103">
        <v>16</v>
      </c>
      <c r="Q31" s="102">
        <f t="shared" si="0"/>
        <v>18.583571428571428</v>
      </c>
    </row>
    <row r="32" spans="1:17">
      <c r="A32" s="98"/>
      <c r="B32" s="9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R2" sqref="R2:R31"/>
    </sheetView>
  </sheetViews>
  <sheetFormatPr baseColWidth="10" defaultColWidth="14.5" defaultRowHeight="15" customHeight="1"/>
  <cols>
    <col min="1" max="1" width="8.6640625" customWidth="1"/>
    <col min="2" max="2" width="17.5" customWidth="1"/>
    <col min="3" max="3" width="19.5" customWidth="1"/>
    <col min="4" max="27" width="8.6640625" customWidth="1"/>
  </cols>
  <sheetData>
    <row r="1" spans="1:27">
      <c r="A1" s="56" t="s">
        <v>449</v>
      </c>
      <c r="B1" s="56" t="s">
        <v>450</v>
      </c>
      <c r="C1" s="56" t="s">
        <v>451</v>
      </c>
      <c r="D1" s="105">
        <v>45664</v>
      </c>
      <c r="E1" s="105">
        <v>45666</v>
      </c>
      <c r="F1" s="105">
        <v>45671</v>
      </c>
      <c r="G1" s="106">
        <v>45673</v>
      </c>
      <c r="H1" s="106">
        <v>45678</v>
      </c>
      <c r="I1" s="106">
        <v>45680</v>
      </c>
      <c r="J1" s="106">
        <v>45685</v>
      </c>
      <c r="K1" s="106">
        <v>45687</v>
      </c>
      <c r="L1" s="106">
        <v>45694</v>
      </c>
      <c r="M1" s="106">
        <v>45701</v>
      </c>
      <c r="N1" s="106">
        <v>45706</v>
      </c>
      <c r="O1" s="106">
        <v>45708</v>
      </c>
      <c r="P1" s="106">
        <v>45713</v>
      </c>
      <c r="Q1" s="106">
        <v>45715</v>
      </c>
      <c r="R1" s="106">
        <v>45729</v>
      </c>
      <c r="S1" s="56" t="s">
        <v>452</v>
      </c>
      <c r="T1" s="56"/>
      <c r="U1" s="56"/>
      <c r="V1" s="56"/>
      <c r="W1" s="56"/>
      <c r="X1" s="56"/>
      <c r="Y1" s="56"/>
      <c r="Z1" s="56"/>
      <c r="AA1" s="56"/>
    </row>
    <row r="2" spans="1:27">
      <c r="A2" s="99" t="str">
        <f>Lista!B8</f>
        <v>28410856</v>
      </c>
      <c r="B2" s="99" t="str">
        <f>Lista!E8&amp;" "&amp;Lista!F8</f>
        <v>Sebastian Eduardo</v>
      </c>
      <c r="C2" s="107" t="str">
        <f>Lista!E8&amp;" "&amp;Lista!D8</f>
        <v>Sebastian Alfonzo</v>
      </c>
      <c r="D2" s="99">
        <v>1</v>
      </c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108"/>
      <c r="S2" s="108">
        <f t="shared" ref="S2:S32" si="0">SUM(D2:R2)</f>
        <v>1</v>
      </c>
    </row>
    <row r="3" spans="1:27">
      <c r="A3" s="99" t="str">
        <f>Lista!B9</f>
        <v>30849611</v>
      </c>
      <c r="B3" s="99" t="str">
        <f>Lista!E9&amp;" "&amp;Lista!F9</f>
        <v xml:space="preserve">Matthias </v>
      </c>
      <c r="C3" s="107" t="str">
        <f>Lista!E9&amp;" "&amp;Lista!D9</f>
        <v>Matthias Amelinckx</v>
      </c>
      <c r="D3" s="55">
        <v>1</v>
      </c>
      <c r="E3" s="55"/>
      <c r="F3" s="55">
        <v>2</v>
      </c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108"/>
      <c r="S3" s="108">
        <f t="shared" si="0"/>
        <v>3</v>
      </c>
    </row>
    <row r="4" spans="1:27">
      <c r="A4" s="99" t="str">
        <f>Lista!B10</f>
        <v>29666935</v>
      </c>
      <c r="B4" s="99" t="str">
        <f>Lista!E10&amp;" "&amp;Lista!F10</f>
        <v>Flavia Isabel</v>
      </c>
      <c r="C4" s="107" t="str">
        <f>Lista!E10&amp;" "&amp;Lista!D10</f>
        <v>Flavia Aray</v>
      </c>
      <c r="D4" s="55">
        <v>1</v>
      </c>
      <c r="E4" s="55"/>
      <c r="F4" s="55">
        <v>5</v>
      </c>
      <c r="G4" s="55"/>
      <c r="H4" s="55">
        <v>3</v>
      </c>
      <c r="I4" s="55"/>
      <c r="J4" s="55">
        <v>3</v>
      </c>
      <c r="K4" s="55"/>
      <c r="L4" s="55">
        <v>3</v>
      </c>
      <c r="M4" s="55"/>
      <c r="N4" s="55">
        <v>3</v>
      </c>
      <c r="O4" s="55">
        <v>1</v>
      </c>
      <c r="P4" s="55"/>
      <c r="Q4" s="55">
        <v>1</v>
      </c>
      <c r="R4" s="108"/>
      <c r="S4" s="108">
        <f t="shared" si="0"/>
        <v>20</v>
      </c>
    </row>
    <row r="5" spans="1:27">
      <c r="A5" s="99" t="str">
        <f>Lista!B11</f>
        <v>30765878</v>
      </c>
      <c r="B5" s="99" t="str">
        <f>Lista!E11&amp;" "&amp;Lista!F11</f>
        <v xml:space="preserve">Angélica </v>
      </c>
      <c r="C5" s="107" t="str">
        <f>Lista!E11&amp;" "&amp;Lista!D11</f>
        <v>Angélica Blanco</v>
      </c>
      <c r="D5" s="55">
        <v>1</v>
      </c>
      <c r="E5" s="55">
        <v>2</v>
      </c>
      <c r="F5" s="55"/>
      <c r="G5" s="55"/>
      <c r="H5" s="55"/>
      <c r="I5" s="55"/>
      <c r="J5" s="55"/>
      <c r="K5" s="55">
        <v>1</v>
      </c>
      <c r="L5" s="55"/>
      <c r="M5" s="55"/>
      <c r="N5" s="55"/>
      <c r="O5" s="55"/>
      <c r="P5" s="55"/>
      <c r="Q5" s="55"/>
      <c r="R5" s="108"/>
      <c r="S5" s="108">
        <f t="shared" si="0"/>
        <v>4</v>
      </c>
    </row>
    <row r="6" spans="1:27">
      <c r="A6" s="99" t="str">
        <f>Lista!B12</f>
        <v>32729082</v>
      </c>
      <c r="B6" s="99" t="str">
        <f>Lista!E12&amp;" "&amp;Lista!F12</f>
        <v>Gabriel Alejandro</v>
      </c>
      <c r="C6" s="107" t="str">
        <f>Lista!E12&amp;" "&amp;Lista!D12</f>
        <v>Gabriel Brusco</v>
      </c>
      <c r="D6" s="55"/>
      <c r="E6" s="55"/>
      <c r="F6" s="55"/>
      <c r="G6" s="55"/>
      <c r="H6" s="55">
        <v>2</v>
      </c>
      <c r="I6" s="109"/>
      <c r="J6" s="109"/>
      <c r="K6" s="109"/>
      <c r="L6" s="109"/>
      <c r="M6" s="109"/>
      <c r="N6" s="109"/>
      <c r="O6" s="109"/>
      <c r="P6" s="109"/>
      <c r="Q6" s="109"/>
      <c r="R6" s="108"/>
      <c r="S6" s="108">
        <f t="shared" si="0"/>
        <v>2</v>
      </c>
    </row>
    <row r="7" spans="1:27">
      <c r="A7" s="99" t="str">
        <f>Lista!B13</f>
        <v>31071592</v>
      </c>
      <c r="B7" s="99" t="str">
        <f>Lista!E13&amp;" "&amp;Lista!F13</f>
        <v>Diego Alejandro</v>
      </c>
      <c r="C7" s="107" t="str">
        <f>Lista!E13&amp;" "&amp;Lista!D13</f>
        <v>Diego Callender</v>
      </c>
      <c r="D7" s="55"/>
      <c r="E7" s="55"/>
      <c r="F7" s="55">
        <v>1</v>
      </c>
      <c r="G7" s="55">
        <v>2</v>
      </c>
      <c r="H7" s="55">
        <v>2</v>
      </c>
      <c r="I7" s="55"/>
      <c r="J7" s="55"/>
      <c r="K7" s="55"/>
      <c r="L7" s="55"/>
      <c r="M7" s="55"/>
      <c r="N7" s="55"/>
      <c r="O7" s="55"/>
      <c r="P7" s="108">
        <v>2</v>
      </c>
      <c r="Q7" s="108">
        <v>1</v>
      </c>
      <c r="R7" s="108"/>
      <c r="S7" s="108">
        <f t="shared" si="0"/>
        <v>8</v>
      </c>
    </row>
    <row r="8" spans="1:27">
      <c r="A8" s="99" t="str">
        <f>Lista!B14</f>
        <v>32491310</v>
      </c>
      <c r="B8" s="99" t="str">
        <f>Lista!E14&amp;" "&amp;Lista!F14</f>
        <v>Elohym Joham</v>
      </c>
      <c r="C8" s="107" t="str">
        <f>Lista!E14&amp;" "&amp;Lista!D14</f>
        <v>Elohym Casais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108"/>
      <c r="S8" s="108">
        <f t="shared" si="0"/>
        <v>0</v>
      </c>
    </row>
    <row r="9" spans="1:27">
      <c r="A9" s="99" t="str">
        <f>Lista!B15</f>
        <v>31988236</v>
      </c>
      <c r="B9" s="99" t="str">
        <f>Lista!E15&amp;" "&amp;Lista!F15</f>
        <v>Santiago De Jesús</v>
      </c>
      <c r="C9" s="107" t="str">
        <f>Lista!E15&amp;" "&amp;Lista!D15</f>
        <v>Santiago Fiandaca</v>
      </c>
      <c r="D9" s="55"/>
      <c r="E9" s="55"/>
      <c r="F9" s="55"/>
      <c r="G9" s="55"/>
      <c r="H9" s="55"/>
      <c r="I9" s="55"/>
      <c r="J9" s="55"/>
      <c r="K9" s="55">
        <v>1</v>
      </c>
      <c r="L9" s="55"/>
      <c r="M9" s="55"/>
      <c r="N9" s="55"/>
      <c r="O9" s="55"/>
      <c r="P9" s="55"/>
      <c r="Q9" s="55"/>
      <c r="R9" s="108"/>
      <c r="S9" s="108">
        <f t="shared" si="0"/>
        <v>1</v>
      </c>
    </row>
    <row r="10" spans="1:27">
      <c r="A10" s="99" t="str">
        <f>Lista!B16</f>
        <v>31112818</v>
      </c>
      <c r="B10" s="99" t="str">
        <f>Lista!E16&amp;" "&amp;Lista!F16</f>
        <v>Paola Marie</v>
      </c>
      <c r="C10" s="107" t="str">
        <f>Lista!E16&amp;" "&amp;Lista!D16</f>
        <v>Paola Haiek</v>
      </c>
      <c r="D10" s="55"/>
      <c r="E10" s="55"/>
      <c r="F10" s="55"/>
      <c r="G10" s="55"/>
      <c r="H10" s="55"/>
      <c r="I10" s="108">
        <v>2</v>
      </c>
      <c r="J10" s="110"/>
      <c r="K10" s="55">
        <v>1</v>
      </c>
      <c r="L10" s="55"/>
      <c r="M10" s="55">
        <v>2</v>
      </c>
      <c r="N10" s="55"/>
      <c r="O10" s="108">
        <v>2</v>
      </c>
      <c r="P10" s="108"/>
      <c r="Q10" s="108"/>
      <c r="R10" s="108"/>
      <c r="S10" s="108">
        <f t="shared" si="0"/>
        <v>7</v>
      </c>
    </row>
    <row r="11" spans="1:27">
      <c r="A11" s="99" t="str">
        <f>Lista!B17</f>
        <v>30030485</v>
      </c>
      <c r="B11" s="99" t="str">
        <f>Lista!E17&amp;" "&amp;Lista!F17</f>
        <v xml:space="preserve">Andrea </v>
      </c>
      <c r="C11" s="107" t="str">
        <f>Lista!E17&amp;" "&amp;Lista!D17</f>
        <v>Andrea Hernandez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108">
        <v>2</v>
      </c>
      <c r="S11" s="108">
        <f t="shared" si="0"/>
        <v>2</v>
      </c>
    </row>
    <row r="12" spans="1:27">
      <c r="A12" s="99" t="str">
        <f>Lista!B18</f>
        <v>30793086</v>
      </c>
      <c r="B12" s="99" t="str">
        <f>Lista!E18&amp;" "&amp;Lista!F18</f>
        <v>Jose Daniel</v>
      </c>
      <c r="C12" s="107" t="str">
        <f>Lista!E18&amp;" "&amp;Lista!D18</f>
        <v>Jose Idrobo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108"/>
      <c r="S12" s="108">
        <f t="shared" si="0"/>
        <v>0</v>
      </c>
    </row>
    <row r="13" spans="1:27">
      <c r="A13" s="99" t="str">
        <f>Lista!B19</f>
        <v>32242412</v>
      </c>
      <c r="B13" s="99" t="str">
        <f>Lista!E19&amp;" "&amp;Lista!F19</f>
        <v>Mohamad Ali</v>
      </c>
      <c r="C13" s="107" t="str">
        <f>Lista!E19&amp;" "&amp;Lista!D19</f>
        <v>Mohamad Kchour</v>
      </c>
      <c r="D13" s="55"/>
      <c r="E13" s="55"/>
      <c r="F13" s="55"/>
      <c r="G13" s="55"/>
      <c r="H13" s="55"/>
      <c r="I13" s="55"/>
      <c r="J13" s="55">
        <v>1</v>
      </c>
      <c r="K13" s="55"/>
      <c r="L13" s="55">
        <v>1</v>
      </c>
      <c r="M13" s="55"/>
      <c r="N13" s="55">
        <v>3</v>
      </c>
      <c r="O13" s="55">
        <v>1</v>
      </c>
      <c r="P13" s="55">
        <v>1</v>
      </c>
      <c r="Q13" s="55"/>
      <c r="R13" s="108">
        <v>1</v>
      </c>
      <c r="S13" s="108">
        <f t="shared" si="0"/>
        <v>8</v>
      </c>
    </row>
    <row r="14" spans="1:27">
      <c r="A14" s="99" t="str">
        <f>Lista!B20</f>
        <v>30598031</v>
      </c>
      <c r="B14" s="99" t="str">
        <f>Lista!E20&amp;" "&amp;Lista!F20</f>
        <v>Paola Graciela</v>
      </c>
      <c r="C14" s="107" t="str">
        <f>Lista!E20&amp;" "&amp;Lista!D20</f>
        <v>Paola Livinaly</v>
      </c>
      <c r="D14" s="55"/>
      <c r="E14" s="55"/>
      <c r="F14" s="55">
        <v>2</v>
      </c>
      <c r="G14" s="55"/>
      <c r="H14" s="55">
        <v>2</v>
      </c>
      <c r="I14" s="55"/>
      <c r="J14" s="55"/>
      <c r="K14" s="55">
        <v>2</v>
      </c>
      <c r="L14" s="55"/>
      <c r="M14" s="110">
        <v>1</v>
      </c>
      <c r="N14" s="55">
        <v>2</v>
      </c>
      <c r="O14" s="55"/>
      <c r="P14" s="55"/>
      <c r="Q14" s="55"/>
      <c r="R14" s="108"/>
      <c r="S14" s="108">
        <f t="shared" si="0"/>
        <v>9</v>
      </c>
    </row>
    <row r="15" spans="1:27">
      <c r="A15" s="99" t="str">
        <f>Lista!B21</f>
        <v>31852058</v>
      </c>
      <c r="B15" s="99" t="str">
        <f>Lista!E21&amp;" "&amp;Lista!F21</f>
        <v>Laura Maria</v>
      </c>
      <c r="C15" s="107" t="str">
        <f>Lista!E21&amp;" "&amp;Lista!D21</f>
        <v>Laura Medina</v>
      </c>
      <c r="D15" s="55"/>
      <c r="E15" s="55"/>
      <c r="F15" s="55"/>
      <c r="G15" s="55">
        <v>3</v>
      </c>
      <c r="H15" s="55">
        <v>2</v>
      </c>
      <c r="I15" s="55">
        <v>1</v>
      </c>
      <c r="J15" s="55">
        <v>1</v>
      </c>
      <c r="K15" s="55">
        <v>1</v>
      </c>
      <c r="L15" s="55"/>
      <c r="M15" s="55"/>
      <c r="N15" s="55">
        <v>1</v>
      </c>
      <c r="O15" s="55">
        <v>1</v>
      </c>
      <c r="P15" s="55">
        <v>1</v>
      </c>
      <c r="Q15" s="55">
        <v>1</v>
      </c>
      <c r="R15" s="108">
        <v>1</v>
      </c>
      <c r="S15" s="108">
        <f t="shared" si="0"/>
        <v>13</v>
      </c>
    </row>
    <row r="16" spans="1:27">
      <c r="A16" s="99" t="str">
        <f>Lista!B22</f>
        <v>30114012</v>
      </c>
      <c r="B16" s="99" t="str">
        <f>Lista!E22&amp;" "&amp;Lista!F22</f>
        <v xml:space="preserve">Flavia </v>
      </c>
      <c r="C16" s="107" t="str">
        <f>Lista!E22&amp;" "&amp;Lista!D22</f>
        <v>Flavia Mercado</v>
      </c>
      <c r="D16" s="55">
        <v>2</v>
      </c>
      <c r="E16" s="55"/>
      <c r="F16" s="55">
        <v>1</v>
      </c>
      <c r="G16" s="55">
        <v>1</v>
      </c>
      <c r="H16" s="55"/>
      <c r="I16" s="55">
        <v>1</v>
      </c>
      <c r="J16" s="55"/>
      <c r="K16" s="55"/>
      <c r="L16" s="55">
        <v>3</v>
      </c>
      <c r="M16" s="55"/>
      <c r="N16" s="55"/>
      <c r="O16" s="55">
        <v>1</v>
      </c>
      <c r="P16" s="55">
        <v>1</v>
      </c>
      <c r="Q16" s="55"/>
      <c r="R16" s="108"/>
      <c r="S16" s="108">
        <f t="shared" si="0"/>
        <v>10</v>
      </c>
    </row>
    <row r="17" spans="1:19">
      <c r="A17" s="99" t="str">
        <f>Lista!B23</f>
        <v>26954417</v>
      </c>
      <c r="B17" s="99" t="str">
        <f>Lista!E23&amp;" "&amp;Lista!F23</f>
        <v>Angel Jose</v>
      </c>
      <c r="C17" s="107" t="str">
        <f>Lista!E23&amp;" "&amp;Lista!D23</f>
        <v>Angel Moya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108"/>
      <c r="S17" s="108">
        <f t="shared" si="0"/>
        <v>0</v>
      </c>
    </row>
    <row r="18" spans="1:19">
      <c r="A18" s="99" t="str">
        <f>Lista!B24</f>
        <v>31448943</v>
      </c>
      <c r="B18" s="99" t="str">
        <f>Lista!E24&amp;" "&amp;Lista!F24</f>
        <v>Samuel Abraham</v>
      </c>
      <c r="C18" s="107" t="str">
        <f>Lista!E24&amp;" "&amp;Lista!D24</f>
        <v>Samuel Pamphile</v>
      </c>
      <c r="D18" s="55">
        <v>2</v>
      </c>
      <c r="E18" s="55">
        <v>1</v>
      </c>
      <c r="F18" s="55"/>
      <c r="G18" s="55"/>
      <c r="H18" s="55">
        <v>2</v>
      </c>
      <c r="I18" s="55"/>
      <c r="J18" s="55"/>
      <c r="K18" s="55"/>
      <c r="L18" s="55"/>
      <c r="M18" s="55"/>
      <c r="N18" s="55"/>
      <c r="O18" s="55"/>
      <c r="P18" s="55"/>
      <c r="Q18" s="55"/>
      <c r="R18" s="108"/>
      <c r="S18" s="108">
        <f t="shared" si="0"/>
        <v>5</v>
      </c>
    </row>
    <row r="19" spans="1:19">
      <c r="A19" s="99" t="str">
        <f>Lista!B25</f>
        <v>31423000</v>
      </c>
      <c r="B19" s="99" t="str">
        <f>Lista!E25&amp;" "&amp;Lista!F25</f>
        <v>Emmanuel Giuseppe</v>
      </c>
      <c r="C19" s="107" t="str">
        <f>Lista!E25&amp;" "&amp;Lista!D25</f>
        <v>Emmanuel Pizza</v>
      </c>
      <c r="D19" s="55"/>
      <c r="E19" s="55"/>
      <c r="F19" s="55"/>
      <c r="G19" s="55"/>
      <c r="H19" s="55"/>
      <c r="I19" s="55">
        <v>1</v>
      </c>
      <c r="J19" s="55"/>
      <c r="K19" s="55"/>
      <c r="L19" s="55"/>
      <c r="M19" s="55">
        <v>1</v>
      </c>
      <c r="N19" s="55"/>
      <c r="O19" s="55"/>
      <c r="P19" s="55">
        <v>1</v>
      </c>
      <c r="Q19" s="55"/>
      <c r="R19" s="108"/>
      <c r="S19" s="108">
        <f t="shared" si="0"/>
        <v>3</v>
      </c>
    </row>
    <row r="20" spans="1:19">
      <c r="A20" s="99" t="str">
        <f>Lista!B26</f>
        <v>31046285</v>
      </c>
      <c r="B20" s="99" t="str">
        <f>Lista!E26&amp;" "&amp;Lista!F26</f>
        <v xml:space="preserve">Rafael </v>
      </c>
      <c r="C20" s="107" t="str">
        <f>Lista!E26&amp;" "&amp;Lista!D26</f>
        <v>Rafael Rodriguez</v>
      </c>
      <c r="D20" s="55"/>
      <c r="E20" s="55"/>
      <c r="F20" s="55"/>
      <c r="G20" s="55"/>
      <c r="H20" s="55"/>
      <c r="I20" s="55"/>
      <c r="J20" s="55"/>
      <c r="K20" s="55"/>
      <c r="L20" s="55">
        <v>1</v>
      </c>
      <c r="M20" s="55"/>
      <c r="N20" s="55"/>
      <c r="O20" s="55"/>
      <c r="P20" s="55"/>
      <c r="Q20" s="55"/>
      <c r="R20" s="108"/>
      <c r="S20" s="108">
        <f t="shared" si="0"/>
        <v>1</v>
      </c>
    </row>
    <row r="21" spans="1:19" ht="15.75" customHeight="1">
      <c r="A21" s="99" t="str">
        <f>Lista!B27</f>
        <v>31255343</v>
      </c>
      <c r="B21" s="99" t="str">
        <f>Lista!E27&amp;" "&amp;Lista!F27</f>
        <v>Luciano Nicola</v>
      </c>
      <c r="C21" s="107" t="str">
        <f>Lista!E27&amp;" "&amp;Lista!D27</f>
        <v>Luciano Rojas</v>
      </c>
      <c r="D21" s="55"/>
      <c r="E21" s="55"/>
      <c r="F21" s="55">
        <v>1</v>
      </c>
      <c r="G21" s="55">
        <v>1</v>
      </c>
      <c r="H21" s="55"/>
      <c r="I21" s="55"/>
      <c r="J21" s="55">
        <v>1</v>
      </c>
      <c r="K21" s="55"/>
      <c r="L21" s="55"/>
      <c r="M21" s="55"/>
      <c r="N21" s="55"/>
      <c r="O21" s="55"/>
      <c r="P21" s="55"/>
      <c r="Q21" s="55"/>
      <c r="R21" s="108"/>
      <c r="S21" s="108">
        <f t="shared" si="0"/>
        <v>3</v>
      </c>
    </row>
    <row r="22" spans="1:19" ht="15.75" customHeight="1">
      <c r="A22" s="99" t="str">
        <f>Lista!B28</f>
        <v>32401366</v>
      </c>
      <c r="B22" s="99" t="str">
        <f>Lista!E28&amp;" "&amp;Lista!F28</f>
        <v>José Alejandro</v>
      </c>
      <c r="C22" s="107" t="str">
        <f>Lista!E28&amp;" "&amp;Lista!D28</f>
        <v>José Ruiz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108">
        <v>2</v>
      </c>
      <c r="S22" s="108">
        <f t="shared" si="0"/>
        <v>2</v>
      </c>
    </row>
    <row r="23" spans="1:19" ht="15.75" customHeight="1">
      <c r="A23" s="99" t="str">
        <f>Lista!B29</f>
        <v>32121917</v>
      </c>
      <c r="B23" s="99" t="str">
        <f>Lista!E29&amp;" "&amp;Lista!F29</f>
        <v>César Alexander</v>
      </c>
      <c r="C23" s="107" t="str">
        <f>Lista!E29&amp;" "&amp;Lista!D29</f>
        <v>César Salimbeni</v>
      </c>
      <c r="D23" s="55"/>
      <c r="E23" s="55"/>
      <c r="F23" s="55">
        <v>2</v>
      </c>
      <c r="G23" s="55">
        <v>2</v>
      </c>
      <c r="H23" s="55"/>
      <c r="I23" s="55">
        <v>1</v>
      </c>
      <c r="J23" s="55">
        <v>2</v>
      </c>
      <c r="K23" s="55">
        <v>2</v>
      </c>
      <c r="L23" s="55">
        <v>1</v>
      </c>
      <c r="M23" s="55">
        <v>2</v>
      </c>
      <c r="N23" s="55"/>
      <c r="O23" s="55">
        <v>1</v>
      </c>
      <c r="P23" s="108">
        <v>2</v>
      </c>
      <c r="Q23" s="110"/>
      <c r="R23" s="108">
        <v>2</v>
      </c>
      <c r="S23" s="108">
        <f t="shared" si="0"/>
        <v>17</v>
      </c>
    </row>
    <row r="24" spans="1:19" ht="15.75" customHeight="1">
      <c r="A24" s="99" t="str">
        <f>Lista!B30</f>
        <v>33921124</v>
      </c>
      <c r="B24" s="99" t="str">
        <f>Lista!E30&amp;" "&amp;Lista!F30</f>
        <v>David Eduardo</v>
      </c>
      <c r="C24" s="107" t="str">
        <f>Lista!E30&amp;" "&amp;Lista!D30</f>
        <v>David Sanchez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>
        <v>1</v>
      </c>
      <c r="O24" s="55">
        <v>1</v>
      </c>
      <c r="P24" s="55"/>
      <c r="Q24" s="55"/>
      <c r="R24" s="108">
        <v>1</v>
      </c>
      <c r="S24" s="108">
        <f t="shared" si="0"/>
        <v>3</v>
      </c>
    </row>
    <row r="25" spans="1:19" ht="15.75" customHeight="1">
      <c r="A25" s="99" t="str">
        <f>Lista!B31</f>
        <v>31703910</v>
      </c>
      <c r="B25" s="99" t="str">
        <f>Lista!E31&amp;" "&amp;Lista!F31</f>
        <v>Daniel Antonio</v>
      </c>
      <c r="C25" s="107" t="str">
        <f>Lista!E31&amp;" "&amp;Lista!D31</f>
        <v>Daniel Saracual</v>
      </c>
      <c r="D25" s="55"/>
      <c r="E25" s="55"/>
      <c r="F25" s="55"/>
      <c r="G25" s="55">
        <v>2</v>
      </c>
      <c r="H25" s="55"/>
      <c r="I25" s="55"/>
      <c r="J25" s="55"/>
      <c r="K25" s="55"/>
      <c r="L25" s="55"/>
      <c r="M25" s="55"/>
      <c r="N25" s="55"/>
      <c r="O25" s="55"/>
      <c r="P25" s="55"/>
      <c r="Q25" s="55">
        <v>1</v>
      </c>
      <c r="R25" s="108"/>
      <c r="S25" s="108">
        <f t="shared" si="0"/>
        <v>3</v>
      </c>
    </row>
    <row r="26" spans="1:19" ht="15.75" customHeight="1">
      <c r="A26" s="99" t="str">
        <f>Lista!B32</f>
        <v>32122110</v>
      </c>
      <c r="B26" s="99" t="str">
        <f>Lista!E32&amp;" "&amp;Lista!F32</f>
        <v>Elva María</v>
      </c>
      <c r="C26" s="107" t="str">
        <f>Lista!E32&amp;" "&amp;Lista!D32</f>
        <v>Elva Silva</v>
      </c>
      <c r="D26" s="55">
        <v>1</v>
      </c>
      <c r="E26" s="55"/>
      <c r="F26" s="55">
        <v>2</v>
      </c>
      <c r="G26" s="55"/>
      <c r="H26" s="55"/>
      <c r="I26" s="108">
        <v>2</v>
      </c>
      <c r="J26" s="110"/>
      <c r="K26" s="110"/>
      <c r="L26" s="110"/>
      <c r="M26" s="55">
        <v>2</v>
      </c>
      <c r="N26" s="55">
        <v>2</v>
      </c>
      <c r="O26" s="55"/>
      <c r="P26" s="55"/>
      <c r="Q26" s="55"/>
      <c r="R26" s="108">
        <v>1</v>
      </c>
      <c r="S26" s="108">
        <f t="shared" si="0"/>
        <v>10</v>
      </c>
    </row>
    <row r="27" spans="1:19" ht="15.75" customHeight="1">
      <c r="A27" s="99" t="str">
        <f>Lista!B33</f>
        <v>30720123</v>
      </c>
      <c r="B27" s="99" t="str">
        <f>Lista!E33&amp;" "&amp;Lista!F33</f>
        <v xml:space="preserve">Erik </v>
      </c>
      <c r="C27" s="107" t="str">
        <f>Lista!E33&amp;" "&amp;Lista!D33</f>
        <v>Erik Steinmetz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108"/>
      <c r="S27" s="108">
        <f t="shared" si="0"/>
        <v>0</v>
      </c>
    </row>
    <row r="28" spans="1:19" ht="15.75" customHeight="1">
      <c r="A28" s="99" t="str">
        <f>Lista!B34</f>
        <v>29895575</v>
      </c>
      <c r="B28" s="99" t="str">
        <f>Lista!E34&amp;" "&amp;Lista!F34</f>
        <v>Sofia Gisela</v>
      </c>
      <c r="C28" s="107" t="str">
        <f>Lista!E34&amp;" "&amp;Lista!D34</f>
        <v>Sofia Trezza</v>
      </c>
      <c r="D28" s="55"/>
      <c r="E28" s="55"/>
      <c r="F28" s="55"/>
      <c r="G28" s="55"/>
      <c r="H28" s="55">
        <v>2</v>
      </c>
      <c r="I28" s="55"/>
      <c r="J28" s="55">
        <v>2</v>
      </c>
      <c r="K28" s="55">
        <v>1</v>
      </c>
      <c r="L28" s="55">
        <v>2</v>
      </c>
      <c r="M28" s="55"/>
      <c r="N28" s="55">
        <v>2</v>
      </c>
      <c r="O28" s="99">
        <v>2</v>
      </c>
      <c r="P28" s="99"/>
      <c r="Q28" s="99"/>
      <c r="R28" s="108"/>
      <c r="S28" s="108">
        <f t="shared" si="0"/>
        <v>11</v>
      </c>
    </row>
    <row r="29" spans="1:19" ht="15.75" customHeight="1">
      <c r="A29" s="99" t="str">
        <f>Lista!B35</f>
        <v>31615220</v>
      </c>
      <c r="B29" s="99" t="str">
        <f>Lista!E35&amp;" "&amp;Lista!F35</f>
        <v>Nicole Alejandra</v>
      </c>
      <c r="C29" s="107" t="str">
        <f>Lista!E35&amp;" "&amp;Lista!D35</f>
        <v>Nicole Ugarte Pelayo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108"/>
      <c r="S29" s="108">
        <f t="shared" si="0"/>
        <v>0</v>
      </c>
    </row>
    <row r="30" spans="1:19" ht="15.75" customHeight="1">
      <c r="A30" s="99" t="str">
        <f>Lista!B36</f>
        <v>30022208</v>
      </c>
      <c r="B30" s="99" t="str">
        <f>Lista!E36&amp;" "&amp;Lista!F36</f>
        <v>Gabriel Alejandro</v>
      </c>
      <c r="C30" s="107" t="str">
        <f>Lista!E36&amp;" "&amp;Lista!D36</f>
        <v>Gabriel Viñas</v>
      </c>
      <c r="D30" s="55"/>
      <c r="E30" s="55">
        <v>1</v>
      </c>
      <c r="F30" s="55"/>
      <c r="G30" s="55"/>
      <c r="H30" s="55"/>
      <c r="I30" s="55"/>
      <c r="J30" s="55"/>
      <c r="K30" s="55">
        <v>2</v>
      </c>
      <c r="L30" s="55"/>
      <c r="M30" s="55"/>
      <c r="N30" s="55">
        <v>1</v>
      </c>
      <c r="O30" s="55"/>
      <c r="P30" s="55"/>
      <c r="Q30" s="55"/>
      <c r="R30" s="108">
        <v>1</v>
      </c>
      <c r="S30" s="108">
        <f t="shared" si="0"/>
        <v>5</v>
      </c>
    </row>
    <row r="31" spans="1:19" ht="15.75" customHeight="1">
      <c r="A31" s="99" t="str">
        <f>Lista!B37</f>
        <v>31963201</v>
      </c>
      <c r="B31" s="99" t="str">
        <f>Lista!E37&amp;" "&amp;Lista!F37</f>
        <v>Azael Alonso</v>
      </c>
      <c r="C31" s="107" t="str">
        <f>Lista!E37&amp;" "&amp;Lista!D37</f>
        <v>Azael Zerpa</v>
      </c>
      <c r="D31" s="55"/>
      <c r="E31" s="55"/>
      <c r="F31" s="55"/>
      <c r="G31" s="55"/>
      <c r="H31" s="55"/>
      <c r="I31" s="55">
        <v>1</v>
      </c>
      <c r="J31" s="55"/>
      <c r="K31" s="55"/>
      <c r="L31" s="55"/>
      <c r="M31" s="55"/>
      <c r="N31" s="55">
        <v>1</v>
      </c>
      <c r="O31" s="55"/>
      <c r="P31" s="55"/>
      <c r="Q31" s="55"/>
      <c r="R31" s="108"/>
      <c r="S31" s="108">
        <f t="shared" si="0"/>
        <v>2</v>
      </c>
    </row>
    <row r="32" spans="1:19" ht="15.75" customHeight="1">
      <c r="A32" s="99"/>
      <c r="B32" s="108" t="s">
        <v>452</v>
      </c>
      <c r="C32" s="107"/>
      <c r="D32" s="56">
        <f t="shared" ref="D32:R32" si="1">SUM(D2:D31)</f>
        <v>9</v>
      </c>
      <c r="E32" s="56">
        <f t="shared" si="1"/>
        <v>4</v>
      </c>
      <c r="F32" s="56">
        <f t="shared" si="1"/>
        <v>16</v>
      </c>
      <c r="G32" s="56">
        <f t="shared" si="1"/>
        <v>11</v>
      </c>
      <c r="H32" s="56">
        <f t="shared" si="1"/>
        <v>15</v>
      </c>
      <c r="I32" s="56">
        <f t="shared" si="1"/>
        <v>9</v>
      </c>
      <c r="J32" s="56">
        <f t="shared" si="1"/>
        <v>10</v>
      </c>
      <c r="K32" s="56">
        <f t="shared" si="1"/>
        <v>11</v>
      </c>
      <c r="L32" s="56">
        <f t="shared" si="1"/>
        <v>11</v>
      </c>
      <c r="M32" s="56">
        <f t="shared" si="1"/>
        <v>8</v>
      </c>
      <c r="N32" s="56">
        <f t="shared" si="1"/>
        <v>16</v>
      </c>
      <c r="O32" s="56">
        <f t="shared" si="1"/>
        <v>10</v>
      </c>
      <c r="P32" s="56">
        <f t="shared" si="1"/>
        <v>8</v>
      </c>
      <c r="Q32" s="56">
        <f t="shared" si="1"/>
        <v>4</v>
      </c>
      <c r="R32" s="56">
        <f t="shared" si="1"/>
        <v>11</v>
      </c>
      <c r="S32" s="108">
        <f t="shared" si="0"/>
        <v>153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Q3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5" defaultRowHeight="15" customHeight="1"/>
  <cols>
    <col min="17" max="17" width="5.5" customWidth="1"/>
  </cols>
  <sheetData>
    <row r="1" spans="1:17">
      <c r="A1" s="1" t="s">
        <v>19</v>
      </c>
      <c r="B1" s="1" t="s">
        <v>339</v>
      </c>
      <c r="C1" s="98" t="s">
        <v>453</v>
      </c>
      <c r="D1" s="98" t="s">
        <v>454</v>
      </c>
      <c r="E1" s="98" t="s">
        <v>455</v>
      </c>
      <c r="F1" s="98" t="s">
        <v>456</v>
      </c>
      <c r="G1" s="98" t="s">
        <v>457</v>
      </c>
      <c r="H1" s="98" t="s">
        <v>458</v>
      </c>
      <c r="I1" s="98" t="s">
        <v>459</v>
      </c>
      <c r="J1" s="98" t="s">
        <v>460</v>
      </c>
      <c r="K1" s="98" t="s">
        <v>461</v>
      </c>
      <c r="L1" s="98" t="s">
        <v>462</v>
      </c>
      <c r="M1" s="98" t="s">
        <v>463</v>
      </c>
      <c r="N1" s="98" t="s">
        <v>464</v>
      </c>
      <c r="O1" s="98" t="s">
        <v>465</v>
      </c>
      <c r="P1" s="98" t="s">
        <v>466</v>
      </c>
      <c r="Q1" s="108" t="s">
        <v>281</v>
      </c>
    </row>
    <row r="2" spans="1:17">
      <c r="A2" s="98" t="s">
        <v>400</v>
      </c>
      <c r="B2" s="98" t="s">
        <v>401</v>
      </c>
      <c r="C2" s="1" t="b">
        <v>1</v>
      </c>
      <c r="D2" s="1" t="b">
        <v>1</v>
      </c>
      <c r="E2" s="1" t="b">
        <v>1</v>
      </c>
      <c r="F2" s="1" t="b">
        <v>0</v>
      </c>
      <c r="G2" s="1" t="b">
        <v>0</v>
      </c>
      <c r="H2" s="1" t="b">
        <v>0</v>
      </c>
      <c r="I2" s="1" t="b">
        <v>0</v>
      </c>
      <c r="J2" s="1" t="b">
        <v>0</v>
      </c>
      <c r="K2" s="1" t="b">
        <v>0</v>
      </c>
      <c r="L2" s="1" t="b">
        <v>0</v>
      </c>
      <c r="M2" s="1" t="b">
        <v>0</v>
      </c>
      <c r="N2" s="1" t="b">
        <v>0</v>
      </c>
      <c r="O2" s="1" t="b">
        <v>0</v>
      </c>
      <c r="P2" s="1" t="b">
        <v>0</v>
      </c>
      <c r="Q2" s="111">
        <f t="shared" ref="Q2:Q31" si="0">COUNTIF(C2:P2,TRUE)/COUNTA(C$1:P$1)</f>
        <v>0.21428571428571427</v>
      </c>
    </row>
    <row r="3" spans="1:17">
      <c r="A3" s="98" t="s">
        <v>402</v>
      </c>
      <c r="B3" s="98" t="s">
        <v>403</v>
      </c>
      <c r="C3" s="1" t="b">
        <v>1</v>
      </c>
      <c r="D3" s="1" t="b">
        <v>1</v>
      </c>
      <c r="E3" s="1" t="b">
        <v>1</v>
      </c>
      <c r="F3" s="1" t="b">
        <v>0</v>
      </c>
      <c r="G3" s="1" t="b">
        <v>1</v>
      </c>
      <c r="H3" s="1" t="b">
        <v>0</v>
      </c>
      <c r="I3" s="1" t="b">
        <v>0</v>
      </c>
      <c r="J3" s="1" t="b">
        <v>0</v>
      </c>
      <c r="K3" s="1" t="b">
        <v>0</v>
      </c>
      <c r="L3" s="1" t="b">
        <v>0</v>
      </c>
      <c r="M3" s="1" t="b">
        <v>0</v>
      </c>
      <c r="N3" s="1" t="b">
        <v>0</v>
      </c>
      <c r="O3" s="1" t="b">
        <v>0</v>
      </c>
      <c r="P3" s="1" t="b">
        <v>0</v>
      </c>
      <c r="Q3" s="111">
        <f t="shared" si="0"/>
        <v>0.2857142857142857</v>
      </c>
    </row>
    <row r="4" spans="1:17">
      <c r="A4" s="98" t="s">
        <v>404</v>
      </c>
      <c r="B4" s="98" t="s">
        <v>405</v>
      </c>
      <c r="C4" s="1" t="b">
        <v>1</v>
      </c>
      <c r="D4" s="1" t="b">
        <v>1</v>
      </c>
      <c r="E4" s="1" t="b">
        <v>1</v>
      </c>
      <c r="F4" s="1" t="b">
        <v>0</v>
      </c>
      <c r="G4" s="1" t="b">
        <v>0</v>
      </c>
      <c r="H4" s="1" t="b">
        <v>0</v>
      </c>
      <c r="I4" s="1" t="b">
        <v>0</v>
      </c>
      <c r="J4" s="1" t="b">
        <v>0</v>
      </c>
      <c r="K4" s="1" t="b">
        <v>0</v>
      </c>
      <c r="L4" s="1" t="b">
        <v>0</v>
      </c>
      <c r="M4" s="1" t="b">
        <v>0</v>
      </c>
      <c r="N4" s="1" t="b">
        <v>0</v>
      </c>
      <c r="O4" s="1" t="b">
        <v>0</v>
      </c>
      <c r="P4" s="1" t="b">
        <v>0</v>
      </c>
      <c r="Q4" s="111">
        <f t="shared" si="0"/>
        <v>0.21428571428571427</v>
      </c>
    </row>
    <row r="5" spans="1:17">
      <c r="A5" s="98" t="s">
        <v>406</v>
      </c>
      <c r="B5" s="98" t="s">
        <v>407</v>
      </c>
      <c r="C5" s="1" t="b">
        <v>1</v>
      </c>
      <c r="D5" s="1" t="b">
        <v>1</v>
      </c>
      <c r="E5" s="1" t="b">
        <v>1</v>
      </c>
      <c r="F5" s="1" t="b">
        <v>0</v>
      </c>
      <c r="G5" s="1" t="b">
        <v>1</v>
      </c>
      <c r="H5" s="1" t="b">
        <v>1</v>
      </c>
      <c r="I5" s="1" t="b">
        <v>0</v>
      </c>
      <c r="J5" s="1" t="b">
        <v>0</v>
      </c>
      <c r="K5" s="1" t="b">
        <v>0</v>
      </c>
      <c r="L5" s="1" t="b">
        <v>0</v>
      </c>
      <c r="M5" s="1" t="b">
        <v>0</v>
      </c>
      <c r="N5" s="1" t="b">
        <v>0</v>
      </c>
      <c r="O5" s="1" t="b">
        <v>0</v>
      </c>
      <c r="P5" s="1" t="b">
        <v>0</v>
      </c>
      <c r="Q5" s="111">
        <f t="shared" si="0"/>
        <v>0.35714285714285715</v>
      </c>
    </row>
    <row r="6" spans="1:17">
      <c r="A6" s="98" t="s">
        <v>408</v>
      </c>
      <c r="B6" s="98" t="s">
        <v>409</v>
      </c>
      <c r="C6" s="1" t="b">
        <v>0</v>
      </c>
      <c r="D6" s="1" t="b">
        <v>0</v>
      </c>
      <c r="E6" s="1" t="b">
        <v>1</v>
      </c>
      <c r="F6" s="1" t="b">
        <v>0</v>
      </c>
      <c r="G6" s="1" t="b">
        <v>0</v>
      </c>
      <c r="H6" s="1" t="b">
        <v>0</v>
      </c>
      <c r="I6" s="1" t="b">
        <v>0</v>
      </c>
      <c r="J6" s="1" t="b">
        <v>0</v>
      </c>
      <c r="K6" s="1" t="b">
        <v>0</v>
      </c>
      <c r="L6" s="1" t="b">
        <v>0</v>
      </c>
      <c r="M6" s="1" t="b">
        <v>0</v>
      </c>
      <c r="N6" s="1" t="b">
        <v>0</v>
      </c>
      <c r="O6" s="1" t="b">
        <v>0</v>
      </c>
      <c r="P6" s="1" t="b">
        <v>0</v>
      </c>
      <c r="Q6" s="111">
        <f t="shared" si="0"/>
        <v>7.1428571428571425E-2</v>
      </c>
    </row>
    <row r="7" spans="1:17">
      <c r="A7" s="98" t="s">
        <v>410</v>
      </c>
      <c r="B7" s="98" t="s">
        <v>411</v>
      </c>
      <c r="C7" s="1" t="b">
        <v>1</v>
      </c>
      <c r="D7" s="1" t="b">
        <v>1</v>
      </c>
      <c r="E7" s="1" t="b">
        <v>1</v>
      </c>
      <c r="F7" s="1" t="b">
        <v>0</v>
      </c>
      <c r="G7" s="1" t="b">
        <v>1</v>
      </c>
      <c r="H7" s="1" t="b">
        <v>1</v>
      </c>
      <c r="I7" s="1" t="b">
        <v>0</v>
      </c>
      <c r="J7" s="1" t="b">
        <v>1</v>
      </c>
      <c r="K7" s="1" t="b">
        <v>1</v>
      </c>
      <c r="L7" s="1" t="b">
        <v>0</v>
      </c>
      <c r="M7" s="1" t="b">
        <v>0</v>
      </c>
      <c r="N7" s="1" t="b">
        <v>1</v>
      </c>
      <c r="O7" s="1" t="b">
        <v>0</v>
      </c>
      <c r="P7" s="1" t="b">
        <v>1</v>
      </c>
      <c r="Q7" s="111">
        <f t="shared" si="0"/>
        <v>0.6428571428571429</v>
      </c>
    </row>
    <row r="8" spans="1:17">
      <c r="A8" s="98" t="s">
        <v>71</v>
      </c>
      <c r="B8" s="98" t="s">
        <v>412</v>
      </c>
      <c r="C8" s="1" t="b">
        <v>1</v>
      </c>
      <c r="D8" s="1" t="b">
        <v>1</v>
      </c>
      <c r="E8" s="1" t="b">
        <v>1</v>
      </c>
      <c r="F8" s="1" t="b">
        <v>0</v>
      </c>
      <c r="G8" s="1" t="b">
        <v>1</v>
      </c>
      <c r="H8" s="1" t="b">
        <v>0</v>
      </c>
      <c r="I8" s="1" t="b">
        <v>0</v>
      </c>
      <c r="J8" s="1" t="b">
        <v>0</v>
      </c>
      <c r="K8" s="1" t="b">
        <v>0</v>
      </c>
      <c r="L8" s="1" t="b">
        <v>0</v>
      </c>
      <c r="M8" s="1" t="b">
        <v>0</v>
      </c>
      <c r="N8" s="1" t="b">
        <v>0</v>
      </c>
      <c r="O8" s="1" t="b">
        <v>0</v>
      </c>
      <c r="P8" s="1" t="b">
        <v>0</v>
      </c>
      <c r="Q8" s="111">
        <f t="shared" si="0"/>
        <v>0.2857142857142857</v>
      </c>
    </row>
    <row r="9" spans="1:17">
      <c r="A9" s="98" t="s">
        <v>413</v>
      </c>
      <c r="B9" s="98" t="s">
        <v>414</v>
      </c>
      <c r="C9" s="1" t="b">
        <v>1</v>
      </c>
      <c r="D9" s="1" t="b">
        <v>1</v>
      </c>
      <c r="E9" s="1" t="b">
        <v>0</v>
      </c>
      <c r="F9" s="1" t="b">
        <v>0</v>
      </c>
      <c r="G9" s="1" t="b">
        <v>1</v>
      </c>
      <c r="H9" s="1" t="b">
        <v>0</v>
      </c>
      <c r="I9" s="1" t="b">
        <v>0</v>
      </c>
      <c r="J9" s="1" t="b">
        <v>0</v>
      </c>
      <c r="K9" s="1" t="b">
        <v>0</v>
      </c>
      <c r="L9" s="1" t="b">
        <v>0</v>
      </c>
      <c r="M9" s="1" t="b">
        <v>0</v>
      </c>
      <c r="N9" s="1" t="b">
        <v>0</v>
      </c>
      <c r="O9" s="1" t="b">
        <v>0</v>
      </c>
      <c r="P9" s="1" t="b">
        <v>0</v>
      </c>
      <c r="Q9" s="111">
        <f t="shared" si="0"/>
        <v>0.21428571428571427</v>
      </c>
    </row>
    <row r="10" spans="1:17">
      <c r="A10" s="98" t="s">
        <v>415</v>
      </c>
      <c r="B10" s="98" t="s">
        <v>416</v>
      </c>
      <c r="C10" s="1" t="b">
        <v>1</v>
      </c>
      <c r="D10" s="1" t="b">
        <v>1</v>
      </c>
      <c r="E10" s="1" t="b">
        <v>0</v>
      </c>
      <c r="F10" s="1" t="b">
        <v>0</v>
      </c>
      <c r="G10" s="1" t="b">
        <v>1</v>
      </c>
      <c r="H10" s="1" t="b">
        <v>0</v>
      </c>
      <c r="I10" s="1" t="b">
        <v>0</v>
      </c>
      <c r="J10" s="1" t="b">
        <v>0</v>
      </c>
      <c r="K10" s="1" t="b">
        <v>0</v>
      </c>
      <c r="L10" s="1" t="b">
        <v>0</v>
      </c>
      <c r="M10" s="1" t="b">
        <v>0</v>
      </c>
      <c r="N10" s="1" t="b">
        <v>0</v>
      </c>
      <c r="O10" s="1" t="b">
        <v>0</v>
      </c>
      <c r="P10" s="1" t="b">
        <v>0</v>
      </c>
      <c r="Q10" s="111">
        <f t="shared" si="0"/>
        <v>0.21428571428571427</v>
      </c>
    </row>
    <row r="11" spans="1:17">
      <c r="A11" s="98" t="s">
        <v>417</v>
      </c>
      <c r="B11" s="98" t="s">
        <v>418</v>
      </c>
      <c r="C11" s="1" t="b">
        <v>1</v>
      </c>
      <c r="D11" s="1" t="b">
        <v>1</v>
      </c>
      <c r="E11" s="1" t="b">
        <v>1</v>
      </c>
      <c r="F11" s="1" t="b">
        <v>0</v>
      </c>
      <c r="G11" s="1" t="b">
        <v>1</v>
      </c>
      <c r="H11" s="1" t="b">
        <v>1</v>
      </c>
      <c r="I11" s="1" t="b">
        <v>1</v>
      </c>
      <c r="J11" s="1" t="b">
        <v>0</v>
      </c>
      <c r="K11" s="1" t="b">
        <v>1</v>
      </c>
      <c r="L11" s="1" t="b">
        <v>1</v>
      </c>
      <c r="M11" s="1" t="b">
        <v>0</v>
      </c>
      <c r="N11" s="1" t="b">
        <v>0</v>
      </c>
      <c r="O11" s="1" t="b">
        <v>0</v>
      </c>
      <c r="P11" s="1" t="b">
        <v>0</v>
      </c>
      <c r="Q11" s="111">
        <f t="shared" si="0"/>
        <v>0.5714285714285714</v>
      </c>
    </row>
    <row r="12" spans="1:17">
      <c r="A12" s="98" t="s">
        <v>105</v>
      </c>
      <c r="B12" s="98" t="s">
        <v>419</v>
      </c>
      <c r="C12" s="1" t="b">
        <v>1</v>
      </c>
      <c r="D12" s="1" t="b">
        <v>1</v>
      </c>
      <c r="E12" s="1" t="b">
        <v>1</v>
      </c>
      <c r="F12" s="1" t="b">
        <v>0</v>
      </c>
      <c r="G12" s="1" t="b">
        <v>0</v>
      </c>
      <c r="H12" s="1" t="b">
        <v>0</v>
      </c>
      <c r="I12" s="1" t="b">
        <v>0</v>
      </c>
      <c r="J12" s="1" t="b">
        <v>0</v>
      </c>
      <c r="K12" s="1" t="b">
        <v>0</v>
      </c>
      <c r="L12" s="1" t="b">
        <v>0</v>
      </c>
      <c r="M12" s="1" t="b">
        <v>0</v>
      </c>
      <c r="N12" s="1" t="b">
        <v>0</v>
      </c>
      <c r="O12" s="1" t="b">
        <v>0</v>
      </c>
      <c r="P12" s="1" t="b">
        <v>0</v>
      </c>
      <c r="Q12" s="111">
        <f t="shared" si="0"/>
        <v>0.21428571428571427</v>
      </c>
    </row>
    <row r="13" spans="1:17">
      <c r="A13" s="98" t="s">
        <v>420</v>
      </c>
      <c r="B13" s="98" t="s">
        <v>421</v>
      </c>
      <c r="C13" s="1" t="b">
        <v>0</v>
      </c>
      <c r="D13" s="1" t="b">
        <v>0</v>
      </c>
      <c r="E13" s="1" t="b">
        <v>0</v>
      </c>
      <c r="F13" s="1" t="b">
        <v>0</v>
      </c>
      <c r="G13" s="1" t="b">
        <v>0</v>
      </c>
      <c r="H13" s="1" t="b">
        <v>0</v>
      </c>
      <c r="I13" s="1" t="b">
        <v>0</v>
      </c>
      <c r="J13" s="1" t="b">
        <v>0</v>
      </c>
      <c r="K13" s="1" t="b">
        <v>0</v>
      </c>
      <c r="L13" s="1" t="b">
        <v>0</v>
      </c>
      <c r="M13" s="1" t="b">
        <v>0</v>
      </c>
      <c r="N13" s="1" t="b">
        <v>0</v>
      </c>
      <c r="O13" s="1" t="b">
        <v>0</v>
      </c>
      <c r="P13" s="1" t="b">
        <v>0</v>
      </c>
      <c r="Q13" s="111">
        <f t="shared" si="0"/>
        <v>0</v>
      </c>
    </row>
    <row r="14" spans="1:17">
      <c r="A14" s="98" t="s">
        <v>422</v>
      </c>
      <c r="B14" s="98" t="s">
        <v>423</v>
      </c>
      <c r="C14" s="1" t="b">
        <v>1</v>
      </c>
      <c r="D14" s="1" t="b">
        <v>0</v>
      </c>
      <c r="E14" s="1" t="b">
        <v>1</v>
      </c>
      <c r="F14" s="1" t="b">
        <v>0</v>
      </c>
      <c r="G14" s="1" t="b">
        <v>0</v>
      </c>
      <c r="H14" s="1" t="b">
        <v>0</v>
      </c>
      <c r="I14" s="1" t="b">
        <v>0</v>
      </c>
      <c r="J14" s="1" t="b">
        <v>0</v>
      </c>
      <c r="K14" s="1" t="b">
        <v>0</v>
      </c>
      <c r="L14" s="1" t="b">
        <v>0</v>
      </c>
      <c r="M14" s="1" t="b">
        <v>0</v>
      </c>
      <c r="N14" s="1" t="b">
        <v>0</v>
      </c>
      <c r="O14" s="1" t="b">
        <v>0</v>
      </c>
      <c r="P14" s="1" t="b">
        <v>0</v>
      </c>
      <c r="Q14" s="111">
        <f t="shared" si="0"/>
        <v>0.14285714285714285</v>
      </c>
    </row>
    <row r="15" spans="1:17">
      <c r="A15" s="98" t="s">
        <v>424</v>
      </c>
      <c r="B15" s="98" t="s">
        <v>425</v>
      </c>
      <c r="C15" s="1" t="b">
        <v>1</v>
      </c>
      <c r="D15" s="1" t="b">
        <v>1</v>
      </c>
      <c r="E15" s="1" t="b">
        <v>1</v>
      </c>
      <c r="F15" s="1" t="b">
        <v>0</v>
      </c>
      <c r="G15" s="1" t="b">
        <v>1</v>
      </c>
      <c r="H15" s="1" t="b">
        <v>0</v>
      </c>
      <c r="I15" s="1" t="b">
        <v>0</v>
      </c>
      <c r="J15" s="1" t="b">
        <v>1</v>
      </c>
      <c r="K15" s="1" t="b">
        <v>1</v>
      </c>
      <c r="L15" s="1" t="b">
        <v>1</v>
      </c>
      <c r="M15" s="1" t="b">
        <v>1</v>
      </c>
      <c r="N15" s="1" t="b">
        <v>1</v>
      </c>
      <c r="O15" s="1" t="b">
        <v>1</v>
      </c>
      <c r="P15" s="1" t="b">
        <v>0</v>
      </c>
      <c r="Q15" s="111">
        <f t="shared" si="0"/>
        <v>0.7142857142857143</v>
      </c>
    </row>
    <row r="16" spans="1:17">
      <c r="A16" s="98" t="s">
        <v>139</v>
      </c>
      <c r="B16" s="98" t="s">
        <v>426</v>
      </c>
      <c r="C16" s="1" t="b">
        <v>1</v>
      </c>
      <c r="D16" s="1" t="b">
        <v>1</v>
      </c>
      <c r="E16" s="1" t="b">
        <v>1</v>
      </c>
      <c r="F16" s="1" t="b">
        <v>0</v>
      </c>
      <c r="G16" s="1" t="b">
        <v>0</v>
      </c>
      <c r="H16" s="1" t="b">
        <v>1</v>
      </c>
      <c r="I16" s="1" t="b">
        <v>0</v>
      </c>
      <c r="J16" s="1" t="b">
        <v>0</v>
      </c>
      <c r="K16" s="1" t="b">
        <v>0</v>
      </c>
      <c r="L16" s="1" t="b">
        <v>0</v>
      </c>
      <c r="M16" s="1" t="b">
        <v>0</v>
      </c>
      <c r="N16" s="1" t="b">
        <v>0</v>
      </c>
      <c r="O16" s="1" t="b">
        <v>0</v>
      </c>
      <c r="P16" s="1" t="b">
        <v>0</v>
      </c>
      <c r="Q16" s="111">
        <f t="shared" si="0"/>
        <v>0.2857142857142857</v>
      </c>
    </row>
    <row r="17" spans="1:17">
      <c r="A17" s="98" t="s">
        <v>153</v>
      </c>
      <c r="B17" s="98" t="s">
        <v>427</v>
      </c>
      <c r="C17" s="1" t="b">
        <v>1</v>
      </c>
      <c r="D17" s="1" t="b">
        <v>0</v>
      </c>
      <c r="E17" s="1" t="b">
        <v>0</v>
      </c>
      <c r="F17" s="1" t="b">
        <v>0</v>
      </c>
      <c r="G17" s="1" t="b">
        <v>0</v>
      </c>
      <c r="H17" s="1" t="b">
        <v>0</v>
      </c>
      <c r="I17" s="1" t="b">
        <v>0</v>
      </c>
      <c r="J17" s="1" t="b">
        <v>0</v>
      </c>
      <c r="K17" s="1" t="b">
        <v>0</v>
      </c>
      <c r="L17" s="1" t="b">
        <v>0</v>
      </c>
      <c r="M17" s="1" t="b">
        <v>0</v>
      </c>
      <c r="N17" s="1" t="b">
        <v>0</v>
      </c>
      <c r="O17" s="1" t="b">
        <v>0</v>
      </c>
      <c r="P17" s="1" t="b">
        <v>0</v>
      </c>
      <c r="Q17" s="111">
        <f t="shared" si="0"/>
        <v>7.1428571428571425E-2</v>
      </c>
    </row>
    <row r="18" spans="1:17">
      <c r="A18" s="98" t="s">
        <v>162</v>
      </c>
      <c r="B18" s="98" t="s">
        <v>428</v>
      </c>
      <c r="C18" s="1" t="b">
        <v>0</v>
      </c>
      <c r="D18" s="1" t="b">
        <v>0</v>
      </c>
      <c r="E18" s="1" t="b">
        <v>0</v>
      </c>
      <c r="F18" s="1" t="b">
        <v>1</v>
      </c>
      <c r="G18" s="1" t="b">
        <v>0</v>
      </c>
      <c r="H18" s="1" t="b">
        <v>0</v>
      </c>
      <c r="I18" s="1" t="b">
        <v>0</v>
      </c>
      <c r="J18" s="1" t="b">
        <v>0</v>
      </c>
      <c r="K18" s="1" t="b">
        <v>0</v>
      </c>
      <c r="L18" s="1" t="b">
        <v>0</v>
      </c>
      <c r="M18" s="1" t="b">
        <v>0</v>
      </c>
      <c r="N18" s="1" t="b">
        <v>0</v>
      </c>
      <c r="O18" s="1" t="b">
        <v>0</v>
      </c>
      <c r="P18" s="1" t="b">
        <v>0</v>
      </c>
      <c r="Q18" s="111">
        <f t="shared" si="0"/>
        <v>7.1428571428571425E-2</v>
      </c>
    </row>
    <row r="19" spans="1:17">
      <c r="A19" s="98" t="s">
        <v>171</v>
      </c>
      <c r="B19" s="98" t="s">
        <v>429</v>
      </c>
      <c r="C19" s="1" t="b">
        <v>1</v>
      </c>
      <c r="D19" s="1" t="b">
        <v>0</v>
      </c>
      <c r="E19" s="1" t="b">
        <v>0</v>
      </c>
      <c r="F19" s="1" t="b">
        <v>0</v>
      </c>
      <c r="G19" s="1" t="b">
        <v>0</v>
      </c>
      <c r="H19" s="1" t="b">
        <v>0</v>
      </c>
      <c r="I19" s="1" t="b">
        <v>0</v>
      </c>
      <c r="J19" s="1" t="b">
        <v>0</v>
      </c>
      <c r="K19" s="1" t="b">
        <v>0</v>
      </c>
      <c r="L19" s="1" t="b">
        <v>0</v>
      </c>
      <c r="M19" s="1" t="b">
        <v>0</v>
      </c>
      <c r="N19" s="1" t="b">
        <v>0</v>
      </c>
      <c r="O19" s="1" t="b">
        <v>0</v>
      </c>
      <c r="P19" s="1" t="b">
        <v>0</v>
      </c>
      <c r="Q19" s="111">
        <f t="shared" si="0"/>
        <v>7.1428571428571425E-2</v>
      </c>
    </row>
    <row r="20" spans="1:17">
      <c r="A20" s="98" t="s">
        <v>430</v>
      </c>
      <c r="B20" s="98" t="s">
        <v>431</v>
      </c>
      <c r="C20" s="1" t="b">
        <v>0</v>
      </c>
      <c r="D20" s="1" t="b">
        <v>0</v>
      </c>
      <c r="E20" s="1" t="b">
        <v>0</v>
      </c>
      <c r="F20" s="1" t="b">
        <v>0</v>
      </c>
      <c r="G20" s="1" t="b">
        <v>0</v>
      </c>
      <c r="H20" s="1" t="b">
        <v>0</v>
      </c>
      <c r="I20" s="1" t="b">
        <v>0</v>
      </c>
      <c r="J20" s="1" t="b">
        <v>0</v>
      </c>
      <c r="K20" s="1" t="b">
        <v>0</v>
      </c>
      <c r="L20" s="1" t="b">
        <v>0</v>
      </c>
      <c r="M20" s="1" t="b">
        <v>0</v>
      </c>
      <c r="N20" s="1" t="b">
        <v>0</v>
      </c>
      <c r="O20" s="1" t="b">
        <v>0</v>
      </c>
      <c r="P20" s="1" t="b">
        <v>0</v>
      </c>
      <c r="Q20" s="111">
        <f t="shared" si="0"/>
        <v>0</v>
      </c>
    </row>
    <row r="21" spans="1:17">
      <c r="A21" s="98" t="s">
        <v>432</v>
      </c>
      <c r="B21" s="98" t="s">
        <v>433</v>
      </c>
      <c r="C21" s="1" t="b">
        <v>1</v>
      </c>
      <c r="D21" s="1" t="b">
        <v>0</v>
      </c>
      <c r="E21" s="1" t="b">
        <v>0</v>
      </c>
      <c r="F21" s="1" t="b">
        <v>0</v>
      </c>
      <c r="G21" s="1" t="b">
        <v>0</v>
      </c>
      <c r="H21" s="1" t="b">
        <v>0</v>
      </c>
      <c r="I21" s="1" t="b">
        <v>0</v>
      </c>
      <c r="J21" s="1" t="b">
        <v>0</v>
      </c>
      <c r="K21" s="1" t="b">
        <v>0</v>
      </c>
      <c r="L21" s="1" t="b">
        <v>0</v>
      </c>
      <c r="M21" s="1" t="b">
        <v>0</v>
      </c>
      <c r="N21" s="1" t="b">
        <v>0</v>
      </c>
      <c r="O21" s="1" t="b">
        <v>0</v>
      </c>
      <c r="P21" s="1" t="b">
        <v>0</v>
      </c>
      <c r="Q21" s="111">
        <f t="shared" si="0"/>
        <v>7.1428571428571425E-2</v>
      </c>
    </row>
    <row r="22" spans="1:17">
      <c r="A22" s="98" t="s">
        <v>434</v>
      </c>
      <c r="B22" s="98" t="s">
        <v>435</v>
      </c>
      <c r="C22" s="1" t="b">
        <v>1</v>
      </c>
      <c r="D22" s="1" t="b">
        <v>1</v>
      </c>
      <c r="E22" s="1" t="b">
        <v>1</v>
      </c>
      <c r="F22" s="1" t="b">
        <v>1</v>
      </c>
      <c r="G22" s="1" t="b">
        <v>1</v>
      </c>
      <c r="H22" s="1" t="b">
        <v>1</v>
      </c>
      <c r="I22" s="1" t="b">
        <v>1</v>
      </c>
      <c r="J22" s="1" t="b">
        <v>0</v>
      </c>
      <c r="K22" s="1" t="b">
        <v>0</v>
      </c>
      <c r="L22" s="1" t="b">
        <v>0</v>
      </c>
      <c r="M22" s="1" t="b">
        <v>0</v>
      </c>
      <c r="N22" s="1" t="b">
        <v>0</v>
      </c>
      <c r="O22" s="1" t="b">
        <v>0</v>
      </c>
      <c r="P22" s="1" t="b">
        <v>0</v>
      </c>
      <c r="Q22" s="111">
        <f t="shared" si="0"/>
        <v>0.5</v>
      </c>
    </row>
    <row r="23" spans="1:17">
      <c r="A23" s="98" t="s">
        <v>205</v>
      </c>
      <c r="B23" s="98" t="s">
        <v>436</v>
      </c>
      <c r="C23" s="1" t="b">
        <v>1</v>
      </c>
      <c r="D23" s="1" t="b">
        <v>1</v>
      </c>
      <c r="E23" s="1" t="b">
        <v>1</v>
      </c>
      <c r="F23" s="1" t="b">
        <v>0</v>
      </c>
      <c r="G23" s="1" t="b">
        <v>0</v>
      </c>
      <c r="H23" s="1" t="b">
        <v>1</v>
      </c>
      <c r="I23" s="1" t="b">
        <v>1</v>
      </c>
      <c r="J23" s="1" t="b">
        <v>1</v>
      </c>
      <c r="K23" s="1" t="b">
        <v>0</v>
      </c>
      <c r="L23" s="1" t="b">
        <v>0</v>
      </c>
      <c r="M23" s="1" t="b">
        <v>0</v>
      </c>
      <c r="N23" s="1" t="b">
        <v>0</v>
      </c>
      <c r="O23" s="1" t="b">
        <v>0</v>
      </c>
      <c r="P23" s="1" t="b">
        <v>0</v>
      </c>
      <c r="Q23" s="111">
        <f t="shared" si="0"/>
        <v>0.42857142857142855</v>
      </c>
    </row>
    <row r="24" spans="1:17">
      <c r="A24" s="98" t="s">
        <v>437</v>
      </c>
      <c r="B24" s="98" t="s">
        <v>438</v>
      </c>
      <c r="C24" s="1" t="b">
        <v>1</v>
      </c>
      <c r="D24" s="1" t="b">
        <v>1</v>
      </c>
      <c r="E24" s="1" t="b">
        <v>1</v>
      </c>
      <c r="F24" s="1" t="b">
        <v>0</v>
      </c>
      <c r="G24" s="1" t="b">
        <v>0</v>
      </c>
      <c r="H24" s="1" t="b">
        <v>0</v>
      </c>
      <c r="I24" s="1" t="b">
        <v>0</v>
      </c>
      <c r="J24" s="1" t="b">
        <v>0</v>
      </c>
      <c r="K24" s="1" t="b">
        <v>0</v>
      </c>
      <c r="L24" s="1" t="b">
        <v>0</v>
      </c>
      <c r="M24" s="1" t="b">
        <v>0</v>
      </c>
      <c r="N24" s="1" t="b">
        <v>0</v>
      </c>
      <c r="O24" s="1" t="b">
        <v>0</v>
      </c>
      <c r="P24" s="1" t="b">
        <v>0</v>
      </c>
      <c r="Q24" s="111">
        <f t="shared" si="0"/>
        <v>0.21428571428571427</v>
      </c>
    </row>
    <row r="25" spans="1:17">
      <c r="A25" s="98" t="s">
        <v>220</v>
      </c>
      <c r="B25" s="98" t="s">
        <v>439</v>
      </c>
      <c r="C25" s="1" t="b">
        <v>1</v>
      </c>
      <c r="D25" s="1" t="b">
        <v>0</v>
      </c>
      <c r="E25" s="1" t="b">
        <v>1</v>
      </c>
      <c r="F25" s="1" t="b">
        <v>0</v>
      </c>
      <c r="G25" s="1" t="b">
        <v>0</v>
      </c>
      <c r="H25" s="1" t="b">
        <v>0</v>
      </c>
      <c r="I25" s="1" t="b">
        <v>0</v>
      </c>
      <c r="J25" s="1" t="b">
        <v>0</v>
      </c>
      <c r="K25" s="1" t="b">
        <v>0</v>
      </c>
      <c r="L25" s="1" t="b">
        <v>0</v>
      </c>
      <c r="M25" s="1" t="b">
        <v>0</v>
      </c>
      <c r="N25" s="1" t="b">
        <v>0</v>
      </c>
      <c r="O25" s="1" t="b">
        <v>0</v>
      </c>
      <c r="P25" s="1" t="b">
        <v>0</v>
      </c>
      <c r="Q25" s="111">
        <f t="shared" si="0"/>
        <v>0.14285714285714285</v>
      </c>
    </row>
    <row r="26" spans="1:17">
      <c r="A26" s="98" t="s">
        <v>440</v>
      </c>
      <c r="B26" s="98" t="s">
        <v>441</v>
      </c>
      <c r="C26" s="1" t="b">
        <v>1</v>
      </c>
      <c r="D26" s="1" t="b">
        <v>1</v>
      </c>
      <c r="E26" s="1" t="b">
        <v>1</v>
      </c>
      <c r="F26" s="1" t="b">
        <v>0</v>
      </c>
      <c r="G26" s="1" t="b">
        <v>0</v>
      </c>
      <c r="H26" s="1" t="b">
        <v>0</v>
      </c>
      <c r="I26" s="1" t="b">
        <v>0</v>
      </c>
      <c r="J26" s="1" t="b">
        <v>0</v>
      </c>
      <c r="K26" s="1" t="b">
        <v>0</v>
      </c>
      <c r="L26" s="1" t="b">
        <v>0</v>
      </c>
      <c r="M26" s="1" t="b">
        <v>0</v>
      </c>
      <c r="N26" s="1" t="b">
        <v>0</v>
      </c>
      <c r="O26" s="1" t="b">
        <v>0</v>
      </c>
      <c r="P26" s="1" t="b">
        <v>0</v>
      </c>
      <c r="Q26" s="111">
        <f t="shared" si="0"/>
        <v>0.21428571428571427</v>
      </c>
    </row>
    <row r="27" spans="1:17">
      <c r="A27" s="98" t="s">
        <v>442</v>
      </c>
      <c r="B27" s="98" t="s">
        <v>443</v>
      </c>
      <c r="C27" s="1" t="b">
        <v>1</v>
      </c>
      <c r="D27" s="1" t="b">
        <v>0</v>
      </c>
      <c r="E27" s="1" t="b">
        <v>1</v>
      </c>
      <c r="F27" s="1" t="b">
        <v>0</v>
      </c>
      <c r="G27" s="1" t="b">
        <v>0</v>
      </c>
      <c r="H27" s="1" t="b">
        <v>0</v>
      </c>
      <c r="I27" s="1" t="b">
        <v>0</v>
      </c>
      <c r="J27" s="1" t="b">
        <v>0</v>
      </c>
      <c r="K27" s="1" t="b">
        <v>0</v>
      </c>
      <c r="L27" s="1" t="b">
        <v>0</v>
      </c>
      <c r="M27" s="1" t="b">
        <v>0</v>
      </c>
      <c r="N27" s="1" t="b">
        <v>0</v>
      </c>
      <c r="O27" s="1" t="b">
        <v>0</v>
      </c>
      <c r="P27" s="1" t="b">
        <v>0</v>
      </c>
      <c r="Q27" s="111">
        <f t="shared" si="0"/>
        <v>0.14285714285714285</v>
      </c>
    </row>
    <row r="28" spans="1:17">
      <c r="A28" s="98" t="s">
        <v>246</v>
      </c>
      <c r="B28" s="98" t="s">
        <v>444</v>
      </c>
      <c r="C28" s="1" t="b">
        <v>1</v>
      </c>
      <c r="D28" s="1" t="b">
        <v>1</v>
      </c>
      <c r="E28" s="1" t="b">
        <v>1</v>
      </c>
      <c r="F28" s="1" t="b">
        <v>1</v>
      </c>
      <c r="G28" s="1" t="b">
        <v>0</v>
      </c>
      <c r="H28" s="1" t="b">
        <v>1</v>
      </c>
      <c r="I28" s="1" t="b">
        <v>0</v>
      </c>
      <c r="J28" s="1" t="b">
        <v>0</v>
      </c>
      <c r="K28" s="1" t="b">
        <v>1</v>
      </c>
      <c r="L28" s="1" t="b">
        <v>1</v>
      </c>
      <c r="M28" s="1" t="b">
        <v>0</v>
      </c>
      <c r="N28" s="1" t="b">
        <v>0</v>
      </c>
      <c r="O28" s="1" t="b">
        <v>0</v>
      </c>
      <c r="P28" s="1" t="b">
        <v>0</v>
      </c>
      <c r="Q28" s="111">
        <f t="shared" si="0"/>
        <v>0.5</v>
      </c>
    </row>
    <row r="29" spans="1:17">
      <c r="A29" s="98" t="s">
        <v>445</v>
      </c>
      <c r="B29" s="98" t="s">
        <v>446</v>
      </c>
      <c r="C29" s="1" t="b">
        <v>0</v>
      </c>
      <c r="D29" s="1" t="b">
        <v>1</v>
      </c>
      <c r="E29" s="1" t="b">
        <v>0</v>
      </c>
      <c r="F29" s="1" t="b">
        <v>1</v>
      </c>
      <c r="G29" s="1" t="b">
        <v>0</v>
      </c>
      <c r="H29" s="1" t="b">
        <v>0</v>
      </c>
      <c r="I29" s="1" t="b">
        <v>0</v>
      </c>
      <c r="J29" s="1" t="b">
        <v>0</v>
      </c>
      <c r="K29" s="1" t="b">
        <v>0</v>
      </c>
      <c r="L29" s="1" t="b">
        <v>0</v>
      </c>
      <c r="M29" s="1" t="b">
        <v>0</v>
      </c>
      <c r="N29" s="1" t="b">
        <v>0</v>
      </c>
      <c r="O29" s="1" t="b">
        <v>0</v>
      </c>
      <c r="P29" s="1" t="b">
        <v>0</v>
      </c>
      <c r="Q29" s="111">
        <f t="shared" si="0"/>
        <v>0.14285714285714285</v>
      </c>
    </row>
    <row r="30" spans="1:17">
      <c r="A30" s="98" t="s">
        <v>262</v>
      </c>
      <c r="B30" s="98" t="s">
        <v>447</v>
      </c>
      <c r="C30" s="1" t="b">
        <v>1</v>
      </c>
      <c r="D30" s="1" t="b">
        <v>1</v>
      </c>
      <c r="E30" s="1" t="b">
        <v>1</v>
      </c>
      <c r="F30" s="1" t="b">
        <v>0</v>
      </c>
      <c r="G30" s="1" t="b">
        <v>0</v>
      </c>
      <c r="H30" s="1" t="b">
        <v>0</v>
      </c>
      <c r="I30" s="1" t="b">
        <v>0</v>
      </c>
      <c r="J30" s="1" t="b">
        <v>0</v>
      </c>
      <c r="K30" s="1" t="b">
        <v>0</v>
      </c>
      <c r="L30" s="1" t="b">
        <v>1</v>
      </c>
      <c r="M30" s="1" t="b">
        <v>0</v>
      </c>
      <c r="N30" s="1" t="b">
        <v>0</v>
      </c>
      <c r="O30" s="1" t="b">
        <v>0</v>
      </c>
      <c r="P30" s="1" t="b">
        <v>0</v>
      </c>
      <c r="Q30" s="111">
        <f t="shared" si="0"/>
        <v>0.2857142857142857</v>
      </c>
    </row>
    <row r="31" spans="1:17">
      <c r="A31" s="98" t="s">
        <v>271</v>
      </c>
      <c r="B31" s="98" t="s">
        <v>448</v>
      </c>
      <c r="C31" s="1" t="b">
        <v>0</v>
      </c>
      <c r="D31" s="1" t="b">
        <v>1</v>
      </c>
      <c r="E31" s="1" t="b">
        <v>0</v>
      </c>
      <c r="F31" s="1" t="b">
        <v>0</v>
      </c>
      <c r="G31" s="1" t="b">
        <v>0</v>
      </c>
      <c r="H31" s="1" t="b">
        <v>0</v>
      </c>
      <c r="I31" s="1" t="b">
        <v>0</v>
      </c>
      <c r="J31" s="1" t="b">
        <v>0</v>
      </c>
      <c r="K31" s="1" t="b">
        <v>0</v>
      </c>
      <c r="L31" s="1" t="b">
        <v>0</v>
      </c>
      <c r="M31" s="1" t="b">
        <v>0</v>
      </c>
      <c r="N31" s="1" t="b">
        <v>0</v>
      </c>
      <c r="O31" s="1" t="b">
        <v>0</v>
      </c>
      <c r="P31" s="1" t="b">
        <v>0</v>
      </c>
      <c r="Q31" s="111">
        <f t="shared" si="0"/>
        <v>7.1428571428571425E-2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N53"/>
  <sheetViews>
    <sheetView workbookViewId="0"/>
  </sheetViews>
  <sheetFormatPr baseColWidth="10" defaultColWidth="14.5" defaultRowHeight="15" customHeight="1"/>
  <cols>
    <col min="1" max="2" width="11.1640625" customWidth="1"/>
    <col min="4" max="4" width="9.1640625" customWidth="1"/>
    <col min="5" max="11" width="12.1640625" customWidth="1"/>
    <col min="12" max="12" width="8.1640625" customWidth="1"/>
  </cols>
  <sheetData>
    <row r="1" spans="1:14">
      <c r="A1" s="112" t="s">
        <v>467</v>
      </c>
      <c r="B1" s="113" t="s">
        <v>468</v>
      </c>
      <c r="C1" s="113" t="s">
        <v>468</v>
      </c>
      <c r="D1" s="113" t="s">
        <v>468</v>
      </c>
      <c r="E1" s="113" t="s">
        <v>468</v>
      </c>
      <c r="F1" s="113" t="s">
        <v>468</v>
      </c>
      <c r="G1" s="113" t="s">
        <v>468</v>
      </c>
      <c r="H1" s="113" t="s">
        <v>468</v>
      </c>
      <c r="I1" s="113" t="s">
        <v>468</v>
      </c>
      <c r="J1" s="113" t="s">
        <v>468</v>
      </c>
      <c r="K1" s="113" t="s">
        <v>468</v>
      </c>
      <c r="L1" s="113" t="s">
        <v>468</v>
      </c>
      <c r="M1" s="99"/>
      <c r="N1" s="99"/>
    </row>
    <row r="2" spans="1:14">
      <c r="A2" s="114" t="s">
        <v>469</v>
      </c>
      <c r="B2" s="113" t="s">
        <v>468</v>
      </c>
      <c r="C2" s="113" t="s">
        <v>468</v>
      </c>
      <c r="D2" s="113" t="s">
        <v>468</v>
      </c>
      <c r="E2" s="115" t="s">
        <v>470</v>
      </c>
      <c r="F2" s="115" t="s">
        <v>471</v>
      </c>
      <c r="G2" s="115" t="s">
        <v>472</v>
      </c>
      <c r="H2" s="115" t="s">
        <v>473</v>
      </c>
      <c r="I2" s="115" t="s">
        <v>474</v>
      </c>
      <c r="J2" s="115" t="s">
        <v>475</v>
      </c>
      <c r="K2" s="115" t="s">
        <v>476</v>
      </c>
      <c r="L2" s="115" t="s">
        <v>477</v>
      </c>
      <c r="M2" s="99"/>
      <c r="N2" s="99"/>
    </row>
    <row r="3" spans="1:14">
      <c r="A3" s="116" t="str">
        <f>HYPERLINK("https://classroom.google.com/c/NzQ2NzcxMDkxODky", UPPER("Abrir Classroom"))</f>
        <v>ABRIR CLASSROOM</v>
      </c>
      <c r="B3" s="113" t="s">
        <v>468</v>
      </c>
      <c r="C3" s="113" t="s">
        <v>468</v>
      </c>
      <c r="D3" s="113" t="s">
        <v>468</v>
      </c>
      <c r="E3" s="117">
        <v>1</v>
      </c>
      <c r="F3" s="117">
        <v>1</v>
      </c>
      <c r="G3" s="117">
        <v>1</v>
      </c>
      <c r="H3" s="117">
        <v>1</v>
      </c>
      <c r="I3" s="117">
        <v>1</v>
      </c>
      <c r="J3" s="117">
        <v>1</v>
      </c>
      <c r="K3" s="117">
        <v>1</v>
      </c>
      <c r="L3" s="117">
        <v>3</v>
      </c>
      <c r="M3" s="99"/>
      <c r="N3" s="99"/>
    </row>
    <row r="4" spans="1:14">
      <c r="A4" s="118" t="s">
        <v>468</v>
      </c>
      <c r="B4" s="118" t="s">
        <v>468</v>
      </c>
      <c r="C4" s="118" t="s">
        <v>468</v>
      </c>
      <c r="D4" s="118" t="s">
        <v>468</v>
      </c>
      <c r="E4" s="118" t="s">
        <v>468</v>
      </c>
      <c r="F4" s="118" t="s">
        <v>468</v>
      </c>
      <c r="G4" s="118" t="s">
        <v>468</v>
      </c>
      <c r="H4" s="118" t="s">
        <v>468</v>
      </c>
      <c r="I4" s="118" t="s">
        <v>468</v>
      </c>
      <c r="J4" s="118" t="s">
        <v>468</v>
      </c>
      <c r="K4" s="118" t="s">
        <v>468</v>
      </c>
      <c r="L4" s="118" t="s">
        <v>468</v>
      </c>
      <c r="M4" s="99"/>
      <c r="N4" s="99"/>
    </row>
    <row r="5" spans="1:14">
      <c r="A5" s="119" t="s">
        <v>478</v>
      </c>
      <c r="B5" s="120" t="s">
        <v>468</v>
      </c>
      <c r="C5" s="120" t="s">
        <v>468</v>
      </c>
      <c r="D5" s="121">
        <v>0.43225806449999998</v>
      </c>
      <c r="E5" s="122">
        <v>0.1935483871</v>
      </c>
      <c r="F5" s="122">
        <v>0.16129032260000001</v>
      </c>
      <c r="G5" s="122">
        <v>0.25806451609999997</v>
      </c>
      <c r="H5" s="122">
        <v>0.1935483871</v>
      </c>
      <c r="I5" s="122">
        <v>0.38709677419999999</v>
      </c>
      <c r="J5" s="122">
        <v>0.41935483870000001</v>
      </c>
      <c r="K5" s="122">
        <v>0.1935483871</v>
      </c>
      <c r="L5" s="122">
        <v>2.5161290319999998</v>
      </c>
      <c r="M5" s="99" t="s">
        <v>479</v>
      </c>
      <c r="N5" s="99" t="s">
        <v>480</v>
      </c>
    </row>
    <row r="6" spans="1:14">
      <c r="A6" s="123" t="s">
        <v>481</v>
      </c>
      <c r="B6" s="123" t="s">
        <v>62</v>
      </c>
      <c r="C6" s="123" t="s">
        <v>482</v>
      </c>
      <c r="D6" s="124">
        <v>0.6</v>
      </c>
      <c r="E6" s="125">
        <v>0</v>
      </c>
      <c r="F6" s="125">
        <v>0</v>
      </c>
      <c r="G6" s="125">
        <v>0</v>
      </c>
      <c r="H6" s="125">
        <v>0</v>
      </c>
      <c r="I6" s="125">
        <v>0</v>
      </c>
      <c r="J6" s="125">
        <v>0</v>
      </c>
      <c r="K6" s="125">
        <v>0</v>
      </c>
      <c r="L6" s="126">
        <v>2</v>
      </c>
      <c r="M6" s="127">
        <f t="shared" ref="M6:M53" si="0">SUM(E6:K6)/8</f>
        <v>0</v>
      </c>
      <c r="N6" s="128">
        <f t="shared" ref="N6:N53" si="1">M6*6+IF(L6&gt;0,4,0)</f>
        <v>4</v>
      </c>
    </row>
    <row r="7" spans="1:14">
      <c r="A7" s="123" t="s">
        <v>483</v>
      </c>
      <c r="B7" s="123" t="s">
        <v>484</v>
      </c>
      <c r="C7" s="123" t="s">
        <v>485</v>
      </c>
      <c r="D7" s="129" t="s">
        <v>468</v>
      </c>
      <c r="E7" s="99"/>
      <c r="F7" s="99"/>
      <c r="G7" s="99"/>
      <c r="H7" s="99"/>
      <c r="I7" s="99"/>
      <c r="J7" s="99"/>
      <c r="K7" s="99"/>
      <c r="L7" s="130"/>
      <c r="M7" s="127">
        <f t="shared" si="0"/>
        <v>0</v>
      </c>
      <c r="N7" s="128">
        <f t="shared" si="1"/>
        <v>0</v>
      </c>
    </row>
    <row r="8" spans="1:14">
      <c r="A8" s="123" t="s">
        <v>486</v>
      </c>
      <c r="B8" s="123" t="s">
        <v>487</v>
      </c>
      <c r="C8" s="123" t="s">
        <v>488</v>
      </c>
      <c r="D8" s="124">
        <v>0.7</v>
      </c>
      <c r="E8" s="125">
        <v>0</v>
      </c>
      <c r="F8" s="125">
        <v>0</v>
      </c>
      <c r="G8" s="125">
        <v>0</v>
      </c>
      <c r="H8" s="125">
        <v>0</v>
      </c>
      <c r="I8" s="125">
        <v>0</v>
      </c>
      <c r="J8" s="125">
        <v>0</v>
      </c>
      <c r="K8" s="125">
        <v>0</v>
      </c>
      <c r="L8" s="126">
        <v>3</v>
      </c>
      <c r="M8" s="127">
        <f t="shared" si="0"/>
        <v>0</v>
      </c>
      <c r="N8" s="128">
        <f t="shared" si="1"/>
        <v>4</v>
      </c>
    </row>
    <row r="9" spans="1:14">
      <c r="A9" s="123" t="s">
        <v>489</v>
      </c>
      <c r="B9" s="123" t="s">
        <v>490</v>
      </c>
      <c r="C9" s="123" t="s">
        <v>491</v>
      </c>
      <c r="D9" s="124">
        <v>1.45</v>
      </c>
      <c r="E9" s="125">
        <v>1</v>
      </c>
      <c r="F9" s="125">
        <v>0</v>
      </c>
      <c r="G9" s="125">
        <v>0</v>
      </c>
      <c r="H9" s="125">
        <v>0</v>
      </c>
      <c r="I9" s="125">
        <v>1</v>
      </c>
      <c r="J9" s="125">
        <v>1</v>
      </c>
      <c r="K9" s="125">
        <v>1</v>
      </c>
      <c r="L9" s="126">
        <v>3</v>
      </c>
      <c r="M9" s="127">
        <f t="shared" si="0"/>
        <v>0.5</v>
      </c>
      <c r="N9" s="128">
        <f t="shared" si="1"/>
        <v>7</v>
      </c>
    </row>
    <row r="10" spans="1:14">
      <c r="A10" s="123" t="s">
        <v>492</v>
      </c>
      <c r="B10" s="123" t="s">
        <v>493</v>
      </c>
      <c r="C10" s="123" t="s">
        <v>494</v>
      </c>
      <c r="D10" s="124">
        <v>0.7</v>
      </c>
      <c r="E10" s="125">
        <v>0</v>
      </c>
      <c r="F10" s="125">
        <v>0</v>
      </c>
      <c r="G10" s="125">
        <v>0</v>
      </c>
      <c r="H10" s="125">
        <v>0</v>
      </c>
      <c r="I10" s="125">
        <v>0</v>
      </c>
      <c r="J10" s="125">
        <v>0</v>
      </c>
      <c r="K10" s="125">
        <v>0</v>
      </c>
      <c r="L10" s="126">
        <v>3</v>
      </c>
      <c r="M10" s="127">
        <f t="shared" si="0"/>
        <v>0</v>
      </c>
      <c r="N10" s="128">
        <f t="shared" si="1"/>
        <v>4</v>
      </c>
    </row>
    <row r="11" spans="1:14">
      <c r="A11" s="123" t="s">
        <v>495</v>
      </c>
      <c r="B11" s="123" t="s">
        <v>69</v>
      </c>
      <c r="C11" s="123" t="s">
        <v>496</v>
      </c>
      <c r="D11" s="124">
        <v>0.97499999999999998</v>
      </c>
      <c r="E11" s="125">
        <v>0</v>
      </c>
      <c r="F11" s="125">
        <v>0</v>
      </c>
      <c r="G11" s="125">
        <v>0</v>
      </c>
      <c r="H11" s="125">
        <v>0</v>
      </c>
      <c r="I11" s="125">
        <v>1</v>
      </c>
      <c r="J11" s="125">
        <v>1</v>
      </c>
      <c r="K11" s="125">
        <v>0</v>
      </c>
      <c r="L11" s="126">
        <v>2</v>
      </c>
      <c r="M11" s="127">
        <f t="shared" si="0"/>
        <v>0.25</v>
      </c>
      <c r="N11" s="128">
        <f t="shared" si="1"/>
        <v>5.5</v>
      </c>
    </row>
    <row r="12" spans="1:14">
      <c r="A12" s="123" t="s">
        <v>497</v>
      </c>
      <c r="B12" s="123" t="s">
        <v>69</v>
      </c>
      <c r="C12" s="123" t="s">
        <v>498</v>
      </c>
      <c r="D12" s="124">
        <v>1.075</v>
      </c>
      <c r="E12" s="125">
        <v>0</v>
      </c>
      <c r="F12" s="125">
        <v>0</v>
      </c>
      <c r="G12" s="125">
        <v>0</v>
      </c>
      <c r="H12" s="125">
        <v>0</v>
      </c>
      <c r="I12" s="125">
        <v>1</v>
      </c>
      <c r="J12" s="125">
        <v>0</v>
      </c>
      <c r="K12" s="125">
        <v>1</v>
      </c>
      <c r="L12" s="126">
        <v>3</v>
      </c>
      <c r="M12" s="127">
        <f t="shared" si="0"/>
        <v>0.25</v>
      </c>
      <c r="N12" s="128">
        <f t="shared" si="1"/>
        <v>5.5</v>
      </c>
    </row>
    <row r="13" spans="1:14">
      <c r="A13" s="123" t="s">
        <v>68</v>
      </c>
      <c r="B13" s="123" t="s">
        <v>69</v>
      </c>
      <c r="C13" s="123" t="s">
        <v>71</v>
      </c>
      <c r="D13" s="124">
        <v>0.7</v>
      </c>
      <c r="E13" s="125">
        <v>0</v>
      </c>
      <c r="F13" s="125">
        <v>0</v>
      </c>
      <c r="G13" s="125">
        <v>0</v>
      </c>
      <c r="H13" s="125">
        <v>0</v>
      </c>
      <c r="I13" s="125">
        <v>0</v>
      </c>
      <c r="J13" s="125">
        <v>0</v>
      </c>
      <c r="K13" s="125">
        <v>0</v>
      </c>
      <c r="L13" s="126">
        <v>3</v>
      </c>
      <c r="M13" s="127">
        <f t="shared" si="0"/>
        <v>0</v>
      </c>
      <c r="N13" s="128">
        <f t="shared" si="1"/>
        <v>4</v>
      </c>
    </row>
    <row r="14" spans="1:14">
      <c r="A14" s="123" t="s">
        <v>86</v>
      </c>
      <c r="B14" s="123" t="s">
        <v>69</v>
      </c>
      <c r="C14" s="123" t="s">
        <v>499</v>
      </c>
      <c r="D14" s="124">
        <v>1.1625000000000001</v>
      </c>
      <c r="E14" s="125">
        <v>0</v>
      </c>
      <c r="F14" s="125">
        <v>0</v>
      </c>
      <c r="G14" s="125">
        <v>1</v>
      </c>
      <c r="H14" s="125">
        <v>0</v>
      </c>
      <c r="I14" s="125">
        <v>1</v>
      </c>
      <c r="J14" s="125">
        <v>1</v>
      </c>
      <c r="K14" s="125">
        <v>0</v>
      </c>
      <c r="L14" s="126">
        <v>2</v>
      </c>
      <c r="M14" s="127">
        <f t="shared" si="0"/>
        <v>0.375</v>
      </c>
      <c r="N14" s="128">
        <f t="shared" si="1"/>
        <v>6.25</v>
      </c>
    </row>
    <row r="15" spans="1:14">
      <c r="A15" s="123" t="s">
        <v>76</v>
      </c>
      <c r="B15" s="123" t="s">
        <v>77</v>
      </c>
      <c r="C15" s="123" t="s">
        <v>410</v>
      </c>
      <c r="D15" s="124">
        <v>0.78749999999999998</v>
      </c>
      <c r="E15" s="125">
        <v>0</v>
      </c>
      <c r="F15" s="125">
        <v>0</v>
      </c>
      <c r="G15" s="125">
        <v>0</v>
      </c>
      <c r="H15" s="125">
        <v>0</v>
      </c>
      <c r="I15" s="125">
        <v>0</v>
      </c>
      <c r="J15" s="125">
        <v>1</v>
      </c>
      <c r="K15" s="125">
        <v>0</v>
      </c>
      <c r="L15" s="126">
        <v>2</v>
      </c>
      <c r="M15" s="127">
        <f t="shared" si="0"/>
        <v>0.125</v>
      </c>
      <c r="N15" s="128">
        <f t="shared" si="1"/>
        <v>4.75</v>
      </c>
    </row>
    <row r="16" spans="1:14">
      <c r="A16" s="123" t="s">
        <v>43</v>
      </c>
      <c r="B16" s="123" t="s">
        <v>44</v>
      </c>
      <c r="C16" s="123" t="s">
        <v>404</v>
      </c>
      <c r="D16" s="124">
        <v>0.7</v>
      </c>
      <c r="E16" s="125">
        <v>0</v>
      </c>
      <c r="F16" s="125">
        <v>0</v>
      </c>
      <c r="G16" s="125">
        <v>0</v>
      </c>
      <c r="H16" s="125">
        <v>0</v>
      </c>
      <c r="I16" s="125">
        <v>0</v>
      </c>
      <c r="J16" s="125">
        <v>0</v>
      </c>
      <c r="K16" s="125">
        <v>0</v>
      </c>
      <c r="L16" s="126">
        <v>3</v>
      </c>
      <c r="M16" s="127">
        <f t="shared" si="0"/>
        <v>0</v>
      </c>
      <c r="N16" s="128">
        <f t="shared" si="1"/>
        <v>4</v>
      </c>
    </row>
    <row r="17" spans="1:14">
      <c r="A17" s="123" t="s">
        <v>500</v>
      </c>
      <c r="B17" s="123" t="s">
        <v>61</v>
      </c>
      <c r="C17" s="123" t="s">
        <v>501</v>
      </c>
      <c r="D17" s="124">
        <v>0.98750000000000004</v>
      </c>
      <c r="E17" s="125">
        <v>0</v>
      </c>
      <c r="F17" s="125">
        <v>0</v>
      </c>
      <c r="G17" s="125">
        <v>1</v>
      </c>
      <c r="H17" s="125">
        <v>0</v>
      </c>
      <c r="I17" s="125">
        <v>0</v>
      </c>
      <c r="J17" s="125">
        <v>0</v>
      </c>
      <c r="K17" s="125">
        <v>0</v>
      </c>
      <c r="L17" s="126">
        <v>4</v>
      </c>
      <c r="M17" s="127">
        <f t="shared" si="0"/>
        <v>0.125</v>
      </c>
      <c r="N17" s="128">
        <f t="shared" si="1"/>
        <v>4.75</v>
      </c>
    </row>
    <row r="18" spans="1:14">
      <c r="A18" s="123" t="s">
        <v>260</v>
      </c>
      <c r="B18" s="123" t="s">
        <v>61</v>
      </c>
      <c r="C18" s="123" t="s">
        <v>262</v>
      </c>
      <c r="D18" s="124">
        <v>0.7</v>
      </c>
      <c r="E18" s="125">
        <v>0</v>
      </c>
      <c r="F18" s="125">
        <v>0</v>
      </c>
      <c r="G18" s="125">
        <v>0</v>
      </c>
      <c r="H18" s="125">
        <v>0</v>
      </c>
      <c r="I18" s="125">
        <v>0</v>
      </c>
      <c r="J18" s="125">
        <v>0</v>
      </c>
      <c r="K18" s="125">
        <v>0</v>
      </c>
      <c r="L18" s="126">
        <v>3</v>
      </c>
      <c r="M18" s="127">
        <f t="shared" si="0"/>
        <v>0</v>
      </c>
      <c r="N18" s="128">
        <f t="shared" si="1"/>
        <v>4</v>
      </c>
    </row>
    <row r="19" spans="1:14">
      <c r="A19" s="123" t="s">
        <v>502</v>
      </c>
      <c r="B19" s="123" t="s">
        <v>503</v>
      </c>
      <c r="C19" s="123" t="s">
        <v>504</v>
      </c>
      <c r="D19" s="124">
        <v>0.7</v>
      </c>
      <c r="E19" s="125">
        <v>0</v>
      </c>
      <c r="F19" s="125">
        <v>0</v>
      </c>
      <c r="G19" s="125">
        <v>0</v>
      </c>
      <c r="H19" s="125">
        <v>0</v>
      </c>
      <c r="I19" s="125">
        <v>0</v>
      </c>
      <c r="J19" s="125">
        <v>0</v>
      </c>
      <c r="K19" s="125">
        <v>0</v>
      </c>
      <c r="L19" s="126">
        <v>3</v>
      </c>
      <c r="M19" s="127">
        <f t="shared" si="0"/>
        <v>0</v>
      </c>
      <c r="N19" s="128">
        <f t="shared" si="1"/>
        <v>4</v>
      </c>
    </row>
    <row r="20" spans="1:14">
      <c r="A20" s="123" t="s">
        <v>505</v>
      </c>
      <c r="B20" s="123" t="s">
        <v>506</v>
      </c>
      <c r="C20" s="123" t="s">
        <v>507</v>
      </c>
      <c r="D20" s="129" t="s">
        <v>468</v>
      </c>
      <c r="E20" s="99"/>
      <c r="F20" s="99"/>
      <c r="G20" s="99"/>
      <c r="H20" s="99"/>
      <c r="I20" s="99"/>
      <c r="J20" s="99"/>
      <c r="K20" s="99"/>
      <c r="L20" s="130"/>
      <c r="M20" s="127">
        <f t="shared" si="0"/>
        <v>0</v>
      </c>
      <c r="N20" s="128">
        <f t="shared" si="1"/>
        <v>0</v>
      </c>
    </row>
    <row r="21" spans="1:14">
      <c r="A21" s="123" t="s">
        <v>508</v>
      </c>
      <c r="B21" s="123" t="s">
        <v>509</v>
      </c>
      <c r="C21" s="123" t="s">
        <v>510</v>
      </c>
      <c r="D21" s="129" t="s">
        <v>468</v>
      </c>
      <c r="E21" s="99"/>
      <c r="F21" s="99"/>
      <c r="G21" s="99"/>
      <c r="H21" s="99"/>
      <c r="I21" s="99"/>
      <c r="J21" s="99"/>
      <c r="K21" s="99"/>
      <c r="L21" s="130"/>
      <c r="M21" s="127">
        <f t="shared" si="0"/>
        <v>0</v>
      </c>
      <c r="N21" s="128">
        <f t="shared" si="1"/>
        <v>0</v>
      </c>
    </row>
    <row r="22" spans="1:14">
      <c r="A22" s="123" t="s">
        <v>511</v>
      </c>
      <c r="B22" s="123" t="s">
        <v>512</v>
      </c>
      <c r="C22" s="123" t="s">
        <v>513</v>
      </c>
      <c r="D22" s="124">
        <v>1.075</v>
      </c>
      <c r="E22" s="125">
        <v>0</v>
      </c>
      <c r="F22" s="125">
        <v>0</v>
      </c>
      <c r="G22" s="125">
        <v>0</v>
      </c>
      <c r="H22" s="125">
        <v>0</v>
      </c>
      <c r="I22" s="125">
        <v>0</v>
      </c>
      <c r="J22" s="125">
        <v>1</v>
      </c>
      <c r="K22" s="125">
        <v>1</v>
      </c>
      <c r="L22" s="126">
        <v>3</v>
      </c>
      <c r="M22" s="127">
        <f t="shared" si="0"/>
        <v>0.25</v>
      </c>
      <c r="N22" s="128">
        <f t="shared" si="1"/>
        <v>5.5</v>
      </c>
    </row>
    <row r="23" spans="1:14">
      <c r="A23" s="123" t="s">
        <v>511</v>
      </c>
      <c r="B23" s="123" t="s">
        <v>514</v>
      </c>
      <c r="C23" s="123" t="s">
        <v>515</v>
      </c>
      <c r="D23" s="124">
        <v>1.45</v>
      </c>
      <c r="E23" s="125">
        <v>1</v>
      </c>
      <c r="F23" s="125">
        <v>1</v>
      </c>
      <c r="G23" s="125">
        <v>1</v>
      </c>
      <c r="H23" s="125">
        <v>0</v>
      </c>
      <c r="I23" s="125">
        <v>0</v>
      </c>
      <c r="J23" s="125">
        <v>1</v>
      </c>
      <c r="K23" s="125">
        <v>0</v>
      </c>
      <c r="L23" s="126">
        <v>3</v>
      </c>
      <c r="M23" s="127">
        <f t="shared" si="0"/>
        <v>0.5</v>
      </c>
      <c r="N23" s="128">
        <f t="shared" si="1"/>
        <v>7</v>
      </c>
    </row>
    <row r="24" spans="1:14">
      <c r="A24" s="123" t="s">
        <v>516</v>
      </c>
      <c r="B24" s="123" t="s">
        <v>517</v>
      </c>
      <c r="C24" s="123" t="s">
        <v>518</v>
      </c>
      <c r="D24" s="129" t="s">
        <v>468</v>
      </c>
      <c r="E24" s="99"/>
      <c r="F24" s="99"/>
      <c r="G24" s="99"/>
      <c r="H24" s="99"/>
      <c r="I24" s="99"/>
      <c r="J24" s="99"/>
      <c r="K24" s="99"/>
      <c r="L24" s="130"/>
      <c r="M24" s="127">
        <f t="shared" si="0"/>
        <v>0</v>
      </c>
      <c r="N24" s="128">
        <f t="shared" si="1"/>
        <v>0</v>
      </c>
    </row>
    <row r="25" spans="1:14">
      <c r="A25" s="123" t="s">
        <v>519</v>
      </c>
      <c r="B25" s="123" t="s">
        <v>111</v>
      </c>
      <c r="C25" s="123" t="s">
        <v>520</v>
      </c>
      <c r="D25" s="129" t="s">
        <v>468</v>
      </c>
      <c r="E25" s="99"/>
      <c r="F25" s="99"/>
      <c r="G25" s="99"/>
      <c r="H25" s="99"/>
      <c r="I25" s="99"/>
      <c r="J25" s="99"/>
      <c r="K25" s="99"/>
      <c r="L25" s="130"/>
      <c r="M25" s="127">
        <f t="shared" si="0"/>
        <v>0</v>
      </c>
      <c r="N25" s="128">
        <f t="shared" si="1"/>
        <v>0</v>
      </c>
    </row>
    <row r="26" spans="1:14">
      <c r="A26" s="123" t="s">
        <v>521</v>
      </c>
      <c r="B26" s="123" t="s">
        <v>522</v>
      </c>
      <c r="C26" s="123" t="s">
        <v>523</v>
      </c>
      <c r="D26" s="124">
        <v>0.7</v>
      </c>
      <c r="E26" s="125">
        <v>0</v>
      </c>
      <c r="F26" s="125">
        <v>0</v>
      </c>
      <c r="G26" s="125">
        <v>0</v>
      </c>
      <c r="H26" s="125">
        <v>0</v>
      </c>
      <c r="I26" s="125">
        <v>0</v>
      </c>
      <c r="J26" s="125">
        <v>0</v>
      </c>
      <c r="K26" s="125">
        <v>0</v>
      </c>
      <c r="L26" s="126">
        <v>3</v>
      </c>
      <c r="M26" s="127">
        <f t="shared" si="0"/>
        <v>0</v>
      </c>
      <c r="N26" s="128">
        <f t="shared" si="1"/>
        <v>4</v>
      </c>
    </row>
    <row r="27" spans="1:14">
      <c r="A27" s="123" t="s">
        <v>524</v>
      </c>
      <c r="B27" s="123" t="s">
        <v>525</v>
      </c>
      <c r="C27" s="123" t="s">
        <v>526</v>
      </c>
      <c r="D27" s="124">
        <v>1.5375000000000001</v>
      </c>
      <c r="E27" s="125">
        <v>0</v>
      </c>
      <c r="F27" s="125">
        <v>0</v>
      </c>
      <c r="G27" s="125">
        <v>1</v>
      </c>
      <c r="H27" s="125">
        <v>1</v>
      </c>
      <c r="I27" s="125">
        <v>1</v>
      </c>
      <c r="J27" s="125">
        <v>1</v>
      </c>
      <c r="K27" s="125">
        <v>1</v>
      </c>
      <c r="L27" s="126">
        <v>2</v>
      </c>
      <c r="M27" s="127">
        <f t="shared" si="0"/>
        <v>0.625</v>
      </c>
      <c r="N27" s="128">
        <f t="shared" si="1"/>
        <v>7.75</v>
      </c>
    </row>
    <row r="28" spans="1:14">
      <c r="A28" s="123" t="s">
        <v>527</v>
      </c>
      <c r="B28" s="123" t="s">
        <v>528</v>
      </c>
      <c r="C28" s="123" t="s">
        <v>529</v>
      </c>
      <c r="D28" s="129" t="s">
        <v>468</v>
      </c>
      <c r="E28" s="99"/>
      <c r="F28" s="99"/>
      <c r="G28" s="99"/>
      <c r="H28" s="99"/>
      <c r="I28" s="99"/>
      <c r="J28" s="99"/>
      <c r="K28" s="99"/>
      <c r="L28" s="130"/>
      <c r="M28" s="127">
        <f t="shared" si="0"/>
        <v>0</v>
      </c>
      <c r="N28" s="128">
        <f t="shared" si="1"/>
        <v>0</v>
      </c>
    </row>
    <row r="29" spans="1:14">
      <c r="A29" s="123" t="s">
        <v>135</v>
      </c>
      <c r="B29" s="123" t="s">
        <v>136</v>
      </c>
      <c r="C29" s="123" t="s">
        <v>139</v>
      </c>
      <c r="D29" s="124">
        <v>0.97499999999999998</v>
      </c>
      <c r="E29" s="125">
        <v>0</v>
      </c>
      <c r="F29" s="125">
        <v>0</v>
      </c>
      <c r="G29" s="125">
        <v>0</v>
      </c>
      <c r="H29" s="125">
        <v>0</v>
      </c>
      <c r="I29" s="125">
        <v>1</v>
      </c>
      <c r="J29" s="125">
        <v>1</v>
      </c>
      <c r="K29" s="125">
        <v>0</v>
      </c>
      <c r="L29" s="126">
        <v>2</v>
      </c>
      <c r="M29" s="127">
        <f t="shared" si="0"/>
        <v>0.25</v>
      </c>
      <c r="N29" s="128">
        <f t="shared" si="1"/>
        <v>5.5</v>
      </c>
    </row>
    <row r="30" spans="1:14">
      <c r="A30" s="123" t="s">
        <v>530</v>
      </c>
      <c r="B30" s="123" t="s">
        <v>531</v>
      </c>
      <c r="C30" s="123" t="s">
        <v>532</v>
      </c>
      <c r="D30" s="124">
        <v>1.825</v>
      </c>
      <c r="E30" s="125">
        <v>1</v>
      </c>
      <c r="F30" s="125">
        <v>1</v>
      </c>
      <c r="G30" s="125">
        <v>1</v>
      </c>
      <c r="H30" s="125">
        <v>1</v>
      </c>
      <c r="I30" s="125">
        <v>1</v>
      </c>
      <c r="J30" s="125">
        <v>1</v>
      </c>
      <c r="K30" s="125">
        <v>0</v>
      </c>
      <c r="L30" s="126">
        <v>3</v>
      </c>
      <c r="M30" s="127">
        <f t="shared" si="0"/>
        <v>0.75</v>
      </c>
      <c r="N30" s="128">
        <f t="shared" si="1"/>
        <v>8.5</v>
      </c>
    </row>
    <row r="31" spans="1:14">
      <c r="A31" s="123" t="s">
        <v>533</v>
      </c>
      <c r="B31" s="123" t="s">
        <v>534</v>
      </c>
      <c r="C31" s="123" t="s">
        <v>535</v>
      </c>
      <c r="D31" s="129" t="s">
        <v>468</v>
      </c>
      <c r="E31" s="99"/>
      <c r="F31" s="99"/>
      <c r="G31" s="99"/>
      <c r="H31" s="99"/>
      <c r="I31" s="99"/>
      <c r="J31" s="99"/>
      <c r="K31" s="99"/>
      <c r="L31" s="130"/>
      <c r="M31" s="127">
        <f t="shared" si="0"/>
        <v>0</v>
      </c>
      <c r="N31" s="128">
        <f t="shared" si="1"/>
        <v>0</v>
      </c>
    </row>
    <row r="32" spans="1:14">
      <c r="A32" s="123" t="s">
        <v>536</v>
      </c>
      <c r="B32" s="123" t="s">
        <v>537</v>
      </c>
      <c r="C32" s="123" t="s">
        <v>538</v>
      </c>
      <c r="D32" s="124">
        <v>0.97499999999999998</v>
      </c>
      <c r="E32" s="125">
        <v>0</v>
      </c>
      <c r="F32" s="125">
        <v>0</v>
      </c>
      <c r="G32" s="125">
        <v>0</v>
      </c>
      <c r="H32" s="125">
        <v>0</v>
      </c>
      <c r="I32" s="125">
        <v>1</v>
      </c>
      <c r="J32" s="125">
        <v>1</v>
      </c>
      <c r="K32" s="125">
        <v>0</v>
      </c>
      <c r="L32" s="126">
        <v>2</v>
      </c>
      <c r="M32" s="127">
        <f t="shared" si="0"/>
        <v>0.25</v>
      </c>
      <c r="N32" s="128">
        <f t="shared" si="1"/>
        <v>5.5</v>
      </c>
    </row>
    <row r="33" spans="1:14">
      <c r="A33" s="123" t="s">
        <v>539</v>
      </c>
      <c r="B33" s="123" t="s">
        <v>540</v>
      </c>
      <c r="C33" s="123" t="s">
        <v>541</v>
      </c>
      <c r="D33" s="124">
        <v>0.375</v>
      </c>
      <c r="E33" s="125">
        <v>1</v>
      </c>
      <c r="F33" s="125">
        <v>1</v>
      </c>
      <c r="G33" s="125">
        <v>0</v>
      </c>
      <c r="H33" s="125">
        <v>0</v>
      </c>
      <c r="I33" s="125">
        <v>0</v>
      </c>
      <c r="J33" s="125">
        <v>0</v>
      </c>
      <c r="K33" s="125">
        <v>0</v>
      </c>
      <c r="L33" s="126">
        <v>0</v>
      </c>
      <c r="M33" s="127">
        <f t="shared" si="0"/>
        <v>0.25</v>
      </c>
      <c r="N33" s="128">
        <f t="shared" si="1"/>
        <v>1.5</v>
      </c>
    </row>
    <row r="34" spans="1:14">
      <c r="A34" s="123" t="s">
        <v>542</v>
      </c>
      <c r="B34" s="123" t="s">
        <v>543</v>
      </c>
      <c r="C34" s="123" t="s">
        <v>544</v>
      </c>
      <c r="D34" s="124">
        <v>0.1875</v>
      </c>
      <c r="E34" s="125">
        <v>1</v>
      </c>
      <c r="F34" s="125">
        <v>0</v>
      </c>
      <c r="G34" s="125">
        <v>0</v>
      </c>
      <c r="H34" s="125">
        <v>0</v>
      </c>
      <c r="I34" s="125">
        <v>0</v>
      </c>
      <c r="J34" s="125">
        <v>0</v>
      </c>
      <c r="K34" s="125">
        <v>0</v>
      </c>
      <c r="L34" s="126">
        <v>0</v>
      </c>
      <c r="M34" s="127">
        <f t="shared" si="0"/>
        <v>0.125</v>
      </c>
      <c r="N34" s="128">
        <f t="shared" si="1"/>
        <v>0.75</v>
      </c>
    </row>
    <row r="35" spans="1:14">
      <c r="A35" s="123" t="s">
        <v>545</v>
      </c>
      <c r="B35" s="123" t="s">
        <v>137</v>
      </c>
      <c r="C35" s="123" t="s">
        <v>546</v>
      </c>
      <c r="D35" s="124">
        <v>1.825</v>
      </c>
      <c r="E35" s="125">
        <v>0</v>
      </c>
      <c r="F35" s="125">
        <v>1</v>
      </c>
      <c r="G35" s="125">
        <v>1</v>
      </c>
      <c r="H35" s="125">
        <v>1</v>
      </c>
      <c r="I35" s="125">
        <v>1</v>
      </c>
      <c r="J35" s="125">
        <v>1</v>
      </c>
      <c r="K35" s="125">
        <v>1</v>
      </c>
      <c r="L35" s="126">
        <v>3</v>
      </c>
      <c r="M35" s="127">
        <f t="shared" si="0"/>
        <v>0.75</v>
      </c>
      <c r="N35" s="128">
        <f t="shared" si="1"/>
        <v>8.5</v>
      </c>
    </row>
    <row r="36" spans="1:14">
      <c r="A36" s="123" t="s">
        <v>547</v>
      </c>
      <c r="B36" s="123" t="s">
        <v>137</v>
      </c>
      <c r="C36" s="123" t="s">
        <v>548</v>
      </c>
      <c r="D36" s="124">
        <v>0.7</v>
      </c>
      <c r="E36" s="125">
        <v>0</v>
      </c>
      <c r="F36" s="125">
        <v>0</v>
      </c>
      <c r="G36" s="125">
        <v>0</v>
      </c>
      <c r="H36" s="125">
        <v>0</v>
      </c>
      <c r="I36" s="125">
        <v>0</v>
      </c>
      <c r="J36" s="125">
        <v>0</v>
      </c>
      <c r="K36" s="125">
        <v>0</v>
      </c>
      <c r="L36" s="126">
        <v>3</v>
      </c>
      <c r="M36" s="127">
        <f t="shared" si="0"/>
        <v>0</v>
      </c>
      <c r="N36" s="128">
        <f t="shared" si="1"/>
        <v>4</v>
      </c>
    </row>
    <row r="37" spans="1:14">
      <c r="A37" s="123" t="s">
        <v>549</v>
      </c>
      <c r="B37" s="123" t="s">
        <v>95</v>
      </c>
      <c r="C37" s="123" t="s">
        <v>550</v>
      </c>
      <c r="D37" s="124">
        <v>0.1875</v>
      </c>
      <c r="E37" s="125">
        <v>0</v>
      </c>
      <c r="F37" s="125">
        <v>0</v>
      </c>
      <c r="G37" s="125">
        <v>1</v>
      </c>
      <c r="H37" s="125">
        <v>0</v>
      </c>
      <c r="I37" s="125">
        <v>0</v>
      </c>
      <c r="J37" s="125">
        <v>0</v>
      </c>
      <c r="K37" s="125">
        <v>0</v>
      </c>
      <c r="L37" s="126">
        <v>0</v>
      </c>
      <c r="M37" s="127">
        <f t="shared" si="0"/>
        <v>0.125</v>
      </c>
      <c r="N37" s="128">
        <f t="shared" si="1"/>
        <v>0.75</v>
      </c>
    </row>
    <row r="38" spans="1:14">
      <c r="A38" s="123" t="s">
        <v>551</v>
      </c>
      <c r="B38" s="123" t="s">
        <v>552</v>
      </c>
      <c r="C38" s="123" t="s">
        <v>553</v>
      </c>
      <c r="D38" s="129" t="s">
        <v>468</v>
      </c>
      <c r="E38" s="99"/>
      <c r="F38" s="99"/>
      <c r="G38" s="99"/>
      <c r="H38" s="99"/>
      <c r="I38" s="99"/>
      <c r="J38" s="99"/>
      <c r="K38" s="99"/>
      <c r="L38" s="130"/>
      <c r="M38" s="127">
        <f t="shared" si="0"/>
        <v>0</v>
      </c>
      <c r="N38" s="128">
        <f t="shared" si="1"/>
        <v>0</v>
      </c>
    </row>
    <row r="39" spans="1:14">
      <c r="A39" s="123" t="s">
        <v>554</v>
      </c>
      <c r="B39" s="123" t="s">
        <v>555</v>
      </c>
      <c r="C39" s="123" t="s">
        <v>556</v>
      </c>
      <c r="D39" s="129" t="s">
        <v>468</v>
      </c>
      <c r="E39" s="99"/>
      <c r="F39" s="99"/>
      <c r="G39" s="99"/>
      <c r="H39" s="99"/>
      <c r="I39" s="99"/>
      <c r="J39" s="99"/>
      <c r="K39" s="99"/>
      <c r="L39" s="130"/>
      <c r="M39" s="127">
        <f t="shared" si="0"/>
        <v>0</v>
      </c>
      <c r="N39" s="128">
        <f t="shared" si="1"/>
        <v>0</v>
      </c>
    </row>
    <row r="40" spans="1:14">
      <c r="A40" s="123" t="s">
        <v>118</v>
      </c>
      <c r="B40" s="123" t="s">
        <v>119</v>
      </c>
      <c r="C40" s="123" t="s">
        <v>422</v>
      </c>
      <c r="D40" s="124">
        <v>1.5375000000000001</v>
      </c>
      <c r="E40" s="125">
        <v>1</v>
      </c>
      <c r="F40" s="125">
        <v>0</v>
      </c>
      <c r="G40" s="125">
        <v>1</v>
      </c>
      <c r="H40" s="125">
        <v>1</v>
      </c>
      <c r="I40" s="125">
        <v>1</v>
      </c>
      <c r="J40" s="125">
        <v>1</v>
      </c>
      <c r="K40" s="125">
        <v>0</v>
      </c>
      <c r="L40" s="126">
        <v>2</v>
      </c>
      <c r="M40" s="127">
        <f t="shared" si="0"/>
        <v>0.625</v>
      </c>
      <c r="N40" s="128">
        <f t="shared" si="1"/>
        <v>7.75</v>
      </c>
    </row>
    <row r="41" spans="1:14">
      <c r="A41" s="123" t="s">
        <v>557</v>
      </c>
      <c r="B41" s="123" t="s">
        <v>558</v>
      </c>
      <c r="C41" s="123" t="s">
        <v>559</v>
      </c>
      <c r="D41" s="124">
        <v>0.8</v>
      </c>
      <c r="E41" s="125">
        <v>0</v>
      </c>
      <c r="F41" s="125">
        <v>0</v>
      </c>
      <c r="G41" s="125">
        <v>0</v>
      </c>
      <c r="H41" s="125">
        <v>0</v>
      </c>
      <c r="I41" s="125">
        <v>0</v>
      </c>
      <c r="J41" s="125">
        <v>0</v>
      </c>
      <c r="K41" s="125">
        <v>0</v>
      </c>
      <c r="L41" s="126">
        <v>4</v>
      </c>
      <c r="M41" s="127">
        <f t="shared" si="0"/>
        <v>0</v>
      </c>
      <c r="N41" s="128">
        <f t="shared" si="1"/>
        <v>4</v>
      </c>
    </row>
    <row r="42" spans="1:14">
      <c r="A42" s="123" t="s">
        <v>560</v>
      </c>
      <c r="B42" s="123" t="s">
        <v>561</v>
      </c>
      <c r="C42" s="123" t="s">
        <v>562</v>
      </c>
      <c r="D42" s="124">
        <v>0.98750000000000004</v>
      </c>
      <c r="E42" s="125">
        <v>0</v>
      </c>
      <c r="F42" s="125">
        <v>1</v>
      </c>
      <c r="G42" s="125">
        <v>0</v>
      </c>
      <c r="H42" s="125">
        <v>0</v>
      </c>
      <c r="I42" s="125">
        <v>0</v>
      </c>
      <c r="J42" s="125">
        <v>0</v>
      </c>
      <c r="K42" s="125">
        <v>0</v>
      </c>
      <c r="L42" s="126">
        <v>4</v>
      </c>
      <c r="M42" s="127">
        <f t="shared" si="0"/>
        <v>0.125</v>
      </c>
      <c r="N42" s="128">
        <f t="shared" si="1"/>
        <v>4.75</v>
      </c>
    </row>
    <row r="43" spans="1:14">
      <c r="A43" s="123" t="s">
        <v>127</v>
      </c>
      <c r="B43" s="123" t="s">
        <v>94</v>
      </c>
      <c r="C43" s="123" t="s">
        <v>424</v>
      </c>
      <c r="D43" s="129" t="s">
        <v>468</v>
      </c>
      <c r="E43" s="99"/>
      <c r="F43" s="99"/>
      <c r="G43" s="99"/>
      <c r="H43" s="99"/>
      <c r="I43" s="99"/>
      <c r="J43" s="99"/>
      <c r="K43" s="99"/>
      <c r="L43" s="130"/>
      <c r="M43" s="127">
        <f t="shared" si="0"/>
        <v>0</v>
      </c>
      <c r="N43" s="128">
        <f t="shared" si="1"/>
        <v>0</v>
      </c>
    </row>
    <row r="44" spans="1:14">
      <c r="A44" s="123" t="s">
        <v>563</v>
      </c>
      <c r="B44" s="123" t="s">
        <v>94</v>
      </c>
      <c r="C44" s="123" t="s">
        <v>564</v>
      </c>
      <c r="D44" s="124">
        <v>1.1625000000000001</v>
      </c>
      <c r="E44" s="125">
        <v>0</v>
      </c>
      <c r="F44" s="125">
        <v>0</v>
      </c>
      <c r="G44" s="125">
        <v>0</v>
      </c>
      <c r="H44" s="125">
        <v>1</v>
      </c>
      <c r="I44" s="125">
        <v>1</v>
      </c>
      <c r="J44" s="125">
        <v>1</v>
      </c>
      <c r="K44" s="125">
        <v>0</v>
      </c>
      <c r="L44" s="126">
        <v>2</v>
      </c>
      <c r="M44" s="127">
        <f t="shared" si="0"/>
        <v>0.375</v>
      </c>
      <c r="N44" s="128">
        <f t="shared" si="1"/>
        <v>6.25</v>
      </c>
    </row>
    <row r="45" spans="1:14">
      <c r="A45" s="123" t="s">
        <v>565</v>
      </c>
      <c r="B45" s="123" t="s">
        <v>566</v>
      </c>
      <c r="C45" s="123" t="s">
        <v>567</v>
      </c>
      <c r="D45" s="129" t="s">
        <v>468</v>
      </c>
      <c r="E45" s="99"/>
      <c r="F45" s="99"/>
      <c r="G45" s="99"/>
      <c r="H45" s="99"/>
      <c r="I45" s="99"/>
      <c r="J45" s="99"/>
      <c r="K45" s="99"/>
      <c r="L45" s="130"/>
      <c r="M45" s="127">
        <f t="shared" si="0"/>
        <v>0</v>
      </c>
      <c r="N45" s="128">
        <f t="shared" si="1"/>
        <v>0</v>
      </c>
    </row>
    <row r="46" spans="1:14">
      <c r="A46" s="123" t="s">
        <v>568</v>
      </c>
      <c r="B46" s="123" t="s">
        <v>159</v>
      </c>
      <c r="C46" s="123" t="s">
        <v>569</v>
      </c>
      <c r="D46" s="129" t="s">
        <v>468</v>
      </c>
      <c r="E46" s="99"/>
      <c r="F46" s="99"/>
      <c r="G46" s="99"/>
      <c r="H46" s="99"/>
      <c r="I46" s="99"/>
      <c r="J46" s="99"/>
      <c r="K46" s="99"/>
      <c r="L46" s="130"/>
      <c r="M46" s="127">
        <f t="shared" si="0"/>
        <v>0</v>
      </c>
      <c r="N46" s="128">
        <f t="shared" si="1"/>
        <v>0</v>
      </c>
    </row>
    <row r="47" spans="1:14">
      <c r="A47" s="123" t="s">
        <v>570</v>
      </c>
      <c r="B47" s="123" t="s">
        <v>85</v>
      </c>
      <c r="C47" s="123" t="s">
        <v>571</v>
      </c>
      <c r="D47" s="124">
        <v>0.7</v>
      </c>
      <c r="E47" s="125">
        <v>0</v>
      </c>
      <c r="F47" s="125">
        <v>0</v>
      </c>
      <c r="G47" s="125">
        <v>0</v>
      </c>
      <c r="H47" s="125">
        <v>0</v>
      </c>
      <c r="I47" s="125">
        <v>0</v>
      </c>
      <c r="J47" s="125">
        <v>0</v>
      </c>
      <c r="K47" s="125">
        <v>0</v>
      </c>
      <c r="L47" s="126">
        <v>3</v>
      </c>
      <c r="M47" s="127">
        <f t="shared" si="0"/>
        <v>0</v>
      </c>
      <c r="N47" s="128">
        <f t="shared" si="1"/>
        <v>4</v>
      </c>
    </row>
    <row r="48" spans="1:14">
      <c r="A48" s="123" t="s">
        <v>572</v>
      </c>
      <c r="B48" s="123" t="s">
        <v>85</v>
      </c>
      <c r="C48" s="123" t="s">
        <v>573</v>
      </c>
      <c r="D48" s="129" t="s">
        <v>468</v>
      </c>
      <c r="E48" s="99"/>
      <c r="F48" s="99"/>
      <c r="G48" s="99"/>
      <c r="H48" s="99"/>
      <c r="I48" s="99"/>
      <c r="J48" s="99"/>
      <c r="K48" s="99"/>
      <c r="L48" s="130"/>
      <c r="M48" s="127">
        <f t="shared" si="0"/>
        <v>0</v>
      </c>
      <c r="N48" s="128">
        <f t="shared" si="1"/>
        <v>0</v>
      </c>
    </row>
    <row r="49" spans="1:14">
      <c r="A49" s="123" t="s">
        <v>574</v>
      </c>
      <c r="B49" s="123" t="s">
        <v>27</v>
      </c>
      <c r="C49" s="123" t="s">
        <v>575</v>
      </c>
      <c r="D49" s="124">
        <v>1.2625</v>
      </c>
      <c r="E49" s="125">
        <v>0</v>
      </c>
      <c r="F49" s="125">
        <v>0</v>
      </c>
      <c r="G49" s="125">
        <v>0</v>
      </c>
      <c r="H49" s="125">
        <v>1</v>
      </c>
      <c r="I49" s="125">
        <v>1</v>
      </c>
      <c r="J49" s="125">
        <v>0</v>
      </c>
      <c r="K49" s="125">
        <v>1</v>
      </c>
      <c r="L49" s="126">
        <v>3</v>
      </c>
      <c r="M49" s="127">
        <f t="shared" si="0"/>
        <v>0.375</v>
      </c>
      <c r="N49" s="128">
        <f t="shared" si="1"/>
        <v>6.25</v>
      </c>
    </row>
    <row r="50" spans="1:14">
      <c r="A50" s="123" t="s">
        <v>576</v>
      </c>
      <c r="B50" s="123" t="s">
        <v>577</v>
      </c>
      <c r="C50" s="123" t="s">
        <v>578</v>
      </c>
      <c r="D50" s="129" t="s">
        <v>468</v>
      </c>
      <c r="E50" s="99"/>
      <c r="F50" s="99"/>
      <c r="G50" s="99"/>
      <c r="H50" s="99"/>
      <c r="I50" s="99"/>
      <c r="J50" s="99"/>
      <c r="K50" s="99"/>
      <c r="L50" s="130"/>
      <c r="M50" s="127">
        <f t="shared" si="0"/>
        <v>0</v>
      </c>
      <c r="N50" s="128">
        <f t="shared" si="1"/>
        <v>0</v>
      </c>
    </row>
    <row r="51" spans="1:14">
      <c r="A51" s="123" t="s">
        <v>579</v>
      </c>
      <c r="B51" s="123" t="s">
        <v>580</v>
      </c>
      <c r="C51" s="123" t="s">
        <v>581</v>
      </c>
      <c r="D51" s="129" t="s">
        <v>468</v>
      </c>
      <c r="E51" s="99"/>
      <c r="F51" s="99"/>
      <c r="G51" s="99"/>
      <c r="H51" s="99"/>
      <c r="I51" s="99"/>
      <c r="J51" s="99"/>
      <c r="K51" s="99"/>
      <c r="L51" s="130"/>
      <c r="M51" s="127">
        <f t="shared" si="0"/>
        <v>0</v>
      </c>
      <c r="N51" s="128">
        <f t="shared" si="1"/>
        <v>0</v>
      </c>
    </row>
    <row r="52" spans="1:14">
      <c r="A52" s="123" t="s">
        <v>582</v>
      </c>
      <c r="B52" s="123" t="s">
        <v>583</v>
      </c>
      <c r="C52" s="123" t="s">
        <v>584</v>
      </c>
      <c r="D52" s="129" t="s">
        <v>468</v>
      </c>
      <c r="E52" s="99"/>
      <c r="F52" s="99"/>
      <c r="G52" s="99"/>
      <c r="H52" s="99"/>
      <c r="I52" s="99"/>
      <c r="J52" s="99"/>
      <c r="K52" s="99"/>
      <c r="L52" s="130"/>
      <c r="M52" s="127">
        <f t="shared" si="0"/>
        <v>0</v>
      </c>
      <c r="N52" s="128">
        <f t="shared" si="1"/>
        <v>0</v>
      </c>
    </row>
    <row r="53" spans="1:14">
      <c r="A53" s="123" t="s">
        <v>102</v>
      </c>
      <c r="B53" s="123" t="s">
        <v>585</v>
      </c>
      <c r="C53" s="123" t="s">
        <v>586</v>
      </c>
      <c r="D53" s="129" t="s">
        <v>468</v>
      </c>
      <c r="E53" s="99"/>
      <c r="F53" s="99"/>
      <c r="G53" s="99"/>
      <c r="H53" s="99"/>
      <c r="I53" s="99"/>
      <c r="J53" s="99"/>
      <c r="K53" s="99"/>
      <c r="L53" s="130"/>
      <c r="M53" s="127">
        <f t="shared" si="0"/>
        <v>0</v>
      </c>
      <c r="N53" s="128">
        <f t="shared" si="1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36"/>
  <sheetViews>
    <sheetView tabSelected="1" workbookViewId="0">
      <selection activeCell="B3" sqref="B3"/>
    </sheetView>
  </sheetViews>
  <sheetFormatPr baseColWidth="10" defaultColWidth="8.83203125" defaultRowHeight="15"/>
  <cols>
    <col min="1" max="5" width="16" customWidth="1"/>
    <col min="6" max="29" width="9" customWidth="1"/>
  </cols>
  <sheetData>
    <row r="1" spans="1:29">
      <c r="A1" t="s">
        <v>587</v>
      </c>
      <c r="B1" s="133" t="s">
        <v>609</v>
      </c>
    </row>
    <row r="2" spans="1:29">
      <c r="A2" t="s">
        <v>588</v>
      </c>
      <c r="B2" s="133" t="s">
        <v>610</v>
      </c>
    </row>
    <row r="3" spans="1:29">
      <c r="A3" t="s">
        <v>589</v>
      </c>
      <c r="B3">
        <v>2</v>
      </c>
    </row>
    <row r="5" spans="1:29">
      <c r="A5" s="141" t="s">
        <v>590</v>
      </c>
      <c r="B5" s="141" t="s">
        <v>591</v>
      </c>
      <c r="C5" s="141" t="s">
        <v>592</v>
      </c>
      <c r="D5" s="141" t="s">
        <v>593</v>
      </c>
      <c r="E5" s="156" t="s">
        <v>608</v>
      </c>
      <c r="F5" s="141" t="s">
        <v>594</v>
      </c>
      <c r="G5" s="141"/>
      <c r="H5" s="141" t="s">
        <v>595</v>
      </c>
      <c r="I5" s="141"/>
      <c r="J5" s="141" t="s">
        <v>596</v>
      </c>
      <c r="K5" s="141"/>
      <c r="L5" s="141" t="s">
        <v>597</v>
      </c>
      <c r="M5" s="141"/>
      <c r="N5" s="141" t="s">
        <v>598</v>
      </c>
      <c r="O5" s="141"/>
      <c r="P5" s="141" t="s">
        <v>599</v>
      </c>
      <c r="Q5" s="141"/>
      <c r="R5" s="141" t="s">
        <v>600</v>
      </c>
      <c r="S5" s="141"/>
      <c r="T5" s="141" t="s">
        <v>601</v>
      </c>
      <c r="U5" s="141"/>
      <c r="V5" s="141" t="s">
        <v>602</v>
      </c>
      <c r="W5" s="141"/>
      <c r="X5" s="141" t="s">
        <v>603</v>
      </c>
      <c r="Y5" s="141"/>
      <c r="Z5" s="141" t="s">
        <v>604</v>
      </c>
      <c r="AA5" s="141"/>
      <c r="AB5" s="141" t="s">
        <v>605</v>
      </c>
      <c r="AC5" s="141"/>
    </row>
    <row r="6" spans="1:29">
      <c r="A6" s="141"/>
      <c r="B6" s="141"/>
      <c r="C6" s="141"/>
      <c r="D6" s="141"/>
      <c r="E6" s="156"/>
      <c r="F6" s="133" t="s">
        <v>606</v>
      </c>
      <c r="G6" s="133" t="s">
        <v>607</v>
      </c>
      <c r="H6" s="133" t="s">
        <v>606</v>
      </c>
      <c r="I6" s="133" t="s">
        <v>607</v>
      </c>
      <c r="J6" s="133" t="s">
        <v>606</v>
      </c>
      <c r="K6" s="133" t="s">
        <v>607</v>
      </c>
      <c r="L6" s="133" t="s">
        <v>606</v>
      </c>
      <c r="M6" s="133" t="s">
        <v>607</v>
      </c>
      <c r="N6" s="133" t="s">
        <v>606</v>
      </c>
      <c r="O6" s="133" t="s">
        <v>607</v>
      </c>
      <c r="P6" s="133" t="s">
        <v>606</v>
      </c>
      <c r="Q6" s="133" t="s">
        <v>607</v>
      </c>
      <c r="R6" s="133" t="s">
        <v>606</v>
      </c>
      <c r="S6" s="133" t="s">
        <v>607</v>
      </c>
      <c r="T6" s="133" t="s">
        <v>606</v>
      </c>
      <c r="U6" s="133" t="s">
        <v>607</v>
      </c>
      <c r="V6" s="133" t="s">
        <v>606</v>
      </c>
      <c r="W6" s="133" t="s">
        <v>607</v>
      </c>
      <c r="X6" s="133" t="s">
        <v>606</v>
      </c>
      <c r="Y6" s="133" t="s">
        <v>607</v>
      </c>
      <c r="Z6" s="133" t="s">
        <v>606</v>
      </c>
      <c r="AA6" s="133" t="s">
        <v>607</v>
      </c>
      <c r="AB6" s="133" t="s">
        <v>606</v>
      </c>
      <c r="AC6" s="133" t="s">
        <v>607</v>
      </c>
    </row>
    <row r="7" spans="1:29">
      <c r="A7" s="131">
        <v>1</v>
      </c>
      <c r="B7" s="131" t="s">
        <v>27</v>
      </c>
      <c r="C7" s="131" t="s">
        <v>26</v>
      </c>
      <c r="D7" s="131">
        <v>28410856</v>
      </c>
      <c r="E7" s="1" t="s">
        <v>25</v>
      </c>
      <c r="F7" s="134">
        <v>1</v>
      </c>
      <c r="G7" s="134"/>
      <c r="H7" s="134"/>
      <c r="I7" s="134"/>
      <c r="J7" s="134"/>
      <c r="K7" s="134"/>
      <c r="L7" s="134"/>
      <c r="M7" s="134"/>
      <c r="O7" s="134"/>
      <c r="Q7" s="134"/>
      <c r="R7" s="134"/>
      <c r="S7" s="134"/>
      <c r="T7" s="134"/>
      <c r="U7" s="134"/>
      <c r="Y7" s="137"/>
    </row>
    <row r="8" spans="1:29">
      <c r="A8" s="132">
        <v>2</v>
      </c>
      <c r="B8" s="132" t="s">
        <v>36</v>
      </c>
      <c r="C8" s="132" t="s">
        <v>35</v>
      </c>
      <c r="D8" s="132">
        <v>30849611</v>
      </c>
      <c r="E8" s="1" t="s">
        <v>34</v>
      </c>
      <c r="F8" s="135">
        <v>1</v>
      </c>
      <c r="G8" s="135"/>
      <c r="H8" s="135">
        <v>2</v>
      </c>
      <c r="I8" s="135"/>
      <c r="J8" s="135"/>
      <c r="K8" s="135"/>
      <c r="L8" s="135"/>
      <c r="M8" s="135"/>
      <c r="O8" s="135"/>
      <c r="Q8" s="135"/>
      <c r="R8" s="135"/>
      <c r="S8" s="135"/>
      <c r="T8" s="135"/>
      <c r="U8" s="135"/>
      <c r="Y8" s="139"/>
    </row>
    <row r="9" spans="1:29">
      <c r="A9" s="131">
        <v>3</v>
      </c>
      <c r="B9" s="131" t="s">
        <v>44</v>
      </c>
      <c r="C9" s="131" t="s">
        <v>43</v>
      </c>
      <c r="D9" s="131">
        <v>29666935</v>
      </c>
      <c r="E9" s="1" t="s">
        <v>42</v>
      </c>
      <c r="F9" s="136">
        <v>1</v>
      </c>
      <c r="G9" s="136"/>
      <c r="H9" s="136">
        <v>5</v>
      </c>
      <c r="I9" s="136"/>
      <c r="J9" s="136">
        <v>3</v>
      </c>
      <c r="K9" s="136"/>
      <c r="L9" s="136">
        <v>3</v>
      </c>
      <c r="M9" s="136"/>
      <c r="O9" s="136">
        <v>3</v>
      </c>
      <c r="Q9" s="136"/>
      <c r="R9" s="136">
        <v>3</v>
      </c>
      <c r="S9" s="136">
        <v>1</v>
      </c>
      <c r="T9" s="136"/>
      <c r="U9" s="136">
        <v>1</v>
      </c>
      <c r="Y9" s="137"/>
    </row>
    <row r="10" spans="1:29">
      <c r="A10" s="132">
        <v>4</v>
      </c>
      <c r="B10" s="132" t="s">
        <v>53</v>
      </c>
      <c r="C10" s="132" t="s">
        <v>52</v>
      </c>
      <c r="D10" s="132">
        <v>30765878</v>
      </c>
      <c r="E10" s="1" t="s">
        <v>51</v>
      </c>
      <c r="F10" s="135">
        <v>1</v>
      </c>
      <c r="G10" s="135">
        <v>2</v>
      </c>
      <c r="H10" s="135"/>
      <c r="I10" s="135"/>
      <c r="J10" s="135"/>
      <c r="K10" s="135"/>
      <c r="L10" s="135"/>
      <c r="M10" s="135">
        <v>1</v>
      </c>
      <c r="O10" s="135"/>
      <c r="Q10" s="135"/>
      <c r="R10" s="135"/>
      <c r="S10" s="135"/>
      <c r="T10" s="135"/>
      <c r="U10" s="135"/>
      <c r="Y10" s="139"/>
    </row>
    <row r="11" spans="1:29">
      <c r="A11" s="131">
        <v>5</v>
      </c>
      <c r="B11" s="131" t="s">
        <v>61</v>
      </c>
      <c r="C11" s="131" t="s">
        <v>60</v>
      </c>
      <c r="D11" s="131">
        <v>32729082</v>
      </c>
      <c r="E11" s="1" t="s">
        <v>59</v>
      </c>
      <c r="F11" s="136"/>
      <c r="G11" s="136"/>
      <c r="H11" s="136"/>
      <c r="I11" s="136"/>
      <c r="J11" s="136">
        <v>2</v>
      </c>
      <c r="K11" s="109"/>
      <c r="L11" s="109"/>
      <c r="M11" s="109"/>
      <c r="O11" s="109"/>
      <c r="Q11" s="109"/>
      <c r="R11" s="109"/>
      <c r="S11" s="109"/>
      <c r="T11" s="109"/>
      <c r="U11" s="109"/>
      <c r="Y11" s="137"/>
    </row>
    <row r="12" spans="1:29">
      <c r="A12" s="131">
        <v>6</v>
      </c>
      <c r="B12" s="132" t="s">
        <v>69</v>
      </c>
      <c r="C12" s="132" t="s">
        <v>68</v>
      </c>
      <c r="D12" s="132">
        <v>31071592</v>
      </c>
      <c r="E12" s="1" t="s">
        <v>67</v>
      </c>
      <c r="F12" s="135"/>
      <c r="G12" s="135"/>
      <c r="H12" s="135">
        <v>1</v>
      </c>
      <c r="I12" s="135">
        <v>2</v>
      </c>
      <c r="J12" s="135">
        <v>2</v>
      </c>
      <c r="K12" s="135"/>
      <c r="L12" s="135"/>
      <c r="M12" s="135"/>
      <c r="O12" s="135"/>
      <c r="Q12" s="135"/>
      <c r="R12" s="135"/>
      <c r="S12" s="135"/>
      <c r="T12" s="139">
        <v>2</v>
      </c>
      <c r="U12" s="139">
        <v>1</v>
      </c>
      <c r="Y12" s="139"/>
    </row>
    <row r="13" spans="1:29">
      <c r="A13" s="132">
        <v>7</v>
      </c>
      <c r="B13" s="131" t="s">
        <v>77</v>
      </c>
      <c r="C13" s="131" t="s">
        <v>76</v>
      </c>
      <c r="D13" s="131">
        <v>32491310</v>
      </c>
      <c r="E13" s="1" t="s">
        <v>75</v>
      </c>
      <c r="F13" s="136"/>
      <c r="G13" s="136"/>
      <c r="H13" s="136"/>
      <c r="I13" s="136"/>
      <c r="J13" s="136"/>
      <c r="K13" s="136"/>
      <c r="L13" s="136"/>
      <c r="M13" s="136"/>
      <c r="O13" s="136"/>
      <c r="Q13" s="136"/>
      <c r="R13" s="136"/>
      <c r="S13" s="136"/>
      <c r="T13" s="136"/>
      <c r="U13" s="136"/>
      <c r="Y13" s="137"/>
    </row>
    <row r="14" spans="1:29">
      <c r="A14" s="131">
        <v>8</v>
      </c>
      <c r="B14" s="132" t="s">
        <v>85</v>
      </c>
      <c r="C14" s="132" t="s">
        <v>84</v>
      </c>
      <c r="D14" s="132">
        <v>31988236</v>
      </c>
      <c r="E14" s="1" t="s">
        <v>83</v>
      </c>
      <c r="F14" s="135"/>
      <c r="G14" s="135"/>
      <c r="H14" s="135"/>
      <c r="I14" s="135"/>
      <c r="J14" s="135"/>
      <c r="K14" s="135"/>
      <c r="L14" s="135"/>
      <c r="M14" s="135">
        <v>1</v>
      </c>
      <c r="O14" s="135"/>
      <c r="Q14" s="135"/>
      <c r="R14" s="135"/>
      <c r="S14" s="135"/>
      <c r="T14" s="135"/>
      <c r="U14" s="135"/>
      <c r="Y14" s="139"/>
    </row>
    <row r="15" spans="1:29">
      <c r="A15" s="132">
        <v>9</v>
      </c>
      <c r="B15" s="131" t="s">
        <v>94</v>
      </c>
      <c r="C15" s="131" t="s">
        <v>93</v>
      </c>
      <c r="D15" s="131">
        <v>31112818</v>
      </c>
      <c r="E15" s="1" t="s">
        <v>92</v>
      </c>
      <c r="F15" s="136"/>
      <c r="G15" s="136"/>
      <c r="H15" s="136"/>
      <c r="I15" s="136"/>
      <c r="J15" s="136"/>
      <c r="K15" s="137">
        <v>2</v>
      </c>
      <c r="L15" s="138"/>
      <c r="M15" s="136">
        <v>1</v>
      </c>
      <c r="O15" s="136"/>
      <c r="Q15" s="136">
        <v>2</v>
      </c>
      <c r="R15" s="136"/>
      <c r="S15" s="137">
        <v>2</v>
      </c>
      <c r="T15" s="137"/>
      <c r="U15" s="137"/>
      <c r="Y15" s="137"/>
    </row>
    <row r="16" spans="1:29">
      <c r="A16" s="131">
        <v>10</v>
      </c>
      <c r="B16" s="132" t="s">
        <v>103</v>
      </c>
      <c r="C16" s="132" t="s">
        <v>102</v>
      </c>
      <c r="D16" s="132">
        <v>30030485</v>
      </c>
      <c r="E16" s="1" t="s">
        <v>101</v>
      </c>
      <c r="F16" s="135"/>
      <c r="G16" s="135"/>
      <c r="H16" s="135"/>
      <c r="I16" s="135"/>
      <c r="J16" s="135"/>
      <c r="K16" s="135"/>
      <c r="L16" s="135"/>
      <c r="M16" s="135"/>
      <c r="O16" s="135"/>
      <c r="Q16" s="135"/>
      <c r="R16" s="135"/>
      <c r="S16" s="135"/>
      <c r="T16" s="135"/>
      <c r="U16" s="135"/>
      <c r="Y16" s="139">
        <v>2</v>
      </c>
    </row>
    <row r="17" spans="1:25">
      <c r="A17" s="131">
        <v>11</v>
      </c>
      <c r="B17" s="131" t="s">
        <v>111</v>
      </c>
      <c r="C17" s="131" t="s">
        <v>110</v>
      </c>
      <c r="D17" s="131">
        <v>30793086</v>
      </c>
      <c r="E17" s="1" t="s">
        <v>109</v>
      </c>
      <c r="F17" s="136"/>
      <c r="G17" s="136"/>
      <c r="H17" s="136"/>
      <c r="I17" s="136"/>
      <c r="J17" s="136"/>
      <c r="K17" s="136"/>
      <c r="L17" s="136"/>
      <c r="M17" s="136"/>
      <c r="O17" s="136"/>
      <c r="Q17" s="136"/>
      <c r="R17" s="136"/>
      <c r="S17" s="136"/>
      <c r="T17" s="136"/>
      <c r="U17" s="136"/>
      <c r="Y17" s="137"/>
    </row>
    <row r="18" spans="1:25">
      <c r="A18" s="132">
        <v>12</v>
      </c>
      <c r="B18" s="132" t="s">
        <v>119</v>
      </c>
      <c r="C18" s="132" t="s">
        <v>118</v>
      </c>
      <c r="D18" s="132">
        <v>32242412</v>
      </c>
      <c r="E18" s="1" t="s">
        <v>117</v>
      </c>
      <c r="F18" s="135"/>
      <c r="G18" s="135"/>
      <c r="H18" s="135"/>
      <c r="I18" s="135"/>
      <c r="J18" s="135"/>
      <c r="K18" s="135"/>
      <c r="L18" s="135">
        <v>1</v>
      </c>
      <c r="M18" s="135"/>
      <c r="O18" s="135">
        <v>1</v>
      </c>
      <c r="Q18" s="135"/>
      <c r="R18" s="135">
        <v>3</v>
      </c>
      <c r="S18" s="135">
        <v>1</v>
      </c>
      <c r="T18" s="135">
        <v>1</v>
      </c>
      <c r="U18" s="135"/>
      <c r="Y18" s="139">
        <v>1</v>
      </c>
    </row>
    <row r="19" spans="1:25">
      <c r="A19" s="131">
        <v>13</v>
      </c>
      <c r="B19" s="131" t="s">
        <v>94</v>
      </c>
      <c r="C19" s="131" t="s">
        <v>127</v>
      </c>
      <c r="D19" s="131">
        <v>30598031</v>
      </c>
      <c r="E19" s="1" t="s">
        <v>126</v>
      </c>
      <c r="F19" s="136"/>
      <c r="G19" s="136"/>
      <c r="H19" s="136">
        <v>2</v>
      </c>
      <c r="I19" s="136"/>
      <c r="J19" s="136">
        <v>2</v>
      </c>
      <c r="K19" s="136"/>
      <c r="L19" s="136"/>
      <c r="M19" s="136">
        <v>2</v>
      </c>
      <c r="O19" s="136"/>
      <c r="Q19" s="138">
        <v>1</v>
      </c>
      <c r="R19" s="136">
        <v>2</v>
      </c>
      <c r="S19" s="136"/>
      <c r="T19" s="136"/>
      <c r="U19" s="136"/>
      <c r="Y19" s="137"/>
    </row>
    <row r="20" spans="1:25">
      <c r="A20" s="132">
        <v>14</v>
      </c>
      <c r="B20" s="132" t="s">
        <v>136</v>
      </c>
      <c r="C20" s="132" t="s">
        <v>135</v>
      </c>
      <c r="D20" s="132">
        <v>31852058</v>
      </c>
      <c r="E20" s="1" t="s">
        <v>134</v>
      </c>
      <c r="F20" s="135"/>
      <c r="G20" s="135"/>
      <c r="H20" s="135"/>
      <c r="I20" s="135">
        <v>3</v>
      </c>
      <c r="J20" s="135">
        <v>2</v>
      </c>
      <c r="K20" s="135">
        <v>1</v>
      </c>
      <c r="L20" s="135">
        <v>1</v>
      </c>
      <c r="M20" s="135">
        <v>1</v>
      </c>
      <c r="O20" s="135"/>
      <c r="Q20" s="135"/>
      <c r="R20" s="135">
        <v>1</v>
      </c>
      <c r="S20" s="135">
        <v>1</v>
      </c>
      <c r="T20" s="135">
        <v>1</v>
      </c>
      <c r="U20" s="135">
        <v>1</v>
      </c>
      <c r="Y20" s="139">
        <v>1</v>
      </c>
    </row>
    <row r="21" spans="1:25">
      <c r="A21" s="131">
        <v>15</v>
      </c>
      <c r="B21" s="131" t="s">
        <v>44</v>
      </c>
      <c r="C21" s="131" t="s">
        <v>143</v>
      </c>
      <c r="D21" s="131">
        <v>30114012</v>
      </c>
      <c r="E21" s="1" t="s">
        <v>142</v>
      </c>
      <c r="F21" s="136">
        <v>2</v>
      </c>
      <c r="G21" s="136"/>
      <c r="H21" s="136">
        <v>1</v>
      </c>
      <c r="I21" s="136">
        <v>1</v>
      </c>
      <c r="J21" s="136"/>
      <c r="K21" s="136">
        <v>1</v>
      </c>
      <c r="L21" s="136"/>
      <c r="M21" s="136"/>
      <c r="O21" s="136">
        <v>3</v>
      </c>
      <c r="Q21" s="136"/>
      <c r="R21" s="136"/>
      <c r="S21" s="136">
        <v>1</v>
      </c>
      <c r="T21" s="136">
        <v>1</v>
      </c>
      <c r="U21" s="136"/>
      <c r="Y21" s="137"/>
    </row>
    <row r="22" spans="1:25">
      <c r="A22" s="131">
        <v>16</v>
      </c>
      <c r="B22" s="132" t="s">
        <v>151</v>
      </c>
      <c r="C22" s="132" t="s">
        <v>150</v>
      </c>
      <c r="D22" s="132">
        <v>26954417</v>
      </c>
      <c r="E22" s="1" t="s">
        <v>149</v>
      </c>
      <c r="F22" s="135"/>
      <c r="G22" s="135"/>
      <c r="H22" s="135"/>
      <c r="I22" s="135"/>
      <c r="J22" s="135"/>
      <c r="K22" s="135"/>
      <c r="L22" s="135"/>
      <c r="M22" s="135"/>
      <c r="O22" s="135"/>
      <c r="Q22" s="135"/>
      <c r="R22" s="135"/>
      <c r="S22" s="135"/>
      <c r="T22" s="135"/>
      <c r="U22" s="135"/>
      <c r="Y22" s="139"/>
    </row>
    <row r="23" spans="1:25">
      <c r="A23" s="132">
        <v>17</v>
      </c>
      <c r="B23" s="131" t="s">
        <v>159</v>
      </c>
      <c r="C23" s="131" t="s">
        <v>158</v>
      </c>
      <c r="D23" s="131">
        <v>31448943</v>
      </c>
      <c r="E23" s="1" t="s">
        <v>157</v>
      </c>
      <c r="F23" s="136">
        <v>2</v>
      </c>
      <c r="G23" s="136">
        <v>1</v>
      </c>
      <c r="H23" s="136"/>
      <c r="I23" s="136"/>
      <c r="J23" s="136">
        <v>2</v>
      </c>
      <c r="K23" s="136"/>
      <c r="L23" s="136"/>
      <c r="M23" s="136"/>
      <c r="O23" s="136"/>
      <c r="Q23" s="136"/>
      <c r="R23" s="136"/>
      <c r="S23" s="136"/>
      <c r="T23" s="136"/>
      <c r="U23" s="136"/>
      <c r="Y23" s="137"/>
    </row>
    <row r="24" spans="1:25">
      <c r="A24" s="131">
        <v>18</v>
      </c>
      <c r="B24" s="132" t="s">
        <v>168</v>
      </c>
      <c r="C24" s="132" t="s">
        <v>167</v>
      </c>
      <c r="D24" s="132">
        <v>31423000</v>
      </c>
      <c r="E24" s="1" t="s">
        <v>166</v>
      </c>
      <c r="F24" s="135"/>
      <c r="G24" s="135"/>
      <c r="H24" s="135"/>
      <c r="I24" s="135"/>
      <c r="J24" s="135"/>
      <c r="K24" s="135">
        <v>1</v>
      </c>
      <c r="L24" s="135"/>
      <c r="M24" s="135"/>
      <c r="O24" s="135"/>
      <c r="Q24" s="135">
        <v>1</v>
      </c>
      <c r="R24" s="135"/>
      <c r="S24" s="135"/>
      <c r="T24" s="135">
        <v>1</v>
      </c>
      <c r="U24" s="135"/>
      <c r="Y24" s="139"/>
    </row>
    <row r="25" spans="1:25">
      <c r="A25" s="132">
        <v>19</v>
      </c>
      <c r="B25" s="131" t="s">
        <v>177</v>
      </c>
      <c r="C25" s="131" t="s">
        <v>176</v>
      </c>
      <c r="D25" s="131">
        <v>31046285</v>
      </c>
      <c r="E25" s="1" t="s">
        <v>175</v>
      </c>
      <c r="F25" s="136"/>
      <c r="G25" s="136"/>
      <c r="H25" s="136"/>
      <c r="I25" s="136"/>
      <c r="J25" s="136"/>
      <c r="K25" s="136"/>
      <c r="L25" s="136"/>
      <c r="M25" s="136"/>
      <c r="O25" s="136">
        <v>1</v>
      </c>
      <c r="Q25" s="136"/>
      <c r="R25" s="136"/>
      <c r="S25" s="136"/>
      <c r="T25" s="136"/>
      <c r="U25" s="136"/>
      <c r="Y25" s="137"/>
    </row>
    <row r="26" spans="1:25">
      <c r="A26" s="131">
        <v>20</v>
      </c>
      <c r="B26" s="132" t="s">
        <v>185</v>
      </c>
      <c r="C26" s="132" t="s">
        <v>184</v>
      </c>
      <c r="D26" s="132">
        <v>31255343</v>
      </c>
      <c r="E26" s="1" t="s">
        <v>183</v>
      </c>
      <c r="F26" s="135"/>
      <c r="G26" s="135"/>
      <c r="H26" s="135">
        <v>1</v>
      </c>
      <c r="I26" s="135">
        <v>1</v>
      </c>
      <c r="J26" s="135"/>
      <c r="K26" s="135"/>
      <c r="L26" s="135">
        <v>1</v>
      </c>
      <c r="M26" s="135"/>
      <c r="O26" s="135"/>
      <c r="Q26" s="135"/>
      <c r="R26" s="135"/>
      <c r="S26" s="135"/>
      <c r="T26" s="135"/>
      <c r="U26" s="135"/>
      <c r="Y26" s="139"/>
    </row>
    <row r="27" spans="1:25">
      <c r="A27" s="131">
        <v>21</v>
      </c>
      <c r="B27" s="131" t="s">
        <v>194</v>
      </c>
      <c r="C27" s="131" t="s">
        <v>193</v>
      </c>
      <c r="D27" s="131">
        <v>32401366</v>
      </c>
      <c r="E27" s="1" t="s">
        <v>192</v>
      </c>
      <c r="F27" s="136"/>
      <c r="G27" s="136"/>
      <c r="H27" s="136"/>
      <c r="I27" s="136"/>
      <c r="J27" s="136"/>
      <c r="K27" s="136"/>
      <c r="L27" s="136"/>
      <c r="M27" s="136"/>
      <c r="O27" s="136"/>
      <c r="Q27" s="136"/>
      <c r="R27" s="136"/>
      <c r="S27" s="136"/>
      <c r="T27" s="136"/>
      <c r="U27" s="136"/>
      <c r="Y27" s="137">
        <v>2</v>
      </c>
    </row>
    <row r="28" spans="1:25">
      <c r="A28" s="132">
        <v>22</v>
      </c>
      <c r="B28" s="132" t="s">
        <v>202</v>
      </c>
      <c r="C28" s="132" t="s">
        <v>201</v>
      </c>
      <c r="D28" s="132">
        <v>32121917</v>
      </c>
      <c r="E28" s="1" t="s">
        <v>200</v>
      </c>
      <c r="F28" s="135"/>
      <c r="G28" s="135"/>
      <c r="H28" s="135">
        <v>2</v>
      </c>
      <c r="I28" s="135">
        <v>2</v>
      </c>
      <c r="J28" s="135"/>
      <c r="K28" s="135">
        <v>1</v>
      </c>
      <c r="L28" s="135">
        <v>2</v>
      </c>
      <c r="M28" s="135">
        <v>2</v>
      </c>
      <c r="O28" s="135">
        <v>1</v>
      </c>
      <c r="Q28" s="135">
        <v>2</v>
      </c>
      <c r="R28" s="135"/>
      <c r="S28" s="135">
        <v>1</v>
      </c>
      <c r="T28" s="139">
        <v>2</v>
      </c>
      <c r="U28" s="140"/>
      <c r="Y28" s="139">
        <v>2</v>
      </c>
    </row>
    <row r="29" spans="1:25">
      <c r="A29" s="131">
        <v>23</v>
      </c>
      <c r="B29" s="131" t="s">
        <v>210</v>
      </c>
      <c r="C29" s="131" t="s">
        <v>209</v>
      </c>
      <c r="D29" s="131">
        <v>33921124</v>
      </c>
      <c r="E29" s="1" t="s">
        <v>208</v>
      </c>
      <c r="F29" s="136"/>
      <c r="G29" s="136"/>
      <c r="H29" s="136"/>
      <c r="I29" s="136"/>
      <c r="J29" s="136"/>
      <c r="K29" s="136"/>
      <c r="L29" s="136"/>
      <c r="M29" s="136"/>
      <c r="O29" s="136"/>
      <c r="Q29" s="136"/>
      <c r="R29" s="136">
        <v>1</v>
      </c>
      <c r="S29" s="136">
        <v>1</v>
      </c>
      <c r="T29" s="136"/>
      <c r="U29" s="136"/>
      <c r="Y29" s="137">
        <v>1</v>
      </c>
    </row>
    <row r="30" spans="1:25">
      <c r="A30" s="132">
        <v>24</v>
      </c>
      <c r="B30" s="132" t="s">
        <v>112</v>
      </c>
      <c r="C30" s="132" t="s">
        <v>217</v>
      </c>
      <c r="D30" s="132">
        <v>31703910</v>
      </c>
      <c r="E30" s="1" t="s">
        <v>216</v>
      </c>
      <c r="F30" s="135"/>
      <c r="G30" s="135"/>
      <c r="H30" s="135"/>
      <c r="I30" s="135">
        <v>2</v>
      </c>
      <c r="J30" s="135"/>
      <c r="K30" s="135"/>
      <c r="L30" s="135"/>
      <c r="M30" s="135"/>
      <c r="O30" s="135"/>
      <c r="Q30" s="135"/>
      <c r="R30" s="135"/>
      <c r="S30" s="135"/>
      <c r="T30" s="135"/>
      <c r="U30" s="135">
        <v>1</v>
      </c>
      <c r="Y30" s="139"/>
    </row>
    <row r="31" spans="1:25">
      <c r="A31" s="131">
        <v>25</v>
      </c>
      <c r="B31" s="131" t="s">
        <v>226</v>
      </c>
      <c r="C31" s="131" t="s">
        <v>225</v>
      </c>
      <c r="D31" s="131">
        <v>32122110</v>
      </c>
      <c r="E31" s="1" t="s">
        <v>224</v>
      </c>
      <c r="F31" s="136">
        <v>1</v>
      </c>
      <c r="G31" s="136"/>
      <c r="H31" s="136">
        <v>2</v>
      </c>
      <c r="I31" s="136"/>
      <c r="J31" s="136"/>
      <c r="K31" s="137">
        <v>2</v>
      </c>
      <c r="L31" s="138"/>
      <c r="M31" s="138"/>
      <c r="O31" s="138"/>
      <c r="Q31" s="136">
        <v>2</v>
      </c>
      <c r="R31" s="136">
        <v>2</v>
      </c>
      <c r="S31" s="136"/>
      <c r="T31" s="136"/>
      <c r="U31" s="136"/>
      <c r="Y31" s="137">
        <v>1</v>
      </c>
    </row>
    <row r="32" spans="1:25">
      <c r="A32" s="131">
        <v>26</v>
      </c>
      <c r="B32" s="132" t="s">
        <v>235</v>
      </c>
      <c r="C32" s="132" t="s">
        <v>234</v>
      </c>
      <c r="D32" s="132">
        <v>30720123</v>
      </c>
      <c r="E32" s="1" t="s">
        <v>233</v>
      </c>
      <c r="F32" s="135"/>
      <c r="G32" s="135"/>
      <c r="H32" s="135"/>
      <c r="I32" s="135"/>
      <c r="J32" s="135"/>
      <c r="K32" s="135"/>
      <c r="L32" s="135"/>
      <c r="M32" s="135"/>
      <c r="O32" s="135"/>
      <c r="Q32" s="135"/>
      <c r="R32" s="135"/>
      <c r="S32" s="135"/>
      <c r="T32" s="135"/>
      <c r="U32" s="135"/>
      <c r="Y32" s="139"/>
    </row>
    <row r="33" spans="1:25">
      <c r="A33" s="132">
        <v>27</v>
      </c>
      <c r="B33" s="131" t="s">
        <v>243</v>
      </c>
      <c r="C33" s="131" t="s">
        <v>242</v>
      </c>
      <c r="D33" s="131">
        <v>29895575</v>
      </c>
      <c r="E33" s="1" t="s">
        <v>241</v>
      </c>
      <c r="F33" s="136"/>
      <c r="G33" s="136"/>
      <c r="H33" s="136"/>
      <c r="I33" s="136"/>
      <c r="J33" s="136">
        <v>2</v>
      </c>
      <c r="K33" s="136"/>
      <c r="L33" s="136">
        <v>2</v>
      </c>
      <c r="M33" s="136">
        <v>1</v>
      </c>
      <c r="O33" s="136">
        <v>2</v>
      </c>
      <c r="Q33" s="136"/>
      <c r="R33" s="136">
        <v>2</v>
      </c>
      <c r="S33" s="134">
        <v>2</v>
      </c>
      <c r="T33" s="134"/>
      <c r="U33" s="134"/>
      <c r="Y33" s="137"/>
    </row>
    <row r="34" spans="1:25">
      <c r="A34" s="131">
        <v>28</v>
      </c>
      <c r="B34" s="132" t="s">
        <v>252</v>
      </c>
      <c r="C34" s="132" t="s">
        <v>251</v>
      </c>
      <c r="D34" s="132">
        <v>31615220</v>
      </c>
      <c r="E34" s="1" t="s">
        <v>250</v>
      </c>
      <c r="F34" s="135"/>
      <c r="G34" s="135"/>
      <c r="H34" s="135"/>
      <c r="I34" s="135"/>
      <c r="J34" s="135"/>
      <c r="K34" s="135"/>
      <c r="L34" s="135"/>
      <c r="M34" s="135"/>
      <c r="O34" s="135"/>
      <c r="Q34" s="135"/>
      <c r="R34" s="135"/>
      <c r="S34" s="135"/>
      <c r="T34" s="135"/>
      <c r="U34" s="135"/>
      <c r="Y34" s="139"/>
    </row>
    <row r="35" spans="1:25">
      <c r="A35" s="132">
        <v>29</v>
      </c>
      <c r="B35" s="131" t="s">
        <v>61</v>
      </c>
      <c r="C35" s="131" t="s">
        <v>260</v>
      </c>
      <c r="D35" s="131">
        <v>30022208</v>
      </c>
      <c r="E35" s="1" t="s">
        <v>259</v>
      </c>
      <c r="F35" s="136"/>
      <c r="G35" s="136">
        <v>1</v>
      </c>
      <c r="H35" s="136"/>
      <c r="I35" s="136"/>
      <c r="J35" s="136"/>
      <c r="K35" s="136"/>
      <c r="L35" s="136"/>
      <c r="M35" s="136">
        <v>2</v>
      </c>
      <c r="O35" s="136"/>
      <c r="Q35" s="136"/>
      <c r="R35" s="136">
        <v>1</v>
      </c>
      <c r="S35" s="136"/>
      <c r="T35" s="136"/>
      <c r="U35" s="136"/>
      <c r="Y35" s="137">
        <v>1</v>
      </c>
    </row>
    <row r="36" spans="1:25">
      <c r="A36" s="131">
        <v>30</v>
      </c>
      <c r="B36" s="132" t="s">
        <v>268</v>
      </c>
      <c r="C36" s="132" t="s">
        <v>267</v>
      </c>
      <c r="D36" s="132">
        <v>31963201</v>
      </c>
      <c r="E36" s="1" t="s">
        <v>266</v>
      </c>
      <c r="F36" s="135"/>
      <c r="G36" s="135"/>
      <c r="H36" s="135"/>
      <c r="I36" s="135"/>
      <c r="J36" s="135"/>
      <c r="K36" s="135">
        <v>1</v>
      </c>
      <c r="L36" s="135"/>
      <c r="M36" s="135"/>
      <c r="O36" s="135"/>
      <c r="Q36" s="135"/>
      <c r="R36" s="135">
        <v>1</v>
      </c>
      <c r="S36" s="135"/>
      <c r="T36" s="135"/>
      <c r="U36" s="135"/>
      <c r="Y36" s="139"/>
    </row>
  </sheetData>
  <mergeCells count="17">
    <mergeCell ref="AB5:AC5"/>
    <mergeCell ref="R5:S5"/>
    <mergeCell ref="T5:U5"/>
    <mergeCell ref="V5:W5"/>
    <mergeCell ref="X5:Y5"/>
    <mergeCell ref="Z5:AA5"/>
    <mergeCell ref="H5:I5"/>
    <mergeCell ref="J5:K5"/>
    <mergeCell ref="L5:M5"/>
    <mergeCell ref="N5:O5"/>
    <mergeCell ref="P5:Q5"/>
    <mergeCell ref="A5:A6"/>
    <mergeCell ref="B5:B6"/>
    <mergeCell ref="C5:C6"/>
    <mergeCell ref="D5:D6"/>
    <mergeCell ref="F5:G5"/>
    <mergeCell ref="E5:E6"/>
  </mergeCells>
  <phoneticPr fontId="31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8" customWidth="1"/>
    <col min="4" max="4" width="16" customWidth="1"/>
  </cols>
  <sheetData>
    <row r="1">
      <c r="A1" t="inlineStr">
        <is>
          <t xml:space="preserve">semana</t>
        </is>
      </c>
      <c r="B1" t="inlineStr">
        <is>
          <t xml:space="preserve">dia_sesion</t>
        </is>
      </c>
      <c r="C1" t="inlineStr">
        <is>
          <t xml:space="preserve">tema</t>
        </is>
      </c>
      <c r="D1" t="inlineStr">
        <is>
          <t xml:space="preserve">tipo_sesion</t>
        </is>
      </c>
    </row>
    <row r="2">
      <c r="A2">
        <v>1</v>
      </c>
      <c r="B2">
        <v>1</v>
      </c>
      <c r="C2">
        <v>0</v>
      </c>
      <c r="D2" t="inlineStr">
        <is>
          <t xml:space="preserve">administrativa</t>
        </is>
      </c>
    </row>
    <row r="3">
      <c r="A3">
        <v>1</v>
      </c>
      <c r="B3">
        <v>2</v>
      </c>
      <c r="C3">
        <v>1</v>
      </c>
    </row>
    <row r="4">
      <c r="A4">
        <v>2</v>
      </c>
      <c r="B4">
        <v>1</v>
      </c>
      <c r="C4">
        <v>2</v>
      </c>
    </row>
    <row r="5">
      <c r="A5">
        <v>2</v>
      </c>
      <c r="B5">
        <v>2</v>
      </c>
      <c r="C5">
        <v>3</v>
      </c>
    </row>
    <row r="6">
      <c r="A6">
        <v>3</v>
      </c>
      <c r="B6">
        <v>1</v>
      </c>
      <c r="C6">
        <v>4</v>
      </c>
    </row>
    <row r="7">
      <c r="A7">
        <v>3</v>
      </c>
      <c r="B7">
        <v>2</v>
      </c>
      <c r="C7">
        <v>4</v>
      </c>
    </row>
    <row r="8">
      <c r="A8">
        <v>4</v>
      </c>
      <c r="B8">
        <v>1</v>
      </c>
      <c r="C8">
        <v>5</v>
      </c>
    </row>
    <row r="9">
      <c r="A9">
        <v>4</v>
      </c>
      <c r="B9">
        <v>2</v>
      </c>
      <c r="C9">
        <v>0</v>
      </c>
      <c r="D9" t="inlineStr">
        <is>
          <t xml:space="preserve">repaso</t>
        </is>
      </c>
    </row>
    <row r="10">
      <c r="A10">
        <v>5</v>
      </c>
      <c r="B10">
        <v>1</v>
      </c>
      <c r="C10">
        <v>0</v>
      </c>
      <c r="D10" t="inlineStr">
        <is>
          <t xml:space="preserve">evaluacion</t>
        </is>
      </c>
    </row>
    <row r="11">
      <c r="A11">
        <v>5</v>
      </c>
      <c r="B11">
        <v>2</v>
      </c>
      <c r="C11">
        <v>6</v>
      </c>
    </row>
    <row r="12">
      <c r="A12">
        <v>6</v>
      </c>
      <c r="B12">
        <v>1</v>
      </c>
      <c r="C12">
        <v>0</v>
      </c>
      <c r="D12" t="inlineStr">
        <is>
          <t xml:space="preserve">evaluacion</t>
        </is>
      </c>
    </row>
    <row r="13">
      <c r="A13">
        <v>6</v>
      </c>
      <c r="B13">
        <v>2</v>
      </c>
      <c r="C13">
        <v>6</v>
      </c>
    </row>
    <row r="14">
      <c r="A14">
        <v>7</v>
      </c>
      <c r="B14">
        <v>1</v>
      </c>
      <c r="C14">
        <v>6</v>
      </c>
    </row>
    <row r="15">
      <c r="A15">
        <v>7</v>
      </c>
      <c r="B15">
        <v>2</v>
      </c>
      <c r="C15">
        <v>11</v>
      </c>
    </row>
    <row r="16">
      <c r="A16">
        <v>8</v>
      </c>
      <c r="B16">
        <v>1</v>
      </c>
      <c r="C16">
        <v>9</v>
      </c>
    </row>
    <row r="17">
      <c r="A17">
        <v>8</v>
      </c>
      <c r="B17">
        <v>2</v>
      </c>
      <c r="C17">
        <v>10</v>
      </c>
    </row>
    <row r="18">
      <c r="A18">
        <v>9</v>
      </c>
      <c r="B18">
        <v>1</v>
      </c>
      <c r="C18">
        <v>0</v>
      </c>
      <c r="D18" t="inlineStr">
        <is>
          <t xml:space="preserve">sin_clase</t>
        </is>
      </c>
    </row>
    <row r="19">
      <c r="A19">
        <v>9</v>
      </c>
      <c r="B19">
        <v>2</v>
      </c>
      <c r="C19">
        <v>0</v>
      </c>
      <c r="D19" t="inlineStr">
        <is>
          <t xml:space="preserve">evaluacion</t>
        </is>
      </c>
    </row>
    <row r="20">
      <c r="A20">
        <v>10</v>
      </c>
      <c r="B20">
        <v>1</v>
      </c>
      <c r="C20">
        <v>12</v>
      </c>
    </row>
    <row r="21">
      <c r="A21">
        <v>10</v>
      </c>
      <c r="B21">
        <v>2</v>
      </c>
      <c r="C21">
        <v>0</v>
      </c>
      <c r="D21" t="inlineStr">
        <is>
          <t xml:space="preserve">repaso</t>
        </is>
      </c>
    </row>
    <row r="22">
      <c r="A22">
        <v>11</v>
      </c>
      <c r="B22">
        <v>1</v>
      </c>
      <c r="C22">
        <v>0</v>
      </c>
      <c r="D22" t="inlineStr">
        <is>
          <t xml:space="preserve">evaluacion</t>
        </is>
      </c>
    </row>
    <row r="23">
      <c r="A23">
        <v>11</v>
      </c>
      <c r="B23">
        <v>2</v>
      </c>
      <c r="C23">
        <v>0</v>
      </c>
      <c r="D23" t="inlineStr">
        <is>
          <t xml:space="preserve">evaluacion</t>
        </is>
      </c>
    </row>
    <row r="24">
      <c r="A24">
        <v>12</v>
      </c>
      <c r="B24">
        <v>1</v>
      </c>
      <c r="C24">
        <v>0</v>
      </c>
      <c r="D24" t="inlineStr">
        <is>
          <t xml:space="preserve">administrativa</t>
        </is>
      </c>
    </row>
    <row r="25">
      <c r="A25">
        <v>12</v>
      </c>
      <c r="B25">
        <v>2</v>
      </c>
      <c r="C25">
        <v>0</v>
      </c>
      <c r="D25" t="inlineStr">
        <is>
          <t xml:space="preserve">administrativa</t>
        </is>
      </c>
    </row>
    <row r="27">
      <c r="A27" t="inlineStr">
        <is>
          <t xml:space="preserve">Nota:</t>
        </is>
      </c>
      <c r="B27" t="inlineStr">
        <is>
          <t xml:space="preserve">tema = código del catálogo de la asignatura. Si la sesión no cubre contenido nuevo: tema = 0 y tipo_sesion indica la causa (evaluacion, repaso, sin_clase, administrativa). Si tema &gt; 0 la sesión es de contenido y tipo_sesion queda vacío.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Lista</vt:lpstr>
      <vt:lpstr>Acum</vt:lpstr>
      <vt:lpstr>Quiz 1</vt:lpstr>
      <vt:lpstr>Parcial 1</vt:lpstr>
      <vt:lpstr>Quiz 2</vt:lpstr>
      <vt:lpstr>Parcial 2</vt:lpstr>
      <vt:lpstr>Proyecto</vt:lpstr>
      <vt:lpstr>Eval. Cont.</vt:lpstr>
      <vt:lpstr>Partic</vt:lpstr>
      <vt:lpstr>Tareas</vt:lpstr>
      <vt:lpstr>Xtra</vt:lpstr>
      <vt:lpstr>Estandar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21132576A1</dc:creator>
  <cp:lastModifiedBy>Nelson Carrillo</cp:lastModifiedBy>
  <dcterms:created xsi:type="dcterms:W3CDTF">2025-01-06T15:20:31Z</dcterms:created>
  <dcterms:modified xsi:type="dcterms:W3CDTF">2026-08-30T19:48:29Z</dcterms:modified>
</cp:coreProperties>
</file>