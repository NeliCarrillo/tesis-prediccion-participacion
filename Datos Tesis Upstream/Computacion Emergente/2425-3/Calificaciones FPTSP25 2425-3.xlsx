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3150a7dfc8eecd/Documents/Universidad Metropolitana/Teaching/Computación Emergente/Administrativos/2425-3/"/>
    </mc:Choice>
  </mc:AlternateContent>
  <xr:revisionPtr revIDLastSave="56" documentId="8_{BD5F494D-21F8-43AC-8736-84FFA602EE24}" xr6:coauthVersionLast="47" xr6:coauthVersionMax="47" xr10:uidLastSave="{76EC4368-C584-41A8-8C65-CF8487464EFD}"/>
  <bookViews>
    <workbookView xWindow="-120" yWindow="-120" windowWidth="20730" windowHeight="10845" activeTab="1" xr2:uid="{8FD366DE-2351-45A8-AEC8-AF9BCCA91A24}"/>
  </bookViews>
  <sheets>
    <sheet name="Calificaciones" sheetId="1" r:id="rId1"/>
    <sheet name="Sheet1" sheetId="2" r:id="rId2"/>
    <sheet state="visible" name="Estandar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Fernando Torre</author>
  </authors>
  <commentList>
    <comment ref="X5" authorId="0" shapeId="0" xr:uid="{BBC63A90-68B9-4A84-81BF-E02913344556}">
      <text>
        <r>
          <rPr>
            <b/>
            <sz val="9"/>
            <color indexed="81"/>
            <rFont val="Tahoma"/>
            <family val="2"/>
          </rPr>
          <t>Fernando Torre:</t>
        </r>
        <r>
          <rPr>
            <sz val="9"/>
            <color indexed="81"/>
            <rFont val="Tahoma"/>
            <family val="2"/>
          </rPr>
          <t xml:space="preserve">
Consideración por participaciión (redondeo hacia arriba manual)</t>
        </r>
      </text>
    </comment>
    <comment ref="X40" authorId="0" shapeId="0" xr:uid="{DA3E014D-A5A6-4099-9F08-866595306083}">
      <text>
        <r>
          <rPr>
            <b/>
            <sz val="9"/>
            <color indexed="81"/>
            <rFont val="Tahoma"/>
            <family val="2"/>
          </rPr>
          <t>Fernando Torre:</t>
        </r>
        <r>
          <rPr>
            <sz val="9"/>
            <color indexed="81"/>
            <rFont val="Tahoma"/>
            <family val="2"/>
          </rPr>
          <t xml:space="preserve">
Consideración por participaciión (redondeo hacia arriba manual)</t>
        </r>
      </text>
    </comment>
  </commentList>
</comments>
</file>

<file path=xl/sharedStrings.xml><?xml version="1.0" encoding="utf-8"?>
<sst xmlns="http://schemas.openxmlformats.org/spreadsheetml/2006/main" count="835" uniqueCount="519">
  <si>
    <t>Nombre</t>
  </si>
  <si>
    <t>Apellido(s)</t>
  </si>
  <si>
    <t>Número de ID</t>
  </si>
  <si>
    <t>Institución</t>
  </si>
  <si>
    <t>Departamento</t>
  </si>
  <si>
    <t>Dirección de correo</t>
  </si>
  <si>
    <t>Carrera</t>
  </si>
  <si>
    <t>Paula Andrea</t>
  </si>
  <si>
    <t>Alonso Cedeno</t>
  </si>
  <si>
    <t>31121562</t>
  </si>
  <si>
    <t>UNIMET</t>
  </si>
  <si>
    <t>UNIMET Virtual</t>
  </si>
  <si>
    <t>paula.alonso@correo.unimet.edu.ve</t>
  </si>
  <si>
    <t>-</t>
  </si>
  <si>
    <t>Leonardo Andres</t>
  </si>
  <si>
    <t>Bigott Camacho</t>
  </si>
  <si>
    <t>27488795</t>
  </si>
  <si>
    <t>leonardo.bigott@correo.unimet.edu.ve</t>
  </si>
  <si>
    <t>Ana</t>
  </si>
  <si>
    <t>Blanco</t>
  </si>
  <si>
    <t>30304065</t>
  </si>
  <si>
    <t>ana.blanco@correo.unimet.edu.ve</t>
  </si>
  <si>
    <t>Santiago Caleb</t>
  </si>
  <si>
    <t>Briceno Villegas</t>
  </si>
  <si>
    <t>27426507</t>
  </si>
  <si>
    <t>s.briceno@correo.unimet.edu.ve</t>
  </si>
  <si>
    <t>Gabriel David</t>
  </si>
  <si>
    <t>Brito Cusati</t>
  </si>
  <si>
    <t>30030327</t>
  </si>
  <si>
    <t>gabriel.brito@correo.unimet.edu.ve</t>
  </si>
  <si>
    <t>Gabriele</t>
  </si>
  <si>
    <t>Cafarelli Garcia</t>
  </si>
  <si>
    <t>27671865</t>
  </si>
  <si>
    <t>gabriele.cafarelli@correo.unimet.edu.ve</t>
  </si>
  <si>
    <t>Aida Isabel</t>
  </si>
  <si>
    <t>Cardenas Velasquez</t>
  </si>
  <si>
    <t>28155240</t>
  </si>
  <si>
    <t>aida.cardenas@correo.unimet.edu.ve</t>
  </si>
  <si>
    <t>Ernesto</t>
  </si>
  <si>
    <t>Carmona</t>
  </si>
  <si>
    <t>28155304</t>
  </si>
  <si>
    <t>ecarmona@correo.unimet.edu.ve</t>
  </si>
  <si>
    <t>Valeria</t>
  </si>
  <si>
    <t>Carmona Fazzolari</t>
  </si>
  <si>
    <t>29666695</t>
  </si>
  <si>
    <t>vcarmona@correo.unimet.edu.ve</t>
  </si>
  <si>
    <t>Alejandra</t>
  </si>
  <si>
    <t>28310220</t>
  </si>
  <si>
    <t>alejandra.carrera@correo.unimet.edu.ve</t>
  </si>
  <si>
    <t>Ángel Eduardo</t>
  </si>
  <si>
    <t>Carrero Aparicio</t>
  </si>
  <si>
    <t>30142834</t>
  </si>
  <si>
    <t>angel.carrero@correo.unimet.edu.ve</t>
  </si>
  <si>
    <t>Yoarly DelCarmen</t>
  </si>
  <si>
    <t>Castillo Matos</t>
  </si>
  <si>
    <t>27472800</t>
  </si>
  <si>
    <t>ycastillo@correo.unimet.edu.ve</t>
  </si>
  <si>
    <t>Sebastian</t>
  </si>
  <si>
    <t>Cermeno</t>
  </si>
  <si>
    <t>30722298</t>
  </si>
  <si>
    <t>sebastian-cermeno@correo.unimet.edu.ve</t>
  </si>
  <si>
    <t>Maria Daniela</t>
  </si>
  <si>
    <t>Cuervo Villalobos</t>
  </si>
  <si>
    <t>29948326</t>
  </si>
  <si>
    <t>mcuervo@correo.unimet.edu.ve</t>
  </si>
  <si>
    <t>Daniel</t>
  </si>
  <si>
    <t>D'angelo</t>
  </si>
  <si>
    <t>27028373</t>
  </si>
  <si>
    <t>d.daniel@correo.unimet.edu.ve</t>
  </si>
  <si>
    <t>Christian Alberto</t>
  </si>
  <si>
    <t>Diaz Perez</t>
  </si>
  <si>
    <t>29765316</t>
  </si>
  <si>
    <t>christian.diaz@correo.unimet.edu.ve</t>
  </si>
  <si>
    <t>Tomas Eduardo</t>
  </si>
  <si>
    <t>Dimaio Torres</t>
  </si>
  <si>
    <t>29948448</t>
  </si>
  <si>
    <t>t.dimaio@correo.unimet.edu.ve</t>
  </si>
  <si>
    <t>Daniel Alejandro</t>
  </si>
  <si>
    <t>Echeverria Diaz</t>
  </si>
  <si>
    <t>30395124</t>
  </si>
  <si>
    <t>decheverria@correo.unimet.edu.ve</t>
  </si>
  <si>
    <t>John Williams</t>
  </si>
  <si>
    <t>Erice Gonzalez</t>
  </si>
  <si>
    <t>27111531</t>
  </si>
  <si>
    <t>ericee@correo.unimet.edu.ve</t>
  </si>
  <si>
    <t>Cristian Gerardo</t>
  </si>
  <si>
    <t>Fazio Hernandez</t>
  </si>
  <si>
    <t>29991129</t>
  </si>
  <si>
    <t>c.fazio@correo.unimet.edu.ve</t>
  </si>
  <si>
    <t>Santiago</t>
  </si>
  <si>
    <t>Feliciani</t>
  </si>
  <si>
    <t>30114273</t>
  </si>
  <si>
    <t>sfeliciani@correo.unimet.edu.ve</t>
  </si>
  <si>
    <t>Juan</t>
  </si>
  <si>
    <t>Figuera</t>
  </si>
  <si>
    <t>29611537</t>
  </si>
  <si>
    <t>juan.figuera@correo.unimet.edu.ve</t>
  </si>
  <si>
    <t>Elias</t>
  </si>
  <si>
    <t>Fung</t>
  </si>
  <si>
    <t>29965990</t>
  </si>
  <si>
    <t>fung.elias@correo.unimet.edu.ve</t>
  </si>
  <si>
    <t>Camila</t>
  </si>
  <si>
    <t>García</t>
  </si>
  <si>
    <t>28576727</t>
  </si>
  <si>
    <t>g.camila@correo.unimet.edu.ve</t>
  </si>
  <si>
    <t>Nicola Ignacio</t>
  </si>
  <si>
    <t>Garcia Iafigliola</t>
  </si>
  <si>
    <t>30750783</t>
  </si>
  <si>
    <t>ni.garcia@correo.unimet.edu.ve</t>
  </si>
  <si>
    <t>Luis Augusto</t>
  </si>
  <si>
    <t>Garnica Ramírez</t>
  </si>
  <si>
    <t>28155305</t>
  </si>
  <si>
    <t>28155305@correo.unimet.edu.ve</t>
  </si>
  <si>
    <t>Sabrina</t>
  </si>
  <si>
    <t>Giampaolo Rivas</t>
  </si>
  <si>
    <t>30497618</t>
  </si>
  <si>
    <t>sabrina.giampaolo@correo.unimet.edu.ve</t>
  </si>
  <si>
    <t>Tomas Alejandro</t>
  </si>
  <si>
    <t>Gil Bravo</t>
  </si>
  <si>
    <t>30030892</t>
  </si>
  <si>
    <t>t.gil@correo.unimet.edu.ve</t>
  </si>
  <si>
    <t>Marielena</t>
  </si>
  <si>
    <t>Ginez Villegas</t>
  </si>
  <si>
    <t>30308628</t>
  </si>
  <si>
    <t>mginez@correo.unimet.edu.ve</t>
  </si>
  <si>
    <t>Andres Gabriel</t>
  </si>
  <si>
    <t>Gomez Grber</t>
  </si>
  <si>
    <t>29551746</t>
  </si>
  <si>
    <t>andres.gomez@correo.unimet.edu.ve</t>
  </si>
  <si>
    <t>Andres Eduardo</t>
  </si>
  <si>
    <t>Goncalves De Jesús</t>
  </si>
  <si>
    <t>30702535</t>
  </si>
  <si>
    <t>goncalves.andres@correo.unimet.edu.ve</t>
  </si>
  <si>
    <t>Pedro Jose</t>
  </si>
  <si>
    <t>Gonzalez Bastidas</t>
  </si>
  <si>
    <t>29945196</t>
  </si>
  <si>
    <t>gonzalez.pedro@correo.unimet.edu.ve</t>
  </si>
  <si>
    <t>Jesus Francisco</t>
  </si>
  <si>
    <t>Gonzalez Martinez</t>
  </si>
  <si>
    <t>24998685</t>
  </si>
  <si>
    <t>gonzalez-jesus@correo.unimet.edu.ve</t>
  </si>
  <si>
    <t>Diego Alejandro</t>
  </si>
  <si>
    <t>Hernandez Marquina</t>
  </si>
  <si>
    <t>31045867</t>
  </si>
  <si>
    <t>diego.hernandez@correo.unimet.edu.ve</t>
  </si>
  <si>
    <t>José Leonardo</t>
  </si>
  <si>
    <t>Hurtado Vitora</t>
  </si>
  <si>
    <t>29686758</t>
  </si>
  <si>
    <t>jose.hurtado@correo.unimet.edu.ve</t>
  </si>
  <si>
    <t>Anabella</t>
  </si>
  <si>
    <t>Jaua Muci</t>
  </si>
  <si>
    <t>30246352</t>
  </si>
  <si>
    <t>j.anabella@correo.unimet.edu.ve</t>
  </si>
  <si>
    <t>Franco</t>
  </si>
  <si>
    <t>Lattanzio Sandoval</t>
  </si>
  <si>
    <t>30612972</t>
  </si>
  <si>
    <t>franco.lattanzio@correo.unimet.edu.ve</t>
  </si>
  <si>
    <t>Kevin</t>
  </si>
  <si>
    <t>Li Liang</t>
  </si>
  <si>
    <t>30526981</t>
  </si>
  <si>
    <t>kli@correo.unimet.edu.ve</t>
  </si>
  <si>
    <t>Andrea</t>
  </si>
  <si>
    <t>Linares</t>
  </si>
  <si>
    <t>30496934</t>
  </si>
  <si>
    <t>linares.andrea@correo.unimet.edu.ve</t>
  </si>
  <si>
    <t>Adrian</t>
  </si>
  <si>
    <t>Lovera</t>
  </si>
  <si>
    <t>30030951</t>
  </si>
  <si>
    <t>adrian.lovera@correo.unimet.edu.ve</t>
  </si>
  <si>
    <t>Manzanilla Salazar</t>
  </si>
  <si>
    <t>29940597</t>
  </si>
  <si>
    <t>dmanzanilla@correo.unimet.edu.ve</t>
  </si>
  <si>
    <t>Carlos Daniel</t>
  </si>
  <si>
    <t>Marcano Cottin</t>
  </si>
  <si>
    <t>30246101</t>
  </si>
  <si>
    <t>c.marcano@correo.unimet.edu.ve</t>
  </si>
  <si>
    <t>Marquez Rodriguez</t>
  </si>
  <si>
    <t>29537562</t>
  </si>
  <si>
    <t>a.marquez2020@correo.unimet.edu.ve</t>
  </si>
  <si>
    <t>Maria Victoria</t>
  </si>
  <si>
    <t>Martinez Blanco</t>
  </si>
  <si>
    <t>30411920</t>
  </si>
  <si>
    <t>martinez-maria@correo.unimet.edu.ve</t>
  </si>
  <si>
    <t>Yangel Eduardo</t>
  </si>
  <si>
    <t>Martinez Clavijo</t>
  </si>
  <si>
    <t>30887914</t>
  </si>
  <si>
    <t>martinez.yangel@correo.unimet.edu.ve</t>
  </si>
  <si>
    <t>David Alejandro</t>
  </si>
  <si>
    <t>Mavares Delgado</t>
  </si>
  <si>
    <t>30821945</t>
  </si>
  <si>
    <t>david.mavares@correo.unimet.edu.ve</t>
  </si>
  <si>
    <t>David</t>
  </si>
  <si>
    <t>Mayora</t>
  </si>
  <si>
    <t>24843496</t>
  </si>
  <si>
    <t>d.mayora@correo.unimet.edu.ve</t>
  </si>
  <si>
    <t>Gabriel Alejandro</t>
  </si>
  <si>
    <t>Mena Chavez</t>
  </si>
  <si>
    <t>30183056</t>
  </si>
  <si>
    <t>gabriel.mena@correo.unimet.edu.ve</t>
  </si>
  <si>
    <t>Mijares</t>
  </si>
  <si>
    <t>26489501</t>
  </si>
  <si>
    <t>daniel.mijares@correo.unimet.edu.ve</t>
  </si>
  <si>
    <t>Miguel</t>
  </si>
  <si>
    <t>Montilla</t>
  </si>
  <si>
    <t>28155004</t>
  </si>
  <si>
    <t>mmontilla@correo.unimet.edu.ve</t>
  </si>
  <si>
    <t>Jose Antonio</t>
  </si>
  <si>
    <t>Montoya Mocao</t>
  </si>
  <si>
    <t>29910740</t>
  </si>
  <si>
    <t>j.montoya@correo.unimet.edu.ve</t>
  </si>
  <si>
    <t>Alejandro</t>
  </si>
  <si>
    <t>Morabito Hernández</t>
  </si>
  <si>
    <t>29863178</t>
  </si>
  <si>
    <t>amorabito@correo.unimet.edu.ve</t>
  </si>
  <si>
    <t>Morillo</t>
  </si>
  <si>
    <t>30057271</t>
  </si>
  <si>
    <t>daniel.morillo@correo.unimet.edu.ve</t>
  </si>
  <si>
    <t>Diego Andres</t>
  </si>
  <si>
    <t>Oliveros Albarracin</t>
  </si>
  <si>
    <t>29921895</t>
  </si>
  <si>
    <t>doliveros@correo.unimet.edu.ve</t>
  </si>
  <si>
    <t>Jesus</t>
  </si>
  <si>
    <t>Perez</t>
  </si>
  <si>
    <t>28058669</t>
  </si>
  <si>
    <t>28058669@correo.unimet.edu.ve</t>
  </si>
  <si>
    <t>Nicole</t>
  </si>
  <si>
    <t>Pinto Iuzzolino</t>
  </si>
  <si>
    <t>29948306</t>
  </si>
  <si>
    <t>nicole.pinto@correo.unimet.edu.ve</t>
  </si>
  <si>
    <t>Guillermo Enrique</t>
  </si>
  <si>
    <t>Pinzón Quero</t>
  </si>
  <si>
    <t>27790060</t>
  </si>
  <si>
    <t>guillermo.pinzon@correo.unimet.edu.ve</t>
  </si>
  <si>
    <t>Rangel Gonzalez</t>
  </si>
  <si>
    <t>30590749</t>
  </si>
  <si>
    <t>andres.rangel@correo.unimet.edu.ve</t>
  </si>
  <si>
    <t>Andres Leonardo</t>
  </si>
  <si>
    <t>Rendo Gonzalez</t>
  </si>
  <si>
    <t>28186020</t>
  </si>
  <si>
    <t>andres.rendo@correo.unimet.edu.ve</t>
  </si>
  <si>
    <t>Andreina</t>
  </si>
  <si>
    <t>Rivas Ramirez</t>
  </si>
  <si>
    <t>29551884</t>
  </si>
  <si>
    <t>andreina.rivas@correo.unimet.edu.ve</t>
  </si>
  <si>
    <t>Natalia Andreina</t>
  </si>
  <si>
    <t>Rivas Sanchez</t>
  </si>
  <si>
    <t>30030717</t>
  </si>
  <si>
    <t>natalia.rivas@correo.unimet.edu.ve</t>
  </si>
  <si>
    <t>Rodríguez</t>
  </si>
  <si>
    <t>29625019</t>
  </si>
  <si>
    <t>j.rodriguez2020@correo.unimet.edu.ve</t>
  </si>
  <si>
    <t>Rodriguez Villarroel</t>
  </si>
  <si>
    <t>27752953</t>
  </si>
  <si>
    <t>r.sebastian2020@correo.unimet.edu.ve</t>
  </si>
  <si>
    <t>Anguibell Paola</t>
  </si>
  <si>
    <t>Romero Moreno</t>
  </si>
  <si>
    <t>31031823</t>
  </si>
  <si>
    <t>romero.anguibell@correo.unimet.edu.ve</t>
  </si>
  <si>
    <t>Joseph Frank</t>
  </si>
  <si>
    <t>Ruiz Molina</t>
  </si>
  <si>
    <t>29987841</t>
  </si>
  <si>
    <t>joseph.ruiz@correo.unimet.edu.ve</t>
  </si>
  <si>
    <t>Juan Ignacio</t>
  </si>
  <si>
    <t>Salima Cifuentes</t>
  </si>
  <si>
    <t>30142789</t>
  </si>
  <si>
    <t>juan.salima@correo.unimet.edu.ve</t>
  </si>
  <si>
    <t>Fabrizio</t>
  </si>
  <si>
    <t>Spiotta</t>
  </si>
  <si>
    <t>30057185</t>
  </si>
  <si>
    <t>fabrizio.spiotta@correo.unimet.edu.ve</t>
  </si>
  <si>
    <t>Urdaneta</t>
  </si>
  <si>
    <t>28318431</t>
  </si>
  <si>
    <t>santiago.urdaneta@correo.unimet.edu.ve</t>
  </si>
  <si>
    <t>Abrahan</t>
  </si>
  <si>
    <t>Valles</t>
  </si>
  <si>
    <t>30052794</t>
  </si>
  <si>
    <t>abrahan.valles@correo.unimet.edu.ve</t>
  </si>
  <si>
    <t>Ventura</t>
  </si>
  <si>
    <t>30153805</t>
  </si>
  <si>
    <t>jesusventura2005@gmail.com</t>
  </si>
  <si>
    <t>Villarroel</t>
  </si>
  <si>
    <t>29947633</t>
  </si>
  <si>
    <t>andrea.villarroel@correo.unimet.edu.ve</t>
  </si>
  <si>
    <t>Eros</t>
  </si>
  <si>
    <t>28162115</t>
  </si>
  <si>
    <t>villarroel.eros@correo.unimet.edu.ve</t>
  </si>
  <si>
    <t>Parcial 1</t>
  </si>
  <si>
    <t>Parcial 2</t>
  </si>
  <si>
    <t>Parcial 3</t>
  </si>
  <si>
    <t>Total Parciales</t>
  </si>
  <si>
    <t>Proyecto 1</t>
  </si>
  <si>
    <t>Proyecto 2</t>
  </si>
  <si>
    <t>Total Proyecto</t>
  </si>
  <si>
    <t>Tarea 1</t>
  </si>
  <si>
    <t>Tarea 2</t>
  </si>
  <si>
    <t>Tarea 3</t>
  </si>
  <si>
    <t>Tarea 4</t>
  </si>
  <si>
    <t>Tarea 5</t>
  </si>
  <si>
    <t>Total Tareas</t>
  </si>
  <si>
    <t>Partic</t>
  </si>
  <si>
    <t>Extra Credit</t>
  </si>
  <si>
    <t>Definitiva</t>
  </si>
  <si>
    <t xml:space="preserve">  1</t>
  </si>
  <si>
    <t>20171110508</t>
  </si>
  <si>
    <t>Bigott</t>
  </si>
  <si>
    <t>Leonardo</t>
  </si>
  <si>
    <t>Andres</t>
  </si>
  <si>
    <t>leonardo.bigott@correo.unimet.edu.ve,</t>
  </si>
  <si>
    <t>leo.a.bigott@gmail.com</t>
  </si>
  <si>
    <t xml:space="preserve">  2</t>
  </si>
  <si>
    <t>20231110150</t>
  </si>
  <si>
    <t>Briceño</t>
  </si>
  <si>
    <t>Caleb</t>
  </si>
  <si>
    <t>s.briceno@correo.unimet.edu.ve,</t>
  </si>
  <si>
    <t>san8tiago00@gmail.com</t>
  </si>
  <si>
    <t xml:space="preserve">  3</t>
  </si>
  <si>
    <t>20211110658</t>
  </si>
  <si>
    <t>vcarmona@correo.unimet.edu.ve,</t>
  </si>
  <si>
    <t>valeriacarmonafazzolari@gmail.com</t>
  </si>
  <si>
    <t xml:space="preserve">  4</t>
  </si>
  <si>
    <t>20221110341</t>
  </si>
  <si>
    <t>Carrero</t>
  </si>
  <si>
    <t>Ángel</t>
  </si>
  <si>
    <t>Eduardo</t>
  </si>
  <si>
    <t>angel.carrero@correo.unimet.edu.ve,</t>
  </si>
  <si>
    <t xml:space="preserve">  5</t>
  </si>
  <si>
    <t>20191110289</t>
  </si>
  <si>
    <t>Castillo</t>
  </si>
  <si>
    <t>Yoarly</t>
  </si>
  <si>
    <t>Del Carmen</t>
  </si>
  <si>
    <t>ycastillo@correo.unimet.edu.ve,</t>
  </si>
  <si>
    <t xml:space="preserve">  6</t>
  </si>
  <si>
    <t>20161110408</t>
  </si>
  <si>
    <t>Jesús</t>
  </si>
  <si>
    <t>d.daniel@correo.unimet.edu.ve,</t>
  </si>
  <si>
    <t xml:space="preserve">  7</t>
  </si>
  <si>
    <t>20221110169</t>
  </si>
  <si>
    <t>Dimaio</t>
  </si>
  <si>
    <t>Tomas</t>
  </si>
  <si>
    <t>t.dimaio@correo.unimet.edu.ve,</t>
  </si>
  <si>
    <t>tomasdimaio12@gmail.com</t>
  </si>
  <si>
    <t xml:space="preserve">  8</t>
  </si>
  <si>
    <t>20211110214</t>
  </si>
  <si>
    <t>Díaz</t>
  </si>
  <si>
    <t>Christian</t>
  </si>
  <si>
    <t>Alberto</t>
  </si>
  <si>
    <t>christian.diaz@correo.unimet.edu.ve,</t>
  </si>
  <si>
    <t>id.christian2015@gmail.com</t>
  </si>
  <si>
    <t xml:space="preserve">  9</t>
  </si>
  <si>
    <t>20181110175</t>
  </si>
  <si>
    <t>Erice</t>
  </si>
  <si>
    <t>John</t>
  </si>
  <si>
    <t>Williams</t>
  </si>
  <si>
    <t>ericee@correo.unimet.edu.ve,</t>
  </si>
  <si>
    <t>johnerice01@gmail.com</t>
  </si>
  <si>
    <t xml:space="preserve"> 10</t>
  </si>
  <si>
    <t>20211120090</t>
  </si>
  <si>
    <t>Fazio</t>
  </si>
  <si>
    <t>Cristian</t>
  </si>
  <si>
    <t>Gerardo</t>
  </si>
  <si>
    <t>c.fazio@correo.unimet.edu.ve,</t>
  </si>
  <si>
    <t>cristianfazio36@gmail.com</t>
  </si>
  <si>
    <t xml:space="preserve"> 11</t>
  </si>
  <si>
    <t>20201110025</t>
  </si>
  <si>
    <t>Garnica</t>
  </si>
  <si>
    <t>Luis</t>
  </si>
  <si>
    <t>Augusto</t>
  </si>
  <si>
    <t>28155305@correo.unimet.edu.ve,</t>
  </si>
  <si>
    <t>luisgarnicar02@gmail.com</t>
  </si>
  <si>
    <t xml:space="preserve"> 12</t>
  </si>
  <si>
    <t>20191110507</t>
  </si>
  <si>
    <t>Gonzalez</t>
  </si>
  <si>
    <t>Pedro</t>
  </si>
  <si>
    <t>Jose</t>
  </si>
  <si>
    <t>gonzalez.pedro@correo.unimet.edu.ve,</t>
  </si>
  <si>
    <t xml:space="preserve"> 13</t>
  </si>
  <si>
    <t>20211110487</t>
  </si>
  <si>
    <t>Gómez</t>
  </si>
  <si>
    <t>Andrés</t>
  </si>
  <si>
    <t>Gabriel</t>
  </si>
  <si>
    <t>andres.gomez@correo.unimet.edu.ve,</t>
  </si>
  <si>
    <t xml:space="preserve"> 14</t>
  </si>
  <si>
    <t>20221110640</t>
  </si>
  <si>
    <t>Hurtado</t>
  </si>
  <si>
    <t>José</t>
  </si>
  <si>
    <t>jose.hurtado@correo.unimet.edu.ve,</t>
  </si>
  <si>
    <t xml:space="preserve"> 15</t>
  </si>
  <si>
    <t>20221110156</t>
  </si>
  <si>
    <t>Carolina</t>
  </si>
  <si>
    <t>linares.andrea@correo.unimet.edu.ve,</t>
  </si>
  <si>
    <t xml:space="preserve"> 16</t>
  </si>
  <si>
    <t>20221110184</t>
  </si>
  <si>
    <t>adrian.lovera@correo.unimet.edu.ve,</t>
  </si>
  <si>
    <t xml:space="preserve"> 17</t>
  </si>
  <si>
    <t>20221110446</t>
  </si>
  <si>
    <t>Marcano</t>
  </si>
  <si>
    <t>Carlos</t>
  </si>
  <si>
    <t>c.marcano@correo.unimet.edu.ve,</t>
  </si>
  <si>
    <t xml:space="preserve"> 18</t>
  </si>
  <si>
    <t>20221110128</t>
  </si>
  <si>
    <t>Martinez</t>
  </si>
  <si>
    <t>Yangel</t>
  </si>
  <si>
    <t>martinez.yangel@correo.unimet.edu.ve,</t>
  </si>
  <si>
    <t>yangel1606@gmail.com</t>
  </si>
  <si>
    <t xml:space="preserve"> 19</t>
  </si>
  <si>
    <t>20221120086</t>
  </si>
  <si>
    <t>Rafael</t>
  </si>
  <si>
    <t>d.mayora@correo.unimet.edu.ve,</t>
  </si>
  <si>
    <t>dmayora@unimet.edu.ve</t>
  </si>
  <si>
    <t xml:space="preserve"> 20</t>
  </si>
  <si>
    <t>20211110354</t>
  </si>
  <si>
    <t>Mena</t>
  </si>
  <si>
    <t>gabriel.mena@correo.unimet.edu.ve,</t>
  </si>
  <si>
    <t xml:space="preserve"> 21</t>
  </si>
  <si>
    <t>20171110680</t>
  </si>
  <si>
    <t>Ignacio</t>
  </si>
  <si>
    <t>daniel.mijares@correo.unimet.edu.ve,</t>
  </si>
  <si>
    <t>danielmijaresc@gmail.com</t>
  </si>
  <si>
    <t xml:space="preserve"> 22</t>
  </si>
  <si>
    <t>20201110186</t>
  </si>
  <si>
    <t>mmontilla@correo.unimet.edu.ve,</t>
  </si>
  <si>
    <t xml:space="preserve"> 23</t>
  </si>
  <si>
    <t>20221110040</t>
  </si>
  <si>
    <t>Morabito</t>
  </si>
  <si>
    <t>amorabito@correo.unimet.edu.ve,</t>
  </si>
  <si>
    <t xml:space="preserve"> 24</t>
  </si>
  <si>
    <t>20201120039</t>
  </si>
  <si>
    <t>Márquez</t>
  </si>
  <si>
    <t>a.marquez2020@correo.unimet.edu.ve,</t>
  </si>
  <si>
    <t>andreseduardor2011@hotmail.com</t>
  </si>
  <si>
    <t xml:space="preserve"> 25</t>
  </si>
  <si>
    <t>20221110594</t>
  </si>
  <si>
    <t>Oliveros</t>
  </si>
  <si>
    <t>Diego</t>
  </si>
  <si>
    <t>doliveros@correo.unimet.edu.ve,</t>
  </si>
  <si>
    <t xml:space="preserve"> 26</t>
  </si>
  <si>
    <t>20221110582</t>
  </si>
  <si>
    <t>Pinto</t>
  </si>
  <si>
    <t>nicole.pinto@correo.unimet.edu.ve,</t>
  </si>
  <si>
    <t>nicolepintpo.123@gmail.com</t>
  </si>
  <si>
    <t xml:space="preserve"> 27</t>
  </si>
  <si>
    <t>20191110205</t>
  </si>
  <si>
    <t>Pinzón</t>
  </si>
  <si>
    <t>Guillermo</t>
  </si>
  <si>
    <t>Enrique</t>
  </si>
  <si>
    <t>guillermo.pinzon@correo.unimet.edu.ve,</t>
  </si>
  <si>
    <t>guillermopinzon18@gmail.com</t>
  </si>
  <si>
    <t xml:space="preserve"> 28</t>
  </si>
  <si>
    <t>20201130019</t>
  </si>
  <si>
    <t>Rendo</t>
  </si>
  <si>
    <t>andres.rendo@correo.unimet.edu.ve,</t>
  </si>
  <si>
    <t xml:space="preserve"> 29</t>
  </si>
  <si>
    <t>20191110488</t>
  </si>
  <si>
    <t>Rodriguez</t>
  </si>
  <si>
    <t>r.sebastian2020@correo.unimet.edu.ve,</t>
  </si>
  <si>
    <t xml:space="preserve"> 30</t>
  </si>
  <si>
    <t>20211110452</t>
  </si>
  <si>
    <t>Marcos</t>
  </si>
  <si>
    <t>j.rodriguez2020@correo.unimet.edu.ve,</t>
  </si>
  <si>
    <t xml:space="preserve"> 31</t>
  </si>
  <si>
    <t>20221110517</t>
  </si>
  <si>
    <t>Salima</t>
  </si>
  <si>
    <t>juan.salima@correo.unimet.edu.ve,</t>
  </si>
  <si>
    <t xml:space="preserve"> 32</t>
  </si>
  <si>
    <t>20211110355</t>
  </si>
  <si>
    <t>santiago.urdaneta@correo.unimet.edu.ve,</t>
  </si>
  <si>
    <t xml:space="preserve"> 33</t>
  </si>
  <si>
    <t>20211110463</t>
  </si>
  <si>
    <t>Josue</t>
  </si>
  <si>
    <t>abrahan.valles@correo.unimet.edu.ve,</t>
  </si>
  <si>
    <t>Abrahan.valles@correo.unimet.edu.ve</t>
  </si>
  <si>
    <t xml:space="preserve"> 34</t>
  </si>
  <si>
    <t>20211130033</t>
  </si>
  <si>
    <t>Javier</t>
  </si>
  <si>
    <t>jesus.ventura@correo.unimet.edu.ve,</t>
  </si>
  <si>
    <t>35</t>
  </si>
  <si>
    <t>20191120169</t>
  </si>
  <si>
    <t>villarroel.eros@correo.unimet.edu.ve,</t>
  </si>
  <si>
    <t>erosdavid2011@gmail.com</t>
  </si>
  <si>
    <t>ID</t>
  </si>
  <si>
    <t>CEDULA</t>
  </si>
  <si>
    <t>CARNET</t>
  </si>
  <si>
    <t>APELLIDO</t>
  </si>
  <si>
    <t>NOMBRE</t>
  </si>
  <si>
    <t>Segundo Nombre</t>
  </si>
  <si>
    <t>Correo Unimet</t>
  </si>
  <si>
    <t>EMAIL_PRINC</t>
  </si>
  <si>
    <t>EMAIL_ADIC</t>
  </si>
  <si>
    <t>RQ_RT</t>
  </si>
  <si>
    <t>lilibec31@hotmail.com</t>
  </si>
  <si>
    <t>claudiafazzolari@gmail.com</t>
  </si>
  <si>
    <t>caapetit@gmail.com</t>
  </si>
  <si>
    <t>jhoanny.matos23@gmail.com</t>
  </si>
  <si>
    <t>vtorres10@gmail.com</t>
  </si>
  <si>
    <t>tatianaperezh@msn.com</t>
  </si>
  <si>
    <t>immertgonzalez@gmail.com</t>
  </si>
  <si>
    <t>hernandezsonia4040@gmail.com</t>
  </si>
  <si>
    <t>barbyhawaiana@hotmail.com</t>
  </si>
  <si>
    <t>lilianbastidasriazuelo@hotmail.com</t>
  </si>
  <si>
    <t>adrianagruber@hotmail.com</t>
  </si>
  <si>
    <t>vmaribel72@gmail.com</t>
  </si>
  <si>
    <t>abouquett@gmail.com</t>
  </si>
  <si>
    <t>nbuitrag@gmail.com</t>
  </si>
  <si>
    <t>gaby_cottin@hotmail.com</t>
  </si>
  <si>
    <t>JMARTINEZ@netuno.net</t>
  </si>
  <si>
    <t>gabrielmena8@gmail.com</t>
  </si>
  <si>
    <t>manuelmijares@livel.com</t>
  </si>
  <si>
    <t>montilla-gonzalez@hotmail.com</t>
  </si>
  <si>
    <t>romeo.morabito@gmail.com</t>
  </si>
  <si>
    <t>elsymrg22@gmail.com</t>
  </si>
  <si>
    <t>neydajas@gmail.com</t>
  </si>
  <si>
    <t>angelinaiuzzolino@gmail.com</t>
  </si>
  <si>
    <t>anarbelysg@yahoo.com</t>
  </si>
  <si>
    <t>carolalesseur@gmail.com</t>
  </si>
  <si>
    <t>juani.salima@gmail.com</t>
  </si>
  <si>
    <t>valleseandreina@gmail.com</t>
  </si>
  <si>
    <t>leidap205@hotmail.com</t>
  </si>
  <si>
    <t>Arodriguezf@gmail.com</t>
  </si>
  <si>
    <t>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</si>
</sst>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&quot;/10&quot;"/>
    <numFmt numFmtId="165" formatCode="0&quot;/6&quot;"/>
    <numFmt numFmtId="166" formatCode="0.0&quot;/30&quot;"/>
    <numFmt numFmtId="167" formatCode="0.0&quot;/54&quot;"/>
  </numFmts>
  <fonts count="7">
    <font>
      <sz val="11"/>
      <color theme="1"/>
      <name val="Arial Unicode MS"/>
    </font>
    <font>
      <b/>
      <i/>
      <sz val="16"/>
      <color theme="1"/>
      <name val="Arial Unicode MS"/>
    </font>
    <font>
      <b/>
      <i/>
      <u/>
      <sz val="11"/>
      <color theme="1"/>
      <name val="Arial Unicode MS"/>
    </font>
    <font>
      <b/>
      <sz val="11"/>
      <color theme="1"/>
      <name val="Arial Unicode MS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2" fillId="0" borderId="0"/>
  </cellStyleXfs>
  <cellXfs count="11">
    <xf numFmtId="0" fontId="0" fillId="0" borderId="0" xfId="0"/>
    <xf numFmtId="1" fontId="3" fillId="0" borderId="0" xfId="0" applyNumberFormat="1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6" fillId="0" borderId="0" xfId="0" applyNumberFormat="1" applyFont="1" applyAlignment="1">
      <alignment horizontal="center"/>
    </xf>
    <xf numFmtId="0" fontId="0" fillId="0" borderId="0" xfId="0" quotePrefix="1"/>
    <xf numFmtId="1" fontId="6" fillId="2" borderId="0" xfId="0" applyNumberFormat="1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1" fontId="3" fillId="0" borderId="1" xfId="0" applyNumberFormat="1" applyFont="1" applyBorder="1" applyAlignment="1">
      <alignment horizontal="center"/>
    </xf>
  </cellXfs>
  <cellStyles count="5">
    <cellStyle name="Heading" xfId="1" xr:uid="{88555F64-6556-4EFE-A313-91B95F5C1897}"/>
    <cellStyle name="Heading1" xfId="2" xr:uid="{046EF1A8-6019-406A-A4BF-3B43EEFE1C41}"/>
    <cellStyle name="Normal" xfId="0" builtinId="0" customBuiltin="1"/>
    <cellStyle name="Result" xfId="3" xr:uid="{030F62D4-43A7-406A-8B34-5CB65A345E57}"/>
    <cellStyle name="Result2" xfId="4" xr:uid="{E577FBFC-C9E4-44BE-9C55-A9F3363604E9}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65" formatCode="0&quot;/6&quot;"/>
    </dxf>
    <dxf>
      <numFmt numFmtId="164" formatCode="0.0&quot;/10&quot;"/>
    </dxf>
    <dxf>
      <numFmt numFmtId="166" formatCode="0.0&quot;/30&quot;"/>
    </dxf>
    <dxf>
      <numFmt numFmtId="167" formatCode="0.0&quot;/54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7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34CB8B-44F2-4A58-9BA3-19B1D4EBF67D}" name="Table1" displayName="Table1" ref="A1:X73" totalsRowShown="0">
  <autoFilter ref="A1:X73" xr:uid="{5734CB8B-44F2-4A58-9BA3-19B1D4EBF67D}"/>
  <tableColumns count="24">
    <tableColumn id="24" xr3:uid="{9018C777-0055-4C4D-B5D8-E8672209DB6B}" name="sec">
      <calculatedColumnFormula>IF(ISNUMBER(MATCH(Table1[[#This Row],[Número de ID]],table13[CEDULA],0)),"sec 2","sec 1")</calculatedColumnFormula>
    </tableColumn>
    <tableColumn id="2" xr3:uid="{BFBD7739-471F-4BF6-9A08-D400E5E66AF6}" name="Apellido(s)"/>
    <tableColumn id="1" xr3:uid="{2C81DD14-606F-40D4-B288-1E16AE6B9C96}" name="Nombre"/>
    <tableColumn id="3" xr3:uid="{40755402-7468-435F-9C73-F172E7510FB3}" name="Número de ID"/>
    <tableColumn id="4" xr3:uid="{7F85DB22-47DD-4481-B8D3-E6021A522C8A}" name="Institución"/>
    <tableColumn id="5" xr3:uid="{6DF0E132-65AB-44D2-96CB-A5FC96A12EA0}" name="Departamento"/>
    <tableColumn id="6" xr3:uid="{79DB8E38-CC6B-4724-B2CB-95562B5553C7}" name="Dirección de correo"/>
    <tableColumn id="7" xr3:uid="{F08A071D-375F-4357-B633-758EAA9AD9B2}" name="Carrera"/>
    <tableColumn id="8" xr3:uid="{17C720E5-5D0A-4D4E-8C21-6F602EDC0481}" name="Parcial 1"/>
    <tableColumn id="9" xr3:uid="{C6BF1953-9A8D-44A0-A7D6-3D867D244F12}" name="Parcial 2"/>
    <tableColumn id="10" xr3:uid="{826DA497-2159-460F-9A07-9AB1A02CF6F6}" name="Parcial 3"/>
    <tableColumn id="11" xr3:uid="{34350022-F891-47BC-AB09-1A67B18E6720}" name="Total Parciales" dataDxfId="4"/>
    <tableColumn id="12" xr3:uid="{AD9A527B-C175-4F47-9944-D42576F970EF}" name="Proyecto 1"/>
    <tableColumn id="13" xr3:uid="{EE5BD7A4-E2D8-474F-B888-9846AE88520B}" name="Proyecto 2"/>
    <tableColumn id="14" xr3:uid="{F7E1EF71-D811-4434-906E-F1F502D8F9FD}" name="Total Proyecto" dataDxfId="3"/>
    <tableColumn id="15" xr3:uid="{27BCAF15-6E85-4337-9F70-C845C69A221D}" name="Tarea 1"/>
    <tableColumn id="16" xr3:uid="{45B82784-08A6-457C-8B1F-E154661DADCD}" name="Tarea 2"/>
    <tableColumn id="17" xr3:uid="{BCCD6240-39D4-4D26-AA44-258A68B3442A}" name="Tarea 3"/>
    <tableColumn id="18" xr3:uid="{8939EC20-D83F-4865-8CF5-3CC2EB80F9E0}" name="Tarea 4"/>
    <tableColumn id="19" xr3:uid="{F6C55DCD-2A7A-4F1F-898C-5F09795218F2}" name="Tarea 5"/>
    <tableColumn id="20" xr3:uid="{1497CB82-C29C-4317-B26D-E82B5C1700E9}" name="Total Tareas" dataDxfId="2"/>
    <tableColumn id="21" xr3:uid="{059CB5F9-F618-4688-8B31-1A0C9F29088A}" name="Partic" dataDxfId="1"/>
    <tableColumn id="22" xr3:uid="{38C99085-51E6-492A-A15E-F2D6C44CEE3B}" name="Extra Credit"/>
    <tableColumn id="23" xr3:uid="{17CD2175-3698-4DC2-A85C-44A07788B076}" name="Definitiva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6DF1E4-62C3-4860-9A6B-39D056838EAD}" name="table13" displayName="table13" ref="A1:J36" totalsRowShown="0">
  <tableColumns count="10">
    <tableColumn id="1" xr3:uid="{8375EC36-167E-41BD-8FE0-EBF0C58B0827}" name="ID"/>
    <tableColumn id="2" xr3:uid="{06D06A2B-E8D3-4DF7-A689-85F7A07848D1}" name="CEDULA"/>
    <tableColumn id="3" xr3:uid="{E4CD38F0-F46F-42F9-8A61-805027F103E2}" name="CARNET"/>
    <tableColumn id="4" xr3:uid="{4DA92E26-E16D-45B5-B28B-B02D6B5F13DC}" name="APELLIDO"/>
    <tableColumn id="5" xr3:uid="{EAEDB356-1ADD-4C3F-9B34-F33D77DD4B77}" name="NOMBRE"/>
    <tableColumn id="9" xr3:uid="{B1E42D2C-BB3D-40FF-ACE6-20DE4B7701E9}" name="Segundo Nombre"/>
    <tableColumn id="10" xr3:uid="{CB9C2E42-255D-4816-88E7-327E54B0BB73}" name="Correo Unimet"/>
    <tableColumn id="6" xr3:uid="{F46A981A-C75D-4152-A302-7F35404F7B6A}" name="EMAIL_PRINC"/>
    <tableColumn id="7" xr3:uid="{4C223772-295A-49BD-8CFD-1E81124ACB1D}" name="EMAIL_ADIC"/>
    <tableColumn id="8" xr3:uid="{9254414F-A0F8-400C-B002-AC8601E66CDC}" name="RQ_R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5BA2D-FAB8-4D76-9C12-9BFAD948E9B3}">
  <sheetPr>
    <pageSetUpPr fitToPage="1"/>
  </sheetPr>
  <dimension ref="A1:X73"/>
  <sheetViews>
    <sheetView topLeftCell="K1" workbookViewId="0">
      <selection activeCell="V14" sqref="V14"/>
    </sheetView>
  </sheetViews>
  <sheetFormatPr defaultRowHeight="14.25"/>
  <cols>
    <col min="1" max="1" width="6" bestFit="1" customWidth="1"/>
    <col min="2" max="2" width="15.875" bestFit="1" customWidth="1"/>
    <col min="3" max="3" width="18.125" bestFit="1" customWidth="1"/>
    <col min="4" max="4" width="15.125" bestFit="1" customWidth="1"/>
    <col min="5" max="5" width="12.125" customWidth="1"/>
    <col min="6" max="6" width="15.5" customWidth="1"/>
    <col min="7" max="7" width="36.375" customWidth="1"/>
    <col min="8" max="8" width="9.625" customWidth="1"/>
    <col min="9" max="11" width="10.375" customWidth="1"/>
    <col min="12" max="12" width="16.125" customWidth="1"/>
    <col min="13" max="14" width="12.25" customWidth="1"/>
    <col min="15" max="15" width="15.875" customWidth="1"/>
    <col min="16" max="20" width="9.5" customWidth="1"/>
    <col min="21" max="21" width="14" customWidth="1"/>
    <col min="22" max="22" width="8" customWidth="1"/>
    <col min="23" max="23" width="13.5" customWidth="1"/>
    <col min="24" max="24" width="11.375" bestFit="1" customWidth="1"/>
  </cols>
  <sheetData>
    <row r="1" spans="1:24">
      <c r="A1" t="s">
        <v>518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286</v>
      </c>
      <c r="J1" t="s">
        <v>287</v>
      </c>
      <c r="K1" t="s">
        <v>288</v>
      </c>
      <c r="L1" t="s">
        <v>289</v>
      </c>
      <c r="M1" t="s">
        <v>290</v>
      </c>
      <c r="N1" t="s">
        <v>291</v>
      </c>
      <c r="O1" t="s">
        <v>292</v>
      </c>
      <c r="P1" t="s">
        <v>293</v>
      </c>
      <c r="Q1" t="s">
        <v>294</v>
      </c>
      <c r="R1" t="s">
        <v>295</v>
      </c>
      <c r="S1" t="s">
        <v>296</v>
      </c>
      <c r="T1" t="s">
        <v>297</v>
      </c>
      <c r="U1" t="s">
        <v>298</v>
      </c>
      <c r="V1" t="s">
        <v>299</v>
      </c>
      <c r="W1" t="s">
        <v>300</v>
      </c>
      <c r="X1" t="s">
        <v>301</v>
      </c>
    </row>
    <row r="2" spans="1:24" ht="15">
      <c r="A2" t="str">
        <f>IF(ISNUMBER(MATCH(Table1[[#This Row],[Número de ID]],table13[CEDULA],0)),"sec 2","sec 1")</f>
        <v>sec 1</v>
      </c>
      <c r="B2" t="s">
        <v>8</v>
      </c>
      <c r="C2" t="s">
        <v>7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>
        <v>20</v>
      </c>
      <c r="J2">
        <v>18</v>
      </c>
      <c r="K2">
        <v>18.5</v>
      </c>
      <c r="L2" s="5">
        <v>50.85</v>
      </c>
      <c r="M2">
        <v>17</v>
      </c>
      <c r="N2">
        <v>19</v>
      </c>
      <c r="O2" s="4">
        <v>27</v>
      </c>
      <c r="P2">
        <v>20</v>
      </c>
      <c r="Q2">
        <v>20</v>
      </c>
      <c r="R2">
        <v>16</v>
      </c>
      <c r="S2">
        <v>20</v>
      </c>
      <c r="T2">
        <v>20</v>
      </c>
      <c r="U2" s="2">
        <v>9.6</v>
      </c>
      <c r="V2" s="3">
        <v>1</v>
      </c>
      <c r="W2">
        <v>11.67</v>
      </c>
      <c r="X2" s="1">
        <v>20</v>
      </c>
    </row>
    <row r="3" spans="1:24" ht="15">
      <c r="A3" t="str">
        <f>IF(ISNUMBER(MATCH(Table1[[#This Row],[Número de ID]],table13[CEDULA],0)),"sec 2","sec 1")</f>
        <v>sec 2</v>
      </c>
      <c r="B3" t="s">
        <v>15</v>
      </c>
      <c r="C3" t="s">
        <v>14</v>
      </c>
      <c r="D3" t="s">
        <v>16</v>
      </c>
      <c r="E3" t="s">
        <v>10</v>
      </c>
      <c r="F3" t="s">
        <v>11</v>
      </c>
      <c r="G3" t="s">
        <v>17</v>
      </c>
      <c r="H3" t="s">
        <v>13</v>
      </c>
      <c r="I3">
        <v>15.8</v>
      </c>
      <c r="J3">
        <v>18</v>
      </c>
      <c r="K3">
        <v>13</v>
      </c>
      <c r="L3" s="5">
        <v>42.12</v>
      </c>
      <c r="M3">
        <v>17</v>
      </c>
      <c r="N3">
        <v>0</v>
      </c>
      <c r="O3" s="4">
        <v>12.75</v>
      </c>
      <c r="P3">
        <v>20</v>
      </c>
      <c r="Q3">
        <v>0</v>
      </c>
      <c r="R3">
        <v>0</v>
      </c>
      <c r="S3">
        <v>0</v>
      </c>
      <c r="T3">
        <v>0</v>
      </c>
      <c r="U3" s="2">
        <v>2</v>
      </c>
      <c r="V3" s="3" t="s">
        <v>13</v>
      </c>
      <c r="W3">
        <v>0.97</v>
      </c>
      <c r="X3" s="6">
        <v>11.57</v>
      </c>
    </row>
    <row r="4" spans="1:24" ht="15">
      <c r="A4" t="str">
        <f>IF(ISNUMBER(MATCH(Table1[[#This Row],[Número de ID]],table13[CEDULA],0)),"sec 2","sec 1")</f>
        <v>sec 1</v>
      </c>
      <c r="B4" t="s">
        <v>19</v>
      </c>
      <c r="C4" t="s">
        <v>18</v>
      </c>
      <c r="D4" t="s">
        <v>20</v>
      </c>
      <c r="E4" t="s">
        <v>10</v>
      </c>
      <c r="F4" t="s">
        <v>11</v>
      </c>
      <c r="G4" t="s">
        <v>21</v>
      </c>
      <c r="I4">
        <v>15.8</v>
      </c>
      <c r="J4">
        <v>18</v>
      </c>
      <c r="K4">
        <v>19.5</v>
      </c>
      <c r="L4" s="5">
        <v>47.97</v>
      </c>
      <c r="M4">
        <v>14</v>
      </c>
      <c r="N4">
        <v>19</v>
      </c>
      <c r="O4" s="4">
        <v>24.75</v>
      </c>
      <c r="P4">
        <v>10</v>
      </c>
      <c r="Q4">
        <v>20</v>
      </c>
      <c r="R4">
        <v>20</v>
      </c>
      <c r="S4">
        <v>20</v>
      </c>
      <c r="T4">
        <v>16</v>
      </c>
      <c r="U4" s="2">
        <v>8.6</v>
      </c>
      <c r="V4" s="3">
        <v>6</v>
      </c>
      <c r="W4">
        <v>17.010000000000002</v>
      </c>
      <c r="X4" s="1">
        <v>20</v>
      </c>
    </row>
    <row r="5" spans="1:24" ht="15">
      <c r="A5" t="str">
        <f>IF(ISNUMBER(MATCH(Table1[[#This Row],[Número de ID]],table13[CEDULA],0)),"sec 2","sec 1")</f>
        <v>sec 2</v>
      </c>
      <c r="B5" t="s">
        <v>23</v>
      </c>
      <c r="C5" t="s">
        <v>22</v>
      </c>
      <c r="D5" t="s">
        <v>24</v>
      </c>
      <c r="E5" t="s">
        <v>10</v>
      </c>
      <c r="F5" t="s">
        <v>11</v>
      </c>
      <c r="G5" t="s">
        <v>25</v>
      </c>
      <c r="I5">
        <v>16.8</v>
      </c>
      <c r="J5">
        <v>16</v>
      </c>
      <c r="K5">
        <v>18</v>
      </c>
      <c r="L5" s="5">
        <v>45.72</v>
      </c>
      <c r="M5">
        <v>15</v>
      </c>
      <c r="N5">
        <v>15</v>
      </c>
      <c r="O5" s="4">
        <v>22.5</v>
      </c>
      <c r="P5">
        <v>15</v>
      </c>
      <c r="Q5">
        <v>5</v>
      </c>
      <c r="R5">
        <v>20</v>
      </c>
      <c r="S5">
        <v>15</v>
      </c>
      <c r="T5">
        <v>16</v>
      </c>
      <c r="U5" s="2">
        <v>7.1</v>
      </c>
      <c r="V5" s="3">
        <v>7</v>
      </c>
      <c r="W5">
        <v>9.7200000000000006</v>
      </c>
      <c r="X5" s="6">
        <v>19</v>
      </c>
    </row>
    <row r="6" spans="1:24" ht="15">
      <c r="A6" t="str">
        <f>IF(ISNUMBER(MATCH(Table1[[#This Row],[Número de ID]],table13[CEDULA],0)),"sec 2","sec 1")</f>
        <v>sec 1</v>
      </c>
      <c r="B6" t="s">
        <v>27</v>
      </c>
      <c r="C6" t="s">
        <v>26</v>
      </c>
      <c r="D6" t="s">
        <v>28</v>
      </c>
      <c r="E6" t="s">
        <v>10</v>
      </c>
      <c r="F6" t="s">
        <v>11</v>
      </c>
      <c r="G6" t="s">
        <v>29</v>
      </c>
      <c r="I6">
        <v>17.899999999999999</v>
      </c>
      <c r="J6">
        <v>16.8</v>
      </c>
      <c r="K6">
        <v>13</v>
      </c>
      <c r="L6" s="5">
        <v>42.93</v>
      </c>
      <c r="M6">
        <v>8</v>
      </c>
      <c r="N6">
        <v>13</v>
      </c>
      <c r="O6" s="4">
        <v>15.75</v>
      </c>
      <c r="P6">
        <v>20</v>
      </c>
      <c r="Q6">
        <v>5</v>
      </c>
      <c r="R6">
        <v>12</v>
      </c>
      <c r="S6">
        <v>10</v>
      </c>
      <c r="T6">
        <v>20</v>
      </c>
      <c r="U6" s="2">
        <v>6.7</v>
      </c>
      <c r="V6" s="3">
        <v>4</v>
      </c>
      <c r="W6">
        <v>12.15</v>
      </c>
      <c r="X6" s="1">
        <v>16.309999999999999</v>
      </c>
    </row>
    <row r="7" spans="1:24" ht="15">
      <c r="A7" t="str">
        <f>IF(ISNUMBER(MATCH(Table1[[#This Row],[Número de ID]],table13[CEDULA],0)),"sec 2","sec 1")</f>
        <v>sec 1</v>
      </c>
      <c r="B7" t="s">
        <v>31</v>
      </c>
      <c r="C7" t="s">
        <v>30</v>
      </c>
      <c r="D7" t="s">
        <v>32</v>
      </c>
      <c r="E7" t="s">
        <v>10</v>
      </c>
      <c r="F7" t="s">
        <v>11</v>
      </c>
      <c r="G7" t="s">
        <v>33</v>
      </c>
      <c r="I7">
        <v>6</v>
      </c>
      <c r="J7">
        <v>11</v>
      </c>
      <c r="K7">
        <v>12.65</v>
      </c>
      <c r="L7" s="5">
        <v>26.69</v>
      </c>
      <c r="M7">
        <v>15</v>
      </c>
      <c r="N7">
        <v>19</v>
      </c>
      <c r="O7" s="4">
        <v>25.5</v>
      </c>
      <c r="P7">
        <v>20</v>
      </c>
      <c r="Q7">
        <v>15</v>
      </c>
      <c r="R7">
        <v>12</v>
      </c>
      <c r="S7">
        <v>20</v>
      </c>
      <c r="T7">
        <v>16</v>
      </c>
      <c r="U7" s="2">
        <v>8.3000000000000007</v>
      </c>
      <c r="V7" s="3">
        <v>1</v>
      </c>
      <c r="W7">
        <v>1.94</v>
      </c>
      <c r="X7" s="1">
        <v>12.69</v>
      </c>
    </row>
    <row r="8" spans="1:24" ht="15">
      <c r="A8" t="str">
        <f>IF(ISNUMBER(MATCH(Table1[[#This Row],[Número de ID]],table13[CEDULA],0)),"sec 2","sec 1")</f>
        <v>sec 1</v>
      </c>
      <c r="B8" t="s">
        <v>35</v>
      </c>
      <c r="C8" t="s">
        <v>34</v>
      </c>
      <c r="D8" t="s">
        <v>36</v>
      </c>
      <c r="E8" t="s">
        <v>10</v>
      </c>
      <c r="F8" t="s">
        <v>11</v>
      </c>
      <c r="G8" t="s">
        <v>37</v>
      </c>
      <c r="H8" t="s">
        <v>13</v>
      </c>
      <c r="I8">
        <v>13</v>
      </c>
      <c r="J8">
        <v>13</v>
      </c>
      <c r="K8">
        <v>14.5</v>
      </c>
      <c r="L8" s="5">
        <v>36.450000000000003</v>
      </c>
      <c r="M8">
        <v>14</v>
      </c>
      <c r="N8">
        <v>15</v>
      </c>
      <c r="O8" s="4">
        <v>21.75</v>
      </c>
      <c r="P8">
        <v>20</v>
      </c>
      <c r="Q8">
        <v>15</v>
      </c>
      <c r="R8">
        <v>20</v>
      </c>
      <c r="S8">
        <v>20</v>
      </c>
      <c r="T8">
        <v>20</v>
      </c>
      <c r="U8" s="2">
        <v>9.5</v>
      </c>
      <c r="V8" s="3">
        <v>4</v>
      </c>
      <c r="W8">
        <v>14.1</v>
      </c>
      <c r="X8" s="9">
        <v>17.16</v>
      </c>
    </row>
    <row r="9" spans="1:24" ht="15">
      <c r="A9" t="str">
        <f>IF(ISNUMBER(MATCH(Table1[[#This Row],[Número de ID]],table13[CEDULA],0)),"sec 2","sec 1")</f>
        <v>sec 1</v>
      </c>
      <c r="B9" t="s">
        <v>39</v>
      </c>
      <c r="C9" t="s">
        <v>38</v>
      </c>
      <c r="D9" t="s">
        <v>40</v>
      </c>
      <c r="E9" t="s">
        <v>10</v>
      </c>
      <c r="F9" t="s">
        <v>11</v>
      </c>
      <c r="G9" t="s">
        <v>41</v>
      </c>
      <c r="H9" t="s">
        <v>13</v>
      </c>
      <c r="I9">
        <v>15</v>
      </c>
      <c r="J9">
        <v>9</v>
      </c>
      <c r="K9">
        <v>11.5</v>
      </c>
      <c r="L9" s="5">
        <v>31.95</v>
      </c>
      <c r="M9">
        <v>10</v>
      </c>
      <c r="N9">
        <v>11</v>
      </c>
      <c r="O9" s="4">
        <v>15.75</v>
      </c>
      <c r="P9">
        <v>20</v>
      </c>
      <c r="Q9">
        <v>20</v>
      </c>
      <c r="R9">
        <v>12</v>
      </c>
      <c r="S9">
        <v>20</v>
      </c>
      <c r="T9">
        <v>16</v>
      </c>
      <c r="U9" s="2">
        <v>8.8000000000000007</v>
      </c>
      <c r="V9" s="3" t="s">
        <v>13</v>
      </c>
      <c r="W9">
        <v>13.61</v>
      </c>
      <c r="X9" s="1">
        <v>14.02</v>
      </c>
    </row>
    <row r="10" spans="1:24" ht="15">
      <c r="A10" t="str">
        <f>IF(ISNUMBER(MATCH(Table1[[#This Row],[Número de ID]],table13[CEDULA],0)),"sec 2","sec 1")</f>
        <v>sec 2</v>
      </c>
      <c r="B10" t="s">
        <v>43</v>
      </c>
      <c r="C10" t="s">
        <v>42</v>
      </c>
      <c r="D10" t="s">
        <v>44</v>
      </c>
      <c r="E10" t="s">
        <v>10</v>
      </c>
      <c r="F10" t="s">
        <v>11</v>
      </c>
      <c r="G10" t="s">
        <v>45</v>
      </c>
      <c r="I10">
        <v>12.6</v>
      </c>
      <c r="J10">
        <v>12</v>
      </c>
      <c r="K10">
        <v>15.5</v>
      </c>
      <c r="L10" s="5">
        <v>36.090000000000003</v>
      </c>
      <c r="M10">
        <v>14</v>
      </c>
      <c r="N10">
        <v>12</v>
      </c>
      <c r="O10" s="4">
        <v>19.5</v>
      </c>
      <c r="P10">
        <v>20</v>
      </c>
      <c r="Q10">
        <v>20</v>
      </c>
      <c r="R10">
        <v>16</v>
      </c>
      <c r="S10">
        <v>0</v>
      </c>
      <c r="T10">
        <v>0</v>
      </c>
      <c r="U10" s="2">
        <v>5.6</v>
      </c>
      <c r="V10" s="3" t="s">
        <v>13</v>
      </c>
      <c r="W10">
        <v>6.81</v>
      </c>
      <c r="X10" s="6">
        <v>13.6</v>
      </c>
    </row>
    <row r="11" spans="1:24" ht="15">
      <c r="A11" t="str">
        <f>IF(ISNUMBER(MATCH(Table1[[#This Row],[Número de ID]],table13[CEDULA],0)),"sec 2","sec 1")</f>
        <v>sec 1</v>
      </c>
      <c r="B11" t="s">
        <v>6</v>
      </c>
      <c r="C11" t="s">
        <v>46</v>
      </c>
      <c r="D11" t="s">
        <v>47</v>
      </c>
      <c r="E11" t="s">
        <v>10</v>
      </c>
      <c r="F11" t="s">
        <v>11</v>
      </c>
      <c r="G11" t="s">
        <v>48</v>
      </c>
      <c r="H11" t="s">
        <v>13</v>
      </c>
      <c r="I11">
        <v>14.7</v>
      </c>
      <c r="J11">
        <v>13</v>
      </c>
      <c r="K11">
        <v>14.5</v>
      </c>
      <c r="L11" s="5">
        <v>37.979999999999997</v>
      </c>
      <c r="M11">
        <v>15</v>
      </c>
      <c r="N11">
        <v>19</v>
      </c>
      <c r="O11" s="4">
        <v>25.5</v>
      </c>
      <c r="P11">
        <v>20</v>
      </c>
      <c r="Q11">
        <v>20</v>
      </c>
      <c r="R11">
        <v>16</v>
      </c>
      <c r="S11">
        <v>20</v>
      </c>
      <c r="T11">
        <v>12</v>
      </c>
      <c r="U11" s="2">
        <v>8.8000000000000007</v>
      </c>
      <c r="V11" s="3" t="s">
        <v>13</v>
      </c>
      <c r="W11">
        <v>5.83</v>
      </c>
      <c r="X11" s="1">
        <v>15.62</v>
      </c>
    </row>
    <row r="12" spans="1:24" ht="15">
      <c r="A12" t="str">
        <f>IF(ISNUMBER(MATCH(Table1[[#This Row],[Número de ID]],table13[CEDULA],0)),"sec 2","sec 1")</f>
        <v>sec 2</v>
      </c>
      <c r="B12" t="s">
        <v>50</v>
      </c>
      <c r="C12" t="s">
        <v>49</v>
      </c>
      <c r="D12" t="s">
        <v>51</v>
      </c>
      <c r="E12" t="s">
        <v>10</v>
      </c>
      <c r="F12" t="s">
        <v>11</v>
      </c>
      <c r="G12" t="s">
        <v>52</v>
      </c>
      <c r="I12">
        <v>17</v>
      </c>
      <c r="J12">
        <v>11.55</v>
      </c>
      <c r="K12">
        <v>13.88</v>
      </c>
      <c r="L12" s="5">
        <v>38.19</v>
      </c>
      <c r="M12">
        <v>14</v>
      </c>
      <c r="N12">
        <v>15</v>
      </c>
      <c r="O12" s="4">
        <v>21.75</v>
      </c>
      <c r="P12">
        <v>15</v>
      </c>
      <c r="Q12">
        <v>20</v>
      </c>
      <c r="R12">
        <v>12</v>
      </c>
      <c r="S12">
        <v>20</v>
      </c>
      <c r="T12">
        <v>16</v>
      </c>
      <c r="U12" s="2">
        <v>8.3000000000000007</v>
      </c>
      <c r="V12" s="3">
        <v>2</v>
      </c>
      <c r="W12">
        <v>3.89</v>
      </c>
      <c r="X12" s="6">
        <v>14.83</v>
      </c>
    </row>
    <row r="13" spans="1:24" ht="15">
      <c r="A13" t="str">
        <f>IF(ISNUMBER(MATCH(Table1[[#This Row],[Número de ID]],table13[CEDULA],0)),"sec 2","sec 1")</f>
        <v>sec 2</v>
      </c>
      <c r="B13" t="s">
        <v>54</v>
      </c>
      <c r="C13" t="s">
        <v>53</v>
      </c>
      <c r="D13" t="s">
        <v>55</v>
      </c>
      <c r="E13" t="s">
        <v>10</v>
      </c>
      <c r="F13" t="s">
        <v>11</v>
      </c>
      <c r="G13" t="s">
        <v>56</v>
      </c>
      <c r="I13">
        <v>5</v>
      </c>
      <c r="J13">
        <v>9</v>
      </c>
      <c r="K13">
        <v>8</v>
      </c>
      <c r="L13" s="5">
        <v>19.8</v>
      </c>
      <c r="M13">
        <v>13</v>
      </c>
      <c r="N13">
        <v>13</v>
      </c>
      <c r="O13" s="4">
        <v>19.5</v>
      </c>
      <c r="P13">
        <v>20</v>
      </c>
      <c r="Q13">
        <v>15</v>
      </c>
      <c r="R13">
        <v>16</v>
      </c>
      <c r="S13">
        <v>20</v>
      </c>
      <c r="T13">
        <v>12</v>
      </c>
      <c r="U13" s="2">
        <v>8.3000000000000007</v>
      </c>
      <c r="V13" s="3" t="s">
        <v>13</v>
      </c>
      <c r="W13">
        <v>9.7200000000000006</v>
      </c>
      <c r="X13" s="6">
        <v>11.46</v>
      </c>
    </row>
    <row r="14" spans="1:24" ht="15">
      <c r="A14" t="str">
        <f>IF(ISNUMBER(MATCH(Table1[[#This Row],[Número de ID]],table13[CEDULA],0)),"sec 2","sec 1")</f>
        <v>sec 1</v>
      </c>
      <c r="B14" t="s">
        <v>58</v>
      </c>
      <c r="C14" t="s">
        <v>57</v>
      </c>
      <c r="D14" t="s">
        <v>59</v>
      </c>
      <c r="E14" t="s">
        <v>10</v>
      </c>
      <c r="F14" t="s">
        <v>11</v>
      </c>
      <c r="G14" t="s">
        <v>60</v>
      </c>
      <c r="I14">
        <v>15.8</v>
      </c>
      <c r="J14">
        <v>16</v>
      </c>
      <c r="K14">
        <v>14</v>
      </c>
      <c r="L14" s="5">
        <v>41.22</v>
      </c>
      <c r="M14">
        <v>10</v>
      </c>
      <c r="N14">
        <v>11</v>
      </c>
      <c r="O14" s="4">
        <v>15.75</v>
      </c>
      <c r="P14">
        <v>0</v>
      </c>
      <c r="Q14">
        <v>0</v>
      </c>
      <c r="R14">
        <v>0</v>
      </c>
      <c r="S14">
        <v>0</v>
      </c>
      <c r="T14">
        <v>0</v>
      </c>
      <c r="U14" s="2">
        <v>0</v>
      </c>
      <c r="V14" s="3">
        <v>5</v>
      </c>
      <c r="W14" t="s">
        <v>13</v>
      </c>
      <c r="X14" s="1">
        <v>12.39</v>
      </c>
    </row>
    <row r="15" spans="1:24" ht="15">
      <c r="A15" t="str">
        <f>IF(ISNUMBER(MATCH(Table1[[#This Row],[Número de ID]],table13[CEDULA],0)),"sec 2","sec 1")</f>
        <v>sec 1</v>
      </c>
      <c r="B15" t="s">
        <v>62</v>
      </c>
      <c r="C15" t="s">
        <v>61</v>
      </c>
      <c r="D15" t="s">
        <v>63</v>
      </c>
      <c r="E15" t="s">
        <v>10</v>
      </c>
      <c r="F15" t="s">
        <v>11</v>
      </c>
      <c r="G15" t="s">
        <v>64</v>
      </c>
      <c r="I15">
        <v>11</v>
      </c>
      <c r="J15">
        <v>10</v>
      </c>
      <c r="K15">
        <v>12</v>
      </c>
      <c r="L15" s="5">
        <v>29.7</v>
      </c>
      <c r="M15">
        <v>11</v>
      </c>
      <c r="N15">
        <v>14</v>
      </c>
      <c r="O15" s="4">
        <v>18.75</v>
      </c>
      <c r="P15">
        <v>10</v>
      </c>
      <c r="Q15">
        <v>10</v>
      </c>
      <c r="R15">
        <v>20</v>
      </c>
      <c r="S15">
        <v>10</v>
      </c>
      <c r="T15">
        <v>16</v>
      </c>
      <c r="U15" s="2">
        <v>6.6</v>
      </c>
      <c r="V15" s="3" t="s">
        <v>13</v>
      </c>
      <c r="W15">
        <v>8.75</v>
      </c>
      <c r="X15" s="1">
        <v>12.76</v>
      </c>
    </row>
    <row r="16" spans="1:24" ht="15">
      <c r="A16" t="str">
        <f>IF(ISNUMBER(MATCH(Table1[[#This Row],[Número de ID]],table13[CEDULA],0)),"sec 2","sec 1")</f>
        <v>sec 2</v>
      </c>
      <c r="B16" t="s">
        <v>66</v>
      </c>
      <c r="C16" t="s">
        <v>65</v>
      </c>
      <c r="D16" t="s">
        <v>67</v>
      </c>
      <c r="E16" t="s">
        <v>10</v>
      </c>
      <c r="F16" t="s">
        <v>11</v>
      </c>
      <c r="G16" t="s">
        <v>68</v>
      </c>
      <c r="H16" t="s">
        <v>13</v>
      </c>
      <c r="I16">
        <v>8</v>
      </c>
      <c r="J16">
        <v>16</v>
      </c>
      <c r="K16">
        <v>12.5</v>
      </c>
      <c r="L16" s="5">
        <v>32.85</v>
      </c>
      <c r="M16">
        <v>18</v>
      </c>
      <c r="N16">
        <v>14</v>
      </c>
      <c r="O16" s="4">
        <v>24</v>
      </c>
      <c r="P16">
        <v>10</v>
      </c>
      <c r="Q16">
        <v>5</v>
      </c>
      <c r="R16">
        <v>20</v>
      </c>
      <c r="S16">
        <v>0</v>
      </c>
      <c r="T16">
        <v>0</v>
      </c>
      <c r="U16" s="2">
        <v>3.5</v>
      </c>
      <c r="V16" s="3" t="s">
        <v>13</v>
      </c>
      <c r="W16" t="s">
        <v>13</v>
      </c>
      <c r="X16" s="6">
        <v>12.07</v>
      </c>
    </row>
    <row r="17" spans="1:24" ht="15">
      <c r="A17" t="str">
        <f>IF(ISNUMBER(MATCH(Table1[[#This Row],[Número de ID]],table13[CEDULA],0)),"sec 2","sec 1")</f>
        <v>sec 2</v>
      </c>
      <c r="B17" t="s">
        <v>70</v>
      </c>
      <c r="C17" t="s">
        <v>69</v>
      </c>
      <c r="D17" t="s">
        <v>71</v>
      </c>
      <c r="E17" t="s">
        <v>10</v>
      </c>
      <c r="F17" t="s">
        <v>11</v>
      </c>
      <c r="G17" t="s">
        <v>72</v>
      </c>
      <c r="I17">
        <v>14</v>
      </c>
      <c r="J17">
        <v>10.5</v>
      </c>
      <c r="K17">
        <v>7.35</v>
      </c>
      <c r="L17" s="5">
        <v>28.67</v>
      </c>
      <c r="M17">
        <v>16</v>
      </c>
      <c r="N17">
        <v>14</v>
      </c>
      <c r="O17" s="4">
        <v>22.5</v>
      </c>
      <c r="P17">
        <v>20</v>
      </c>
      <c r="Q17">
        <v>15</v>
      </c>
      <c r="R17">
        <v>12</v>
      </c>
      <c r="S17">
        <v>20</v>
      </c>
      <c r="T17">
        <v>0</v>
      </c>
      <c r="U17" s="2">
        <v>6.7</v>
      </c>
      <c r="V17" s="3">
        <v>5</v>
      </c>
      <c r="W17">
        <v>13.61</v>
      </c>
      <c r="X17" s="8">
        <v>15.3</v>
      </c>
    </row>
    <row r="18" spans="1:24" ht="15">
      <c r="A18" t="str">
        <f>IF(ISNUMBER(MATCH(Table1[[#This Row],[Número de ID]],table13[CEDULA],0)),"sec 2","sec 1")</f>
        <v>sec 2</v>
      </c>
      <c r="B18" t="s">
        <v>74</v>
      </c>
      <c r="C18" t="s">
        <v>73</v>
      </c>
      <c r="D18" t="s">
        <v>75</v>
      </c>
      <c r="E18" t="s">
        <v>10</v>
      </c>
      <c r="F18" t="s">
        <v>11</v>
      </c>
      <c r="G18" t="s">
        <v>76</v>
      </c>
      <c r="H18" t="s">
        <v>13</v>
      </c>
      <c r="I18">
        <v>8</v>
      </c>
      <c r="J18">
        <v>11</v>
      </c>
      <c r="K18">
        <v>13</v>
      </c>
      <c r="L18" s="5">
        <v>28.8</v>
      </c>
      <c r="M18">
        <v>12</v>
      </c>
      <c r="N18">
        <v>12</v>
      </c>
      <c r="O18" s="4">
        <v>18</v>
      </c>
      <c r="P18">
        <v>20</v>
      </c>
      <c r="Q18">
        <v>15</v>
      </c>
      <c r="R18">
        <v>12</v>
      </c>
      <c r="S18">
        <v>20</v>
      </c>
      <c r="T18">
        <v>12</v>
      </c>
      <c r="U18" s="2">
        <v>7.9</v>
      </c>
      <c r="V18" s="3" t="s">
        <v>13</v>
      </c>
      <c r="W18">
        <v>9.7200000000000006</v>
      </c>
      <c r="X18" s="6">
        <v>12.88</v>
      </c>
    </row>
    <row r="19" spans="1:24" ht="15">
      <c r="A19" t="str">
        <f>IF(ISNUMBER(MATCH(Table1[[#This Row],[Número de ID]],table13[CEDULA],0)),"sec 2","sec 1")</f>
        <v>sec 1</v>
      </c>
      <c r="B19" t="s">
        <v>78</v>
      </c>
      <c r="C19" t="s">
        <v>77</v>
      </c>
      <c r="D19" t="s">
        <v>79</v>
      </c>
      <c r="E19" t="s">
        <v>10</v>
      </c>
      <c r="F19" t="s">
        <v>11</v>
      </c>
      <c r="G19" t="s">
        <v>80</v>
      </c>
      <c r="I19">
        <v>17</v>
      </c>
      <c r="J19">
        <v>16</v>
      </c>
      <c r="K19">
        <v>18</v>
      </c>
      <c r="L19" s="5">
        <v>45.9</v>
      </c>
      <c r="M19">
        <v>13</v>
      </c>
      <c r="N19">
        <v>12</v>
      </c>
      <c r="O19" s="4">
        <v>18.75</v>
      </c>
      <c r="P19">
        <v>20</v>
      </c>
      <c r="Q19">
        <v>15</v>
      </c>
      <c r="R19">
        <v>4</v>
      </c>
      <c r="S19">
        <v>20</v>
      </c>
      <c r="T19">
        <v>12</v>
      </c>
      <c r="U19" s="2">
        <v>7.1</v>
      </c>
      <c r="V19" s="3">
        <v>2</v>
      </c>
      <c r="W19">
        <v>9.24</v>
      </c>
      <c r="X19" s="10">
        <v>16.600000000000001</v>
      </c>
    </row>
    <row r="20" spans="1:24" ht="15">
      <c r="A20" t="str">
        <f>IF(ISNUMBER(MATCH(Table1[[#This Row],[Número de ID]],table13[CEDULA],0)),"sec 2","sec 1")</f>
        <v>sec 2</v>
      </c>
      <c r="B20" t="s">
        <v>82</v>
      </c>
      <c r="C20" t="s">
        <v>81</v>
      </c>
      <c r="D20" t="s">
        <v>83</v>
      </c>
      <c r="E20" t="s">
        <v>10</v>
      </c>
      <c r="F20" t="s">
        <v>11</v>
      </c>
      <c r="G20" t="s">
        <v>84</v>
      </c>
      <c r="I20">
        <v>10</v>
      </c>
      <c r="J20">
        <v>14</v>
      </c>
      <c r="K20">
        <v>11</v>
      </c>
      <c r="L20" s="5">
        <v>31.5</v>
      </c>
      <c r="M20">
        <v>18</v>
      </c>
      <c r="N20">
        <v>14</v>
      </c>
      <c r="O20" s="4">
        <v>24</v>
      </c>
      <c r="P20">
        <v>15</v>
      </c>
      <c r="Q20">
        <v>10</v>
      </c>
      <c r="R20">
        <v>0</v>
      </c>
      <c r="S20">
        <v>20</v>
      </c>
      <c r="T20">
        <v>16</v>
      </c>
      <c r="U20" s="2">
        <v>6.1</v>
      </c>
      <c r="V20" s="3">
        <v>1</v>
      </c>
      <c r="W20">
        <v>2.92</v>
      </c>
      <c r="X20" s="6">
        <v>13.1</v>
      </c>
    </row>
    <row r="21" spans="1:24" ht="15">
      <c r="A21" t="str">
        <f>IF(ISNUMBER(MATCH(Table1[[#This Row],[Número de ID]],table13[CEDULA],0)),"sec 2","sec 1")</f>
        <v>sec 2</v>
      </c>
      <c r="B21" t="s">
        <v>86</v>
      </c>
      <c r="C21" t="s">
        <v>85</v>
      </c>
      <c r="D21" t="s">
        <v>87</v>
      </c>
      <c r="E21" t="s">
        <v>10</v>
      </c>
      <c r="F21" t="s">
        <v>11</v>
      </c>
      <c r="G21" t="s">
        <v>88</v>
      </c>
      <c r="I21">
        <v>12</v>
      </c>
      <c r="J21">
        <v>12</v>
      </c>
      <c r="K21">
        <v>12</v>
      </c>
      <c r="L21" s="5">
        <v>32.4</v>
      </c>
      <c r="M21">
        <v>12</v>
      </c>
      <c r="N21">
        <v>13</v>
      </c>
      <c r="O21" s="4">
        <v>18.75</v>
      </c>
      <c r="P21">
        <v>20</v>
      </c>
      <c r="Q21">
        <v>15</v>
      </c>
      <c r="R21">
        <v>16</v>
      </c>
      <c r="S21">
        <v>20</v>
      </c>
      <c r="T21">
        <v>12</v>
      </c>
      <c r="U21" s="2">
        <v>8.3000000000000007</v>
      </c>
      <c r="V21" s="3">
        <v>1</v>
      </c>
      <c r="W21">
        <v>14.1</v>
      </c>
      <c r="X21" s="6">
        <v>14.91</v>
      </c>
    </row>
    <row r="22" spans="1:24" ht="15">
      <c r="A22" t="str">
        <f>IF(ISNUMBER(MATCH(Table1[[#This Row],[Número de ID]],table13[CEDULA],0)),"sec 2","sec 1")</f>
        <v>sec 1</v>
      </c>
      <c r="B22" t="s">
        <v>90</v>
      </c>
      <c r="C22" t="s">
        <v>89</v>
      </c>
      <c r="D22" t="s">
        <v>91</v>
      </c>
      <c r="E22" t="s">
        <v>10</v>
      </c>
      <c r="F22" t="s">
        <v>11</v>
      </c>
      <c r="G22" t="s">
        <v>92</v>
      </c>
      <c r="H22" t="s">
        <v>13</v>
      </c>
      <c r="I22">
        <v>11</v>
      </c>
      <c r="J22">
        <v>12</v>
      </c>
      <c r="K22">
        <v>13.47</v>
      </c>
      <c r="L22" s="5">
        <v>32.82</v>
      </c>
      <c r="M22">
        <v>11</v>
      </c>
      <c r="N22">
        <v>14</v>
      </c>
      <c r="O22" s="4">
        <v>18.75</v>
      </c>
      <c r="P22">
        <v>20</v>
      </c>
      <c r="Q22">
        <v>10</v>
      </c>
      <c r="R22">
        <v>20</v>
      </c>
      <c r="S22">
        <v>20</v>
      </c>
      <c r="T22">
        <v>20</v>
      </c>
      <c r="U22" s="2">
        <v>9</v>
      </c>
      <c r="V22" s="3" t="s">
        <v>13</v>
      </c>
      <c r="W22">
        <v>12.64</v>
      </c>
      <c r="X22" s="1">
        <v>14.64</v>
      </c>
    </row>
    <row r="23" spans="1:24" ht="15">
      <c r="A23" t="str">
        <f>IF(ISNUMBER(MATCH(Table1[[#This Row],[Número de ID]],table13[CEDULA],0)),"sec 2","sec 1")</f>
        <v>sec 1</v>
      </c>
      <c r="B23" t="s">
        <v>94</v>
      </c>
      <c r="C23" t="s">
        <v>93</v>
      </c>
      <c r="D23" t="s">
        <v>95</v>
      </c>
      <c r="E23" t="s">
        <v>10</v>
      </c>
      <c r="F23" t="s">
        <v>11</v>
      </c>
      <c r="G23" t="s">
        <v>96</v>
      </c>
      <c r="H23" t="s">
        <v>13</v>
      </c>
      <c r="I23">
        <v>13</v>
      </c>
      <c r="J23">
        <v>16</v>
      </c>
      <c r="K23">
        <v>18</v>
      </c>
      <c r="L23" s="5">
        <v>42.3</v>
      </c>
      <c r="M23">
        <v>14</v>
      </c>
      <c r="N23">
        <v>19</v>
      </c>
      <c r="O23" s="4">
        <v>24.75</v>
      </c>
      <c r="P23">
        <v>15</v>
      </c>
      <c r="Q23">
        <v>15</v>
      </c>
      <c r="R23">
        <v>12</v>
      </c>
      <c r="S23">
        <v>0</v>
      </c>
      <c r="T23">
        <v>16</v>
      </c>
      <c r="U23" s="2">
        <v>5.8</v>
      </c>
      <c r="V23" s="3">
        <v>1</v>
      </c>
      <c r="W23">
        <v>1.94</v>
      </c>
      <c r="X23" s="1">
        <v>15.16</v>
      </c>
    </row>
    <row r="24" spans="1:24" ht="15">
      <c r="A24" t="str">
        <f>IF(ISNUMBER(MATCH(Table1[[#This Row],[Número de ID]],table13[CEDULA],0)),"sec 2","sec 1")</f>
        <v>sec 1</v>
      </c>
      <c r="B24" t="s">
        <v>98</v>
      </c>
      <c r="C24" t="s">
        <v>97</v>
      </c>
      <c r="D24" t="s">
        <v>99</v>
      </c>
      <c r="E24" t="s">
        <v>10</v>
      </c>
      <c r="F24" t="s">
        <v>11</v>
      </c>
      <c r="G24" t="s">
        <v>100</v>
      </c>
      <c r="I24">
        <v>16.8</v>
      </c>
      <c r="J24">
        <v>13.65</v>
      </c>
      <c r="K24">
        <v>11.84</v>
      </c>
      <c r="L24" s="5">
        <v>38.06</v>
      </c>
      <c r="M24">
        <v>13</v>
      </c>
      <c r="N24">
        <v>17</v>
      </c>
      <c r="O24" s="4">
        <v>22.5</v>
      </c>
      <c r="P24">
        <v>15</v>
      </c>
      <c r="Q24">
        <v>20</v>
      </c>
      <c r="R24">
        <v>20</v>
      </c>
      <c r="S24">
        <v>0</v>
      </c>
      <c r="T24">
        <v>20</v>
      </c>
      <c r="U24" s="2">
        <v>7.5</v>
      </c>
      <c r="V24" s="3">
        <v>1</v>
      </c>
      <c r="W24">
        <v>2.92</v>
      </c>
      <c r="X24" s="1">
        <v>14.4</v>
      </c>
    </row>
    <row r="25" spans="1:24" ht="15">
      <c r="A25" t="str">
        <f>IF(ISNUMBER(MATCH(Table1[[#This Row],[Número de ID]],table13[CEDULA],0)),"sec 2","sec 1")</f>
        <v>sec 1</v>
      </c>
      <c r="B25" t="s">
        <v>102</v>
      </c>
      <c r="C25" t="s">
        <v>101</v>
      </c>
      <c r="D25" t="s">
        <v>103</v>
      </c>
      <c r="E25" t="s">
        <v>10</v>
      </c>
      <c r="F25" t="s">
        <v>11</v>
      </c>
      <c r="G25" t="s">
        <v>104</v>
      </c>
      <c r="H25" t="s">
        <v>13</v>
      </c>
      <c r="I25">
        <v>11</v>
      </c>
      <c r="J25">
        <v>10</v>
      </c>
      <c r="K25">
        <v>12.5</v>
      </c>
      <c r="L25" s="5">
        <v>30.15</v>
      </c>
      <c r="M25">
        <v>15</v>
      </c>
      <c r="N25">
        <v>19</v>
      </c>
      <c r="O25" s="4">
        <v>25.5</v>
      </c>
      <c r="P25">
        <v>20</v>
      </c>
      <c r="Q25">
        <v>15</v>
      </c>
      <c r="R25">
        <v>16</v>
      </c>
      <c r="S25">
        <v>20</v>
      </c>
      <c r="T25">
        <v>16</v>
      </c>
      <c r="U25" s="2">
        <v>8.6999999999999993</v>
      </c>
      <c r="V25" s="3" t="s">
        <v>13</v>
      </c>
      <c r="W25">
        <v>10.210000000000001</v>
      </c>
      <c r="X25" s="1">
        <v>14.91</v>
      </c>
    </row>
    <row r="26" spans="1:24" ht="15">
      <c r="A26" t="str">
        <f>IF(ISNUMBER(MATCH(Table1[[#This Row],[Número de ID]],table13[CEDULA],0)),"sec 2","sec 1")</f>
        <v>sec 1</v>
      </c>
      <c r="B26" t="s">
        <v>106</v>
      </c>
      <c r="C26" t="s">
        <v>105</v>
      </c>
      <c r="D26" t="s">
        <v>107</v>
      </c>
      <c r="E26" t="s">
        <v>10</v>
      </c>
      <c r="F26" t="s">
        <v>11</v>
      </c>
      <c r="G26" t="s">
        <v>108</v>
      </c>
      <c r="I26">
        <v>14</v>
      </c>
      <c r="J26">
        <v>18</v>
      </c>
      <c r="K26">
        <v>14.5</v>
      </c>
      <c r="L26" s="5">
        <v>41.85</v>
      </c>
      <c r="M26">
        <v>12</v>
      </c>
      <c r="N26">
        <v>16</v>
      </c>
      <c r="O26" s="4">
        <v>21</v>
      </c>
      <c r="P26">
        <v>20</v>
      </c>
      <c r="Q26">
        <v>20</v>
      </c>
      <c r="R26">
        <v>20</v>
      </c>
      <c r="S26">
        <v>20</v>
      </c>
      <c r="T26">
        <v>20</v>
      </c>
      <c r="U26" s="2">
        <v>10</v>
      </c>
      <c r="V26" s="3" t="s">
        <v>13</v>
      </c>
      <c r="W26">
        <v>13.13</v>
      </c>
      <c r="X26" s="1">
        <v>17.2</v>
      </c>
    </row>
    <row r="27" spans="1:24" ht="15">
      <c r="A27" t="str">
        <f>IF(ISNUMBER(MATCH(Table1[[#This Row],[Número de ID]],table13[CEDULA],0)),"sec 2","sec 1")</f>
        <v>sec 2</v>
      </c>
      <c r="B27" t="s">
        <v>110</v>
      </c>
      <c r="C27" t="s">
        <v>109</v>
      </c>
      <c r="D27" t="s">
        <v>111</v>
      </c>
      <c r="E27" t="s">
        <v>10</v>
      </c>
      <c r="F27" t="s">
        <v>11</v>
      </c>
      <c r="G27" t="s">
        <v>112</v>
      </c>
      <c r="H27" t="s">
        <v>13</v>
      </c>
      <c r="I27">
        <v>6.3</v>
      </c>
      <c r="J27">
        <v>11.55</v>
      </c>
      <c r="K27">
        <v>7.5</v>
      </c>
      <c r="L27" s="5">
        <v>22.82</v>
      </c>
      <c r="M27">
        <v>15</v>
      </c>
      <c r="N27">
        <v>15</v>
      </c>
      <c r="O27" s="4">
        <v>22.5</v>
      </c>
      <c r="P27">
        <v>15</v>
      </c>
      <c r="Q27">
        <v>20</v>
      </c>
      <c r="R27">
        <v>20</v>
      </c>
      <c r="S27">
        <v>15</v>
      </c>
      <c r="T27">
        <v>16</v>
      </c>
      <c r="U27" s="2">
        <v>8.6</v>
      </c>
      <c r="V27" s="3">
        <v>1</v>
      </c>
      <c r="W27">
        <v>11.67</v>
      </c>
      <c r="X27" s="6">
        <v>13.32</v>
      </c>
    </row>
    <row r="28" spans="1:24" ht="15">
      <c r="A28" t="str">
        <f>IF(ISNUMBER(MATCH(Table1[[#This Row],[Número de ID]],table13[CEDULA],0)),"sec 2","sec 1")</f>
        <v>sec 1</v>
      </c>
      <c r="B28" t="s">
        <v>114</v>
      </c>
      <c r="C28" t="s">
        <v>113</v>
      </c>
      <c r="D28" t="s">
        <v>115</v>
      </c>
      <c r="E28" t="s">
        <v>10</v>
      </c>
      <c r="F28" t="s">
        <v>11</v>
      </c>
      <c r="G28" t="s">
        <v>116</v>
      </c>
      <c r="I28">
        <v>15.8</v>
      </c>
      <c r="J28">
        <v>7</v>
      </c>
      <c r="K28">
        <v>9.8000000000000007</v>
      </c>
      <c r="L28" s="5">
        <v>29.34</v>
      </c>
      <c r="M28">
        <v>11</v>
      </c>
      <c r="N28">
        <v>15</v>
      </c>
      <c r="O28" s="4">
        <v>19.5</v>
      </c>
      <c r="P28">
        <v>20</v>
      </c>
      <c r="Q28">
        <v>20</v>
      </c>
      <c r="R28">
        <v>12</v>
      </c>
      <c r="S28">
        <v>0</v>
      </c>
      <c r="T28">
        <v>8</v>
      </c>
      <c r="U28" s="2">
        <v>6</v>
      </c>
      <c r="V28" s="3" t="s">
        <v>13</v>
      </c>
      <c r="W28">
        <v>7.78</v>
      </c>
      <c r="X28" s="1">
        <v>12.52</v>
      </c>
    </row>
    <row r="29" spans="1:24" ht="15">
      <c r="A29" t="str">
        <f>IF(ISNUMBER(MATCH(Table1[[#This Row],[Número de ID]],table13[CEDULA],0)),"sec 2","sec 1")</f>
        <v>sec 1</v>
      </c>
      <c r="B29" t="s">
        <v>118</v>
      </c>
      <c r="C29" t="s">
        <v>117</v>
      </c>
      <c r="D29" t="s">
        <v>119</v>
      </c>
      <c r="E29" t="s">
        <v>10</v>
      </c>
      <c r="F29" t="s">
        <v>11</v>
      </c>
      <c r="G29" t="s">
        <v>120</v>
      </c>
      <c r="I29">
        <v>16</v>
      </c>
      <c r="J29">
        <v>14</v>
      </c>
      <c r="K29">
        <v>19.5</v>
      </c>
      <c r="L29" s="5">
        <v>44.55</v>
      </c>
      <c r="M29">
        <v>16</v>
      </c>
      <c r="N29">
        <v>15</v>
      </c>
      <c r="O29" s="4">
        <v>23.25</v>
      </c>
      <c r="P29">
        <v>15</v>
      </c>
      <c r="Q29">
        <v>10</v>
      </c>
      <c r="R29">
        <v>16</v>
      </c>
      <c r="S29">
        <v>15</v>
      </c>
      <c r="T29">
        <v>16</v>
      </c>
      <c r="U29" s="2">
        <v>7.2</v>
      </c>
      <c r="V29" s="3">
        <v>5</v>
      </c>
      <c r="W29">
        <v>3.89</v>
      </c>
      <c r="X29" s="1">
        <v>16.78</v>
      </c>
    </row>
    <row r="30" spans="1:24" ht="15">
      <c r="A30" t="str">
        <f>IF(ISNUMBER(MATCH(Table1[[#This Row],[Número de ID]],table13[CEDULA],0)),"sec 2","sec 1")</f>
        <v>sec 1</v>
      </c>
      <c r="B30" t="s">
        <v>122</v>
      </c>
      <c r="C30" t="s">
        <v>121</v>
      </c>
      <c r="D30" t="s">
        <v>123</v>
      </c>
      <c r="E30" t="s">
        <v>10</v>
      </c>
      <c r="F30" t="s">
        <v>11</v>
      </c>
      <c r="G30" t="s">
        <v>124</v>
      </c>
      <c r="I30">
        <v>17.899999999999999</v>
      </c>
      <c r="J30">
        <v>16</v>
      </c>
      <c r="K30">
        <v>18</v>
      </c>
      <c r="L30" s="5">
        <v>46.71</v>
      </c>
      <c r="M30">
        <v>17</v>
      </c>
      <c r="N30">
        <v>19</v>
      </c>
      <c r="O30" s="4">
        <v>27</v>
      </c>
      <c r="P30">
        <v>20</v>
      </c>
      <c r="Q30">
        <v>15</v>
      </c>
      <c r="R30">
        <v>4</v>
      </c>
      <c r="S30">
        <v>15</v>
      </c>
      <c r="T30">
        <v>20</v>
      </c>
      <c r="U30" s="2">
        <v>7.4</v>
      </c>
      <c r="V30" s="3">
        <v>6</v>
      </c>
      <c r="W30">
        <v>13.61</v>
      </c>
      <c r="X30" s="1">
        <v>20</v>
      </c>
    </row>
    <row r="31" spans="1:24" ht="15">
      <c r="A31" t="str">
        <f>IF(ISNUMBER(MATCH(Table1[[#This Row],[Número de ID]],table13[CEDULA],0)),"sec 2","sec 1")</f>
        <v>sec 2</v>
      </c>
      <c r="B31" t="s">
        <v>126</v>
      </c>
      <c r="C31" t="s">
        <v>125</v>
      </c>
      <c r="D31" t="s">
        <v>127</v>
      </c>
      <c r="E31" t="s">
        <v>10</v>
      </c>
      <c r="F31" t="s">
        <v>11</v>
      </c>
      <c r="G31" t="s">
        <v>128</v>
      </c>
      <c r="H31" t="s">
        <v>13</v>
      </c>
      <c r="I31">
        <v>15</v>
      </c>
      <c r="J31">
        <v>13</v>
      </c>
      <c r="K31">
        <v>7</v>
      </c>
      <c r="L31" s="5">
        <v>31.5</v>
      </c>
      <c r="M31">
        <v>12</v>
      </c>
      <c r="N31">
        <v>12</v>
      </c>
      <c r="O31" s="4">
        <v>18</v>
      </c>
      <c r="P31">
        <v>10</v>
      </c>
      <c r="Q31">
        <v>5</v>
      </c>
      <c r="R31">
        <v>16</v>
      </c>
      <c r="S31">
        <v>20</v>
      </c>
      <c r="T31">
        <v>12</v>
      </c>
      <c r="U31" s="2">
        <v>6.3</v>
      </c>
      <c r="V31" s="3" t="s">
        <v>13</v>
      </c>
      <c r="W31">
        <v>1.94</v>
      </c>
      <c r="X31" s="8">
        <v>11.55</v>
      </c>
    </row>
    <row r="32" spans="1:24" ht="15">
      <c r="A32" t="str">
        <f>IF(ISNUMBER(MATCH(Table1[[#This Row],[Número de ID]],table13[CEDULA],0)),"sec 2","sec 1")</f>
        <v>sec 1</v>
      </c>
      <c r="B32" t="s">
        <v>130</v>
      </c>
      <c r="C32" t="s">
        <v>129</v>
      </c>
      <c r="D32" t="s">
        <v>131</v>
      </c>
      <c r="E32" t="s">
        <v>10</v>
      </c>
      <c r="F32" t="s">
        <v>11</v>
      </c>
      <c r="G32" t="s">
        <v>132</v>
      </c>
      <c r="H32" t="s">
        <v>13</v>
      </c>
      <c r="I32">
        <v>16.8</v>
      </c>
      <c r="J32">
        <v>19</v>
      </c>
      <c r="K32">
        <v>18</v>
      </c>
      <c r="L32" s="5">
        <v>48.42</v>
      </c>
      <c r="M32">
        <v>14</v>
      </c>
      <c r="N32">
        <v>19</v>
      </c>
      <c r="O32" s="4">
        <v>24.75</v>
      </c>
      <c r="P32">
        <v>20</v>
      </c>
      <c r="Q32">
        <v>20</v>
      </c>
      <c r="R32">
        <v>20</v>
      </c>
      <c r="S32">
        <v>20</v>
      </c>
      <c r="T32">
        <v>16</v>
      </c>
      <c r="U32" s="2">
        <v>9.6</v>
      </c>
      <c r="V32" s="3">
        <v>2</v>
      </c>
      <c r="W32">
        <v>3.89</v>
      </c>
      <c r="X32" s="1">
        <v>17.73</v>
      </c>
    </row>
    <row r="33" spans="1:24" ht="15">
      <c r="A33" t="str">
        <f>IF(ISNUMBER(MATCH(Table1[[#This Row],[Número de ID]],table13[CEDULA],0)),"sec 2","sec 1")</f>
        <v>sec 2</v>
      </c>
      <c r="B33" t="s">
        <v>134</v>
      </c>
      <c r="C33" t="s">
        <v>133</v>
      </c>
      <c r="D33" t="s">
        <v>135</v>
      </c>
      <c r="E33" t="s">
        <v>10</v>
      </c>
      <c r="F33" t="s">
        <v>11</v>
      </c>
      <c r="G33" t="s">
        <v>136</v>
      </c>
      <c r="I33">
        <v>11.6</v>
      </c>
      <c r="J33">
        <v>11</v>
      </c>
      <c r="K33">
        <v>13.5</v>
      </c>
      <c r="L33" s="5">
        <v>32.49</v>
      </c>
      <c r="M33">
        <v>16</v>
      </c>
      <c r="N33">
        <v>14</v>
      </c>
      <c r="O33" s="4">
        <v>22.5</v>
      </c>
      <c r="P33">
        <v>20</v>
      </c>
      <c r="Q33">
        <v>10</v>
      </c>
      <c r="R33">
        <v>12</v>
      </c>
      <c r="S33">
        <v>20</v>
      </c>
      <c r="T33">
        <v>8</v>
      </c>
      <c r="U33" s="2">
        <v>7</v>
      </c>
      <c r="V33" s="3">
        <v>2</v>
      </c>
      <c r="W33">
        <v>10.69</v>
      </c>
      <c r="X33" s="6">
        <v>14.94</v>
      </c>
    </row>
    <row r="34" spans="1:24" ht="15">
      <c r="A34" t="str">
        <f>IF(ISNUMBER(MATCH(Table1[[#This Row],[Número de ID]],table13[CEDULA],0)),"sec 2","sec 1")</f>
        <v>sec 1</v>
      </c>
      <c r="B34" t="s">
        <v>138</v>
      </c>
      <c r="C34" t="s">
        <v>137</v>
      </c>
      <c r="D34" t="s">
        <v>139</v>
      </c>
      <c r="E34" t="s">
        <v>10</v>
      </c>
      <c r="F34" t="s">
        <v>11</v>
      </c>
      <c r="G34" t="s">
        <v>140</v>
      </c>
      <c r="I34">
        <v>7</v>
      </c>
      <c r="J34">
        <v>15</v>
      </c>
      <c r="K34">
        <v>10</v>
      </c>
      <c r="L34" s="5">
        <v>28.8</v>
      </c>
      <c r="M34">
        <v>12</v>
      </c>
      <c r="N34">
        <v>16</v>
      </c>
      <c r="O34" s="4">
        <v>21</v>
      </c>
      <c r="P34">
        <v>20</v>
      </c>
      <c r="Q34">
        <v>0</v>
      </c>
      <c r="R34">
        <v>0</v>
      </c>
      <c r="S34">
        <v>0</v>
      </c>
      <c r="T34">
        <v>0</v>
      </c>
      <c r="U34" s="2">
        <v>2</v>
      </c>
      <c r="V34" s="3" t="s">
        <v>13</v>
      </c>
      <c r="W34">
        <v>4.8600000000000003</v>
      </c>
      <c r="X34" s="1">
        <v>11.33</v>
      </c>
    </row>
    <row r="35" spans="1:24" ht="15">
      <c r="A35" t="str">
        <f>IF(ISNUMBER(MATCH(Table1[[#This Row],[Número de ID]],table13[CEDULA],0)),"sec 2","sec 1")</f>
        <v>sec 1</v>
      </c>
      <c r="B35" t="s">
        <v>142</v>
      </c>
      <c r="C35" t="s">
        <v>141</v>
      </c>
      <c r="D35" t="s">
        <v>143</v>
      </c>
      <c r="E35" t="s">
        <v>10</v>
      </c>
      <c r="F35" t="s">
        <v>11</v>
      </c>
      <c r="G35" t="s">
        <v>144</v>
      </c>
      <c r="I35">
        <v>19</v>
      </c>
      <c r="J35">
        <v>14</v>
      </c>
      <c r="K35">
        <v>16.5</v>
      </c>
      <c r="L35" s="5">
        <v>44.55</v>
      </c>
      <c r="M35">
        <v>17</v>
      </c>
      <c r="N35">
        <v>19</v>
      </c>
      <c r="O35" s="4">
        <v>27</v>
      </c>
      <c r="P35">
        <v>20</v>
      </c>
      <c r="Q35">
        <v>10</v>
      </c>
      <c r="R35">
        <v>16</v>
      </c>
      <c r="S35">
        <v>20</v>
      </c>
      <c r="T35">
        <v>20</v>
      </c>
      <c r="U35" s="2">
        <v>8.6</v>
      </c>
      <c r="V35" s="3">
        <v>5</v>
      </c>
      <c r="W35">
        <v>13.61</v>
      </c>
      <c r="X35" s="1">
        <v>19.75</v>
      </c>
    </row>
    <row r="36" spans="1:24" ht="15">
      <c r="A36" t="str">
        <f>IF(ISNUMBER(MATCH(Table1[[#This Row],[Número de ID]],table13[CEDULA],0)),"sec 2","sec 1")</f>
        <v>sec 2</v>
      </c>
      <c r="B36" t="s">
        <v>146</v>
      </c>
      <c r="C36" t="s">
        <v>145</v>
      </c>
      <c r="D36" t="s">
        <v>147</v>
      </c>
      <c r="E36" t="s">
        <v>10</v>
      </c>
      <c r="F36" t="s">
        <v>11</v>
      </c>
      <c r="G36" t="s">
        <v>148</v>
      </c>
      <c r="H36" t="s">
        <v>13</v>
      </c>
      <c r="I36">
        <v>11</v>
      </c>
      <c r="J36">
        <v>13</v>
      </c>
      <c r="K36">
        <v>12.5</v>
      </c>
      <c r="L36" s="5">
        <v>32.85</v>
      </c>
      <c r="M36">
        <v>15</v>
      </c>
      <c r="N36">
        <v>18</v>
      </c>
      <c r="O36" s="4">
        <v>24.75</v>
      </c>
      <c r="P36">
        <v>20</v>
      </c>
      <c r="Q36">
        <v>15</v>
      </c>
      <c r="R36">
        <v>16</v>
      </c>
      <c r="S36">
        <v>15</v>
      </c>
      <c r="T36">
        <v>16</v>
      </c>
      <c r="U36" s="2">
        <v>8.1999999999999993</v>
      </c>
      <c r="V36" s="3">
        <v>1</v>
      </c>
      <c r="W36">
        <v>10.69</v>
      </c>
      <c r="X36" s="6">
        <v>15.5</v>
      </c>
    </row>
    <row r="37" spans="1:24" ht="15">
      <c r="A37" t="str">
        <f>IF(ISNUMBER(MATCH(Table1[[#This Row],[Número de ID]],table13[CEDULA],0)),"sec 2","sec 1")</f>
        <v>sec 1</v>
      </c>
      <c r="B37" t="s">
        <v>150</v>
      </c>
      <c r="C37" t="s">
        <v>149</v>
      </c>
      <c r="D37" t="s">
        <v>151</v>
      </c>
      <c r="E37" t="s">
        <v>10</v>
      </c>
      <c r="F37" t="s">
        <v>11</v>
      </c>
      <c r="G37" t="s">
        <v>152</v>
      </c>
      <c r="I37">
        <v>15.8</v>
      </c>
      <c r="J37">
        <v>14</v>
      </c>
      <c r="K37">
        <v>16</v>
      </c>
      <c r="L37" s="5">
        <v>41.22</v>
      </c>
      <c r="M37">
        <v>11</v>
      </c>
      <c r="N37">
        <v>15</v>
      </c>
      <c r="O37" s="4">
        <v>19.5</v>
      </c>
      <c r="P37">
        <v>20</v>
      </c>
      <c r="Q37">
        <v>15</v>
      </c>
      <c r="R37">
        <v>20</v>
      </c>
      <c r="S37">
        <v>10</v>
      </c>
      <c r="T37">
        <v>0</v>
      </c>
      <c r="U37" s="2">
        <v>6.5</v>
      </c>
      <c r="V37" s="3" t="s">
        <v>13</v>
      </c>
      <c r="W37">
        <v>3.89</v>
      </c>
      <c r="X37" s="1">
        <v>14.22</v>
      </c>
    </row>
    <row r="38" spans="1:24" ht="15">
      <c r="A38" t="str">
        <f>IF(ISNUMBER(MATCH(Table1[[#This Row],[Número de ID]],table13[CEDULA],0)),"sec 2","sec 1")</f>
        <v>sec 1</v>
      </c>
      <c r="B38" t="s">
        <v>154</v>
      </c>
      <c r="C38" t="s">
        <v>153</v>
      </c>
      <c r="D38" t="s">
        <v>155</v>
      </c>
      <c r="E38" t="s">
        <v>10</v>
      </c>
      <c r="F38" t="s">
        <v>11</v>
      </c>
      <c r="G38" t="s">
        <v>156</v>
      </c>
      <c r="I38">
        <v>13</v>
      </c>
      <c r="J38">
        <v>15</v>
      </c>
      <c r="K38">
        <v>11.02</v>
      </c>
      <c r="L38" s="5">
        <v>35.119999999999997</v>
      </c>
      <c r="M38">
        <v>13</v>
      </c>
      <c r="N38">
        <v>17</v>
      </c>
      <c r="O38" s="4">
        <v>22.5</v>
      </c>
      <c r="P38">
        <v>20</v>
      </c>
      <c r="Q38">
        <v>15</v>
      </c>
      <c r="R38">
        <v>12</v>
      </c>
      <c r="S38">
        <v>15</v>
      </c>
      <c r="T38">
        <v>16</v>
      </c>
      <c r="U38" s="2">
        <v>7.8</v>
      </c>
      <c r="V38" s="3" t="s">
        <v>13</v>
      </c>
      <c r="W38">
        <v>9.7200000000000006</v>
      </c>
      <c r="X38" s="1">
        <v>15.03</v>
      </c>
    </row>
    <row r="39" spans="1:24" ht="15">
      <c r="A39" t="str">
        <f>IF(ISNUMBER(MATCH(Table1[[#This Row],[Número de ID]],table13[CEDULA],0)),"sec 2","sec 1")</f>
        <v>sec 1</v>
      </c>
      <c r="B39" t="s">
        <v>158</v>
      </c>
      <c r="C39" t="s">
        <v>157</v>
      </c>
      <c r="D39" t="s">
        <v>159</v>
      </c>
      <c r="E39" t="s">
        <v>10</v>
      </c>
      <c r="F39" t="s">
        <v>11</v>
      </c>
      <c r="G39" t="s">
        <v>160</v>
      </c>
      <c r="H39" t="s">
        <v>13</v>
      </c>
      <c r="I39">
        <v>19.899999999999999</v>
      </c>
      <c r="J39">
        <v>16</v>
      </c>
      <c r="K39">
        <v>16.73</v>
      </c>
      <c r="L39" s="5">
        <v>47.37</v>
      </c>
      <c r="M39">
        <v>16</v>
      </c>
      <c r="N39">
        <v>15</v>
      </c>
      <c r="O39" s="4">
        <v>23.25</v>
      </c>
      <c r="P39">
        <v>20</v>
      </c>
      <c r="Q39">
        <v>5</v>
      </c>
      <c r="R39">
        <v>16</v>
      </c>
      <c r="S39">
        <v>20</v>
      </c>
      <c r="T39">
        <v>20</v>
      </c>
      <c r="U39" s="2">
        <v>8.1</v>
      </c>
      <c r="V39" s="3">
        <v>3</v>
      </c>
      <c r="W39">
        <v>10.210000000000001</v>
      </c>
      <c r="X39" s="1">
        <v>18.39</v>
      </c>
    </row>
    <row r="40" spans="1:24" ht="15">
      <c r="A40" t="str">
        <f>IF(ISNUMBER(MATCH(Table1[[#This Row],[Número de ID]],table13[CEDULA],0)),"sec 2","sec 1")</f>
        <v>sec 2</v>
      </c>
      <c r="B40" t="s">
        <v>162</v>
      </c>
      <c r="C40" t="s">
        <v>161</v>
      </c>
      <c r="D40" t="s">
        <v>163</v>
      </c>
      <c r="E40" t="s">
        <v>10</v>
      </c>
      <c r="F40" t="s">
        <v>11</v>
      </c>
      <c r="G40" t="s">
        <v>164</v>
      </c>
      <c r="I40">
        <v>15</v>
      </c>
      <c r="J40">
        <v>10</v>
      </c>
      <c r="K40">
        <v>9.5</v>
      </c>
      <c r="L40" s="5">
        <v>31.05</v>
      </c>
      <c r="M40">
        <v>8</v>
      </c>
      <c r="N40">
        <v>13</v>
      </c>
      <c r="O40" s="4">
        <v>15.75</v>
      </c>
      <c r="P40">
        <v>15</v>
      </c>
      <c r="Q40">
        <v>15</v>
      </c>
      <c r="R40">
        <v>16</v>
      </c>
      <c r="S40">
        <v>20</v>
      </c>
      <c r="T40">
        <v>20</v>
      </c>
      <c r="U40" s="2">
        <v>8.6</v>
      </c>
      <c r="V40" s="3">
        <v>4</v>
      </c>
      <c r="W40">
        <v>16.04</v>
      </c>
      <c r="X40" s="6">
        <v>16</v>
      </c>
    </row>
    <row r="41" spans="1:24" ht="15">
      <c r="A41" t="str">
        <f>IF(ISNUMBER(MATCH(Table1[[#This Row],[Número de ID]],table13[CEDULA],0)),"sec 2","sec 1")</f>
        <v>sec 2</v>
      </c>
      <c r="B41" t="s">
        <v>166</v>
      </c>
      <c r="C41" t="s">
        <v>165</v>
      </c>
      <c r="D41" t="s">
        <v>167</v>
      </c>
      <c r="E41" t="s">
        <v>10</v>
      </c>
      <c r="F41" t="s">
        <v>11</v>
      </c>
      <c r="G41" t="s">
        <v>168</v>
      </c>
      <c r="I41">
        <v>12.6</v>
      </c>
      <c r="J41">
        <v>3</v>
      </c>
      <c r="K41">
        <v>9</v>
      </c>
      <c r="L41" s="5">
        <v>22.14</v>
      </c>
      <c r="M41">
        <v>12</v>
      </c>
      <c r="N41">
        <v>13</v>
      </c>
      <c r="O41" s="4">
        <v>18.75</v>
      </c>
      <c r="P41">
        <v>20</v>
      </c>
      <c r="Q41">
        <v>20</v>
      </c>
      <c r="R41">
        <v>20</v>
      </c>
      <c r="S41">
        <v>20</v>
      </c>
      <c r="T41">
        <v>20</v>
      </c>
      <c r="U41" s="2">
        <v>10</v>
      </c>
      <c r="V41" s="3" t="s">
        <v>13</v>
      </c>
      <c r="W41">
        <v>12.64</v>
      </c>
      <c r="X41" s="6">
        <v>12.71</v>
      </c>
    </row>
    <row r="42" spans="1:24" ht="15">
      <c r="A42" t="str">
        <f>IF(ISNUMBER(MATCH(Table1[[#This Row],[Número de ID]],table13[CEDULA],0)),"sec 2","sec 1")</f>
        <v>sec 1</v>
      </c>
      <c r="B42" t="s">
        <v>169</v>
      </c>
      <c r="C42" t="s">
        <v>141</v>
      </c>
      <c r="D42" t="s">
        <v>170</v>
      </c>
      <c r="E42" t="s">
        <v>10</v>
      </c>
      <c r="F42" t="s">
        <v>11</v>
      </c>
      <c r="G42" t="s">
        <v>171</v>
      </c>
      <c r="I42">
        <v>12</v>
      </c>
      <c r="J42">
        <v>11</v>
      </c>
      <c r="K42">
        <v>16</v>
      </c>
      <c r="L42" s="5">
        <v>35.1</v>
      </c>
      <c r="M42">
        <v>17</v>
      </c>
      <c r="N42">
        <v>20</v>
      </c>
      <c r="O42" s="4">
        <v>27.75</v>
      </c>
      <c r="P42">
        <v>15</v>
      </c>
      <c r="Q42">
        <v>10</v>
      </c>
      <c r="R42">
        <v>16</v>
      </c>
      <c r="S42">
        <v>0</v>
      </c>
      <c r="T42">
        <v>16</v>
      </c>
      <c r="U42" s="2">
        <v>5.7</v>
      </c>
      <c r="V42" s="3" t="s">
        <v>13</v>
      </c>
      <c r="W42">
        <v>9.7200000000000006</v>
      </c>
      <c r="X42" s="1">
        <v>15.65</v>
      </c>
    </row>
    <row r="43" spans="1:24" ht="15">
      <c r="A43" t="str">
        <f>IF(ISNUMBER(MATCH(Table1[[#This Row],[Número de ID]],table13[CEDULA],0)),"sec 2","sec 1")</f>
        <v>sec 2</v>
      </c>
      <c r="B43" t="s">
        <v>173</v>
      </c>
      <c r="C43" t="s">
        <v>172</v>
      </c>
      <c r="D43" t="s">
        <v>174</v>
      </c>
      <c r="E43" t="s">
        <v>10</v>
      </c>
      <c r="F43" t="s">
        <v>11</v>
      </c>
      <c r="G43" t="s">
        <v>175</v>
      </c>
      <c r="I43">
        <v>10.5</v>
      </c>
      <c r="J43">
        <v>16</v>
      </c>
      <c r="K43">
        <v>14</v>
      </c>
      <c r="L43" s="5">
        <v>36.450000000000003</v>
      </c>
      <c r="M43">
        <v>8</v>
      </c>
      <c r="N43">
        <v>13</v>
      </c>
      <c r="O43" s="4">
        <v>15.75</v>
      </c>
      <c r="P43">
        <v>20</v>
      </c>
      <c r="Q43">
        <v>15</v>
      </c>
      <c r="R43">
        <v>0</v>
      </c>
      <c r="S43">
        <v>20</v>
      </c>
      <c r="T43">
        <v>20</v>
      </c>
      <c r="U43" s="2">
        <v>7.5</v>
      </c>
      <c r="V43" s="3">
        <v>1</v>
      </c>
      <c r="W43">
        <v>4.38</v>
      </c>
      <c r="X43" s="6">
        <v>13.02</v>
      </c>
    </row>
    <row r="44" spans="1:24" ht="15">
      <c r="A44" t="str">
        <f>IF(ISNUMBER(MATCH(Table1[[#This Row],[Número de ID]],table13[CEDULA],0)),"sec 2","sec 1")</f>
        <v>sec 2</v>
      </c>
      <c r="B44" t="s">
        <v>176</v>
      </c>
      <c r="C44" t="s">
        <v>129</v>
      </c>
      <c r="D44" t="s">
        <v>177</v>
      </c>
      <c r="E44" t="s">
        <v>10</v>
      </c>
      <c r="F44" t="s">
        <v>11</v>
      </c>
      <c r="G44" t="s">
        <v>178</v>
      </c>
      <c r="I44">
        <v>15</v>
      </c>
      <c r="J44">
        <v>9</v>
      </c>
      <c r="K44">
        <v>12.24</v>
      </c>
      <c r="L44" s="5">
        <v>32.619999999999997</v>
      </c>
      <c r="M44">
        <v>14</v>
      </c>
      <c r="N44">
        <v>15</v>
      </c>
      <c r="O44" s="4">
        <v>21.75</v>
      </c>
      <c r="P44">
        <v>10</v>
      </c>
      <c r="Q44">
        <v>10</v>
      </c>
      <c r="R44">
        <v>16</v>
      </c>
      <c r="S44">
        <v>20</v>
      </c>
      <c r="T44">
        <v>8</v>
      </c>
      <c r="U44" s="2">
        <v>6.4</v>
      </c>
      <c r="V44" s="3" t="s">
        <v>13</v>
      </c>
      <c r="W44">
        <v>4.8600000000000003</v>
      </c>
      <c r="X44" s="8">
        <v>13.13</v>
      </c>
    </row>
    <row r="45" spans="1:24" ht="15">
      <c r="A45" t="str">
        <f>IF(ISNUMBER(MATCH(Table1[[#This Row],[Número de ID]],table13[CEDULA],0)),"sec 2","sec 1")</f>
        <v>sec 1</v>
      </c>
      <c r="B45" t="s">
        <v>180</v>
      </c>
      <c r="C45" t="s">
        <v>179</v>
      </c>
      <c r="D45" t="s">
        <v>181</v>
      </c>
      <c r="E45" t="s">
        <v>10</v>
      </c>
      <c r="F45" t="s">
        <v>11</v>
      </c>
      <c r="G45" t="s">
        <v>182</v>
      </c>
      <c r="I45">
        <v>18.8</v>
      </c>
      <c r="J45">
        <v>20</v>
      </c>
      <c r="K45">
        <v>19.43</v>
      </c>
      <c r="L45" s="5">
        <v>52.41</v>
      </c>
      <c r="M45">
        <v>17</v>
      </c>
      <c r="N45">
        <v>20</v>
      </c>
      <c r="O45" s="4">
        <v>27.75</v>
      </c>
      <c r="P45">
        <v>20</v>
      </c>
      <c r="Q45">
        <v>20</v>
      </c>
      <c r="R45">
        <v>20</v>
      </c>
      <c r="S45">
        <v>20</v>
      </c>
      <c r="T45">
        <v>20</v>
      </c>
      <c r="U45" s="2">
        <v>10</v>
      </c>
      <c r="V45" s="3">
        <v>6</v>
      </c>
      <c r="W45">
        <v>17.010000000000002</v>
      </c>
      <c r="X45" s="1">
        <v>20</v>
      </c>
    </row>
    <row r="46" spans="1:24" ht="15">
      <c r="A46" t="str">
        <f>IF(ISNUMBER(MATCH(Table1[[#This Row],[Número de ID]],table13[CEDULA],0)),"sec 2","sec 1")</f>
        <v>sec 2</v>
      </c>
      <c r="B46" t="s">
        <v>184</v>
      </c>
      <c r="C46" t="s">
        <v>183</v>
      </c>
      <c r="D46" t="s">
        <v>185</v>
      </c>
      <c r="E46" t="s">
        <v>10</v>
      </c>
      <c r="F46" t="s">
        <v>11</v>
      </c>
      <c r="G46" t="s">
        <v>186</v>
      </c>
      <c r="H46" t="s">
        <v>13</v>
      </c>
      <c r="I46">
        <v>6.3</v>
      </c>
      <c r="J46">
        <v>12</v>
      </c>
      <c r="K46">
        <v>8.5</v>
      </c>
      <c r="L46" s="5">
        <v>24.12</v>
      </c>
      <c r="M46">
        <v>15</v>
      </c>
      <c r="N46">
        <v>15</v>
      </c>
      <c r="O46" s="4">
        <v>22.5</v>
      </c>
      <c r="P46">
        <v>0</v>
      </c>
      <c r="Q46">
        <v>0</v>
      </c>
      <c r="R46">
        <v>20</v>
      </c>
      <c r="S46">
        <v>20</v>
      </c>
      <c r="T46">
        <v>8</v>
      </c>
      <c r="U46" s="2">
        <v>4.8</v>
      </c>
      <c r="V46" s="3">
        <v>3</v>
      </c>
      <c r="W46">
        <v>8.75</v>
      </c>
      <c r="X46" s="6">
        <v>12.63</v>
      </c>
    </row>
    <row r="47" spans="1:24" ht="15">
      <c r="A47" t="str">
        <f>IF(ISNUMBER(MATCH(Table1[[#This Row],[Número de ID]],table13[CEDULA],0)),"sec 2","sec 1")</f>
        <v>sec 1</v>
      </c>
      <c r="B47" t="s">
        <v>188</v>
      </c>
      <c r="C47" t="s">
        <v>187</v>
      </c>
      <c r="D47" t="s">
        <v>189</v>
      </c>
      <c r="E47" t="s">
        <v>10</v>
      </c>
      <c r="F47" t="s">
        <v>11</v>
      </c>
      <c r="G47" t="s">
        <v>190</v>
      </c>
      <c r="I47">
        <v>16.8</v>
      </c>
      <c r="J47">
        <v>19</v>
      </c>
      <c r="K47">
        <v>20</v>
      </c>
      <c r="L47" s="5">
        <v>50.22</v>
      </c>
      <c r="M47">
        <v>13</v>
      </c>
      <c r="N47">
        <v>17</v>
      </c>
      <c r="O47" s="4">
        <v>22.5</v>
      </c>
      <c r="P47">
        <v>20</v>
      </c>
      <c r="Q47">
        <v>20</v>
      </c>
      <c r="R47">
        <v>12</v>
      </c>
      <c r="S47">
        <v>20</v>
      </c>
      <c r="T47">
        <v>20</v>
      </c>
      <c r="U47" s="2">
        <v>9.1999999999999993</v>
      </c>
      <c r="V47" s="3">
        <v>6</v>
      </c>
      <c r="W47">
        <v>9.7200000000000006</v>
      </c>
      <c r="X47" s="1">
        <v>19.53</v>
      </c>
    </row>
    <row r="48" spans="1:24" ht="15">
      <c r="A48" t="str">
        <f>IF(ISNUMBER(MATCH(Table1[[#This Row],[Número de ID]],table13[CEDULA],0)),"sec 2","sec 1")</f>
        <v>sec 2</v>
      </c>
      <c r="B48" t="s">
        <v>192</v>
      </c>
      <c r="C48" t="s">
        <v>191</v>
      </c>
      <c r="D48" t="s">
        <v>193</v>
      </c>
      <c r="E48" t="s">
        <v>10</v>
      </c>
      <c r="F48" t="s">
        <v>11</v>
      </c>
      <c r="G48" t="s">
        <v>194</v>
      </c>
      <c r="H48" t="s">
        <v>13</v>
      </c>
      <c r="I48">
        <v>8</v>
      </c>
      <c r="J48">
        <v>7</v>
      </c>
      <c r="K48">
        <v>10.5</v>
      </c>
      <c r="L48" s="5">
        <v>22.95</v>
      </c>
      <c r="M48">
        <v>0</v>
      </c>
      <c r="N48">
        <v>14</v>
      </c>
      <c r="O48" s="4">
        <v>10.5</v>
      </c>
      <c r="P48">
        <v>20</v>
      </c>
      <c r="Q48">
        <v>0</v>
      </c>
      <c r="R48">
        <v>0</v>
      </c>
      <c r="S48">
        <v>0</v>
      </c>
      <c r="T48">
        <v>0</v>
      </c>
      <c r="U48" s="2">
        <v>2</v>
      </c>
      <c r="V48" s="3" t="s">
        <v>13</v>
      </c>
      <c r="W48">
        <v>5.35</v>
      </c>
      <c r="X48" s="6">
        <v>8.16</v>
      </c>
    </row>
    <row r="49" spans="1:24" ht="15">
      <c r="A49" t="str">
        <f>IF(ISNUMBER(MATCH(Table1[[#This Row],[Número de ID]],table13[CEDULA],0)),"sec 2","sec 1")</f>
        <v>sec 2</v>
      </c>
      <c r="B49" t="s">
        <v>196</v>
      </c>
      <c r="C49" t="s">
        <v>195</v>
      </c>
      <c r="D49" t="s">
        <v>197</v>
      </c>
      <c r="E49" t="s">
        <v>10</v>
      </c>
      <c r="F49" t="s">
        <v>11</v>
      </c>
      <c r="G49" t="s">
        <v>198</v>
      </c>
      <c r="H49" t="s">
        <v>13</v>
      </c>
      <c r="I49">
        <v>13</v>
      </c>
      <c r="J49">
        <v>14</v>
      </c>
      <c r="K49">
        <v>14</v>
      </c>
      <c r="L49" s="5">
        <v>36.9</v>
      </c>
      <c r="M49">
        <v>14</v>
      </c>
      <c r="N49">
        <v>15</v>
      </c>
      <c r="O49" s="4">
        <v>21.75</v>
      </c>
      <c r="P49">
        <v>20</v>
      </c>
      <c r="Q49">
        <v>10</v>
      </c>
      <c r="R49">
        <v>16</v>
      </c>
      <c r="S49">
        <v>0</v>
      </c>
      <c r="T49">
        <v>0</v>
      </c>
      <c r="U49" s="2">
        <v>4.5999999999999996</v>
      </c>
      <c r="V49" s="3">
        <v>1</v>
      </c>
      <c r="W49">
        <v>11.18</v>
      </c>
      <c r="X49" s="6">
        <v>15.09</v>
      </c>
    </row>
    <row r="50" spans="1:24" ht="15">
      <c r="A50" t="str">
        <f>IF(ISNUMBER(MATCH(Table1[[#This Row],[Número de ID]],table13[CEDULA],0)),"sec 2","sec 1")</f>
        <v>sec 2</v>
      </c>
      <c r="B50" t="s">
        <v>199</v>
      </c>
      <c r="C50" t="s">
        <v>65</v>
      </c>
      <c r="D50" t="s">
        <v>200</v>
      </c>
      <c r="E50" t="s">
        <v>10</v>
      </c>
      <c r="F50" t="s">
        <v>11</v>
      </c>
      <c r="G50" t="s">
        <v>201</v>
      </c>
      <c r="I50">
        <v>10.5</v>
      </c>
      <c r="J50">
        <v>13</v>
      </c>
      <c r="K50">
        <v>7.35</v>
      </c>
      <c r="L50" s="5">
        <v>27.77</v>
      </c>
      <c r="M50">
        <v>18</v>
      </c>
      <c r="N50">
        <v>14</v>
      </c>
      <c r="O50" s="4">
        <v>24</v>
      </c>
      <c r="P50">
        <v>20</v>
      </c>
      <c r="Q50">
        <v>20</v>
      </c>
      <c r="R50">
        <v>20</v>
      </c>
      <c r="S50">
        <v>0</v>
      </c>
      <c r="T50">
        <v>0</v>
      </c>
      <c r="U50" s="2">
        <v>6</v>
      </c>
      <c r="V50" s="3" t="s">
        <v>13</v>
      </c>
      <c r="W50">
        <v>1.94</v>
      </c>
      <c r="X50" s="6">
        <v>11.94</v>
      </c>
    </row>
    <row r="51" spans="1:24" ht="15">
      <c r="A51" t="str">
        <f>IF(ISNUMBER(MATCH(Table1[[#This Row],[Número de ID]],table13[CEDULA],0)),"sec 2","sec 1")</f>
        <v>sec 2</v>
      </c>
      <c r="B51" t="s">
        <v>203</v>
      </c>
      <c r="C51" t="s">
        <v>202</v>
      </c>
      <c r="D51" t="s">
        <v>204</v>
      </c>
      <c r="E51" t="s">
        <v>10</v>
      </c>
      <c r="F51" t="s">
        <v>11</v>
      </c>
      <c r="G51" t="s">
        <v>205</v>
      </c>
      <c r="I51" t="s">
        <v>13</v>
      </c>
      <c r="J51" t="s">
        <v>13</v>
      </c>
      <c r="K51" t="s">
        <v>13</v>
      </c>
      <c r="L51" s="5" t="s">
        <v>13</v>
      </c>
      <c r="M51">
        <v>13</v>
      </c>
      <c r="N51" t="s">
        <v>13</v>
      </c>
      <c r="O51" s="4">
        <v>9.75</v>
      </c>
      <c r="P51">
        <v>0</v>
      </c>
      <c r="Q51">
        <v>0</v>
      </c>
      <c r="R51">
        <v>0</v>
      </c>
      <c r="S51">
        <v>0</v>
      </c>
      <c r="T51">
        <v>0</v>
      </c>
      <c r="U51" s="2">
        <v>0</v>
      </c>
      <c r="V51" s="3">
        <v>1</v>
      </c>
      <c r="W51" t="s">
        <v>13</v>
      </c>
      <c r="X51" s="6">
        <v>2.15</v>
      </c>
    </row>
    <row r="52" spans="1:24" ht="15">
      <c r="A52" t="str">
        <f>IF(ISNUMBER(MATCH(Table1[[#This Row],[Número de ID]],table13[CEDULA],0)),"sec 2","sec 1")</f>
        <v>sec 1</v>
      </c>
      <c r="B52" t="s">
        <v>207</v>
      </c>
      <c r="C52" t="s">
        <v>206</v>
      </c>
      <c r="D52" t="s">
        <v>208</v>
      </c>
      <c r="E52" t="s">
        <v>10</v>
      </c>
      <c r="F52" t="s">
        <v>11</v>
      </c>
      <c r="G52" t="s">
        <v>209</v>
      </c>
      <c r="I52">
        <v>10</v>
      </c>
      <c r="J52">
        <v>11</v>
      </c>
      <c r="K52">
        <v>15</v>
      </c>
      <c r="L52" s="5">
        <v>32.4</v>
      </c>
      <c r="M52">
        <v>10</v>
      </c>
      <c r="N52">
        <v>11</v>
      </c>
      <c r="O52" s="4">
        <v>15.75</v>
      </c>
      <c r="P52">
        <v>10</v>
      </c>
      <c r="Q52">
        <v>5</v>
      </c>
      <c r="R52">
        <v>12</v>
      </c>
      <c r="S52">
        <v>20</v>
      </c>
      <c r="T52">
        <v>20</v>
      </c>
      <c r="U52" s="2">
        <v>6.7</v>
      </c>
      <c r="V52" s="3" t="s">
        <v>13</v>
      </c>
      <c r="W52">
        <v>8.26</v>
      </c>
      <c r="X52" s="1">
        <v>12.62</v>
      </c>
    </row>
    <row r="53" spans="1:24" ht="15">
      <c r="A53" t="str">
        <f>IF(ISNUMBER(MATCH(Table1[[#This Row],[Número de ID]],table13[CEDULA],0)),"sec 2","sec 1")</f>
        <v>sec 2</v>
      </c>
      <c r="B53" t="s">
        <v>211</v>
      </c>
      <c r="C53" t="s">
        <v>210</v>
      </c>
      <c r="D53" t="s">
        <v>212</v>
      </c>
      <c r="E53" t="s">
        <v>10</v>
      </c>
      <c r="F53" t="s">
        <v>11</v>
      </c>
      <c r="G53" t="s">
        <v>213</v>
      </c>
      <c r="I53">
        <v>6.3</v>
      </c>
      <c r="J53">
        <v>16</v>
      </c>
      <c r="K53">
        <v>6.94</v>
      </c>
      <c r="L53" s="5">
        <v>26.32</v>
      </c>
      <c r="M53">
        <v>13</v>
      </c>
      <c r="N53">
        <v>12</v>
      </c>
      <c r="O53" s="4">
        <v>18.75</v>
      </c>
      <c r="P53">
        <v>15</v>
      </c>
      <c r="Q53">
        <v>15</v>
      </c>
      <c r="R53">
        <v>16</v>
      </c>
      <c r="S53">
        <v>0</v>
      </c>
      <c r="T53">
        <v>12</v>
      </c>
      <c r="U53" s="2">
        <v>5.8</v>
      </c>
      <c r="V53" s="3">
        <v>1</v>
      </c>
      <c r="W53">
        <v>9.24</v>
      </c>
      <c r="X53" s="8">
        <v>12.22</v>
      </c>
    </row>
    <row r="54" spans="1:24" ht="15">
      <c r="A54" t="str">
        <f>IF(ISNUMBER(MATCH(Table1[[#This Row],[Número de ID]],table13[CEDULA],0)),"sec 2","sec 1")</f>
        <v>sec 1</v>
      </c>
      <c r="B54" t="s">
        <v>214</v>
      </c>
      <c r="C54" t="s">
        <v>65</v>
      </c>
      <c r="D54" t="s">
        <v>215</v>
      </c>
      <c r="E54" t="s">
        <v>10</v>
      </c>
      <c r="F54" t="s">
        <v>11</v>
      </c>
      <c r="G54" t="s">
        <v>216</v>
      </c>
      <c r="I54">
        <v>13.7</v>
      </c>
      <c r="J54">
        <v>16</v>
      </c>
      <c r="K54">
        <v>13.5</v>
      </c>
      <c r="L54" s="5">
        <v>38.880000000000003</v>
      </c>
      <c r="M54">
        <v>11</v>
      </c>
      <c r="N54">
        <v>14</v>
      </c>
      <c r="O54" s="4">
        <v>18.75</v>
      </c>
      <c r="P54">
        <v>20</v>
      </c>
      <c r="Q54">
        <v>10</v>
      </c>
      <c r="R54">
        <v>20</v>
      </c>
      <c r="S54">
        <v>15</v>
      </c>
      <c r="T54">
        <v>16</v>
      </c>
      <c r="U54" s="2">
        <v>8.1</v>
      </c>
      <c r="V54" s="3">
        <v>6</v>
      </c>
      <c r="W54">
        <v>11.18</v>
      </c>
      <c r="X54" s="1">
        <v>16.579999999999998</v>
      </c>
    </row>
    <row r="55" spans="1:24" ht="15">
      <c r="A55" t="str">
        <f>IF(ISNUMBER(MATCH(Table1[[#This Row],[Número de ID]],table13[CEDULA],0)),"sec 2","sec 1")</f>
        <v>sec 2</v>
      </c>
      <c r="B55" t="s">
        <v>218</v>
      </c>
      <c r="C55" t="s">
        <v>217</v>
      </c>
      <c r="D55" t="s">
        <v>219</v>
      </c>
      <c r="E55" t="s">
        <v>10</v>
      </c>
      <c r="F55" t="s">
        <v>11</v>
      </c>
      <c r="G55" t="s">
        <v>220</v>
      </c>
      <c r="I55">
        <v>11</v>
      </c>
      <c r="J55">
        <v>9</v>
      </c>
      <c r="K55">
        <v>11.5</v>
      </c>
      <c r="L55" s="5">
        <v>28.35</v>
      </c>
      <c r="M55">
        <v>14</v>
      </c>
      <c r="N55">
        <v>15</v>
      </c>
      <c r="O55" s="4">
        <v>21.75</v>
      </c>
      <c r="P55">
        <v>20</v>
      </c>
      <c r="Q55">
        <v>0</v>
      </c>
      <c r="R55">
        <v>0</v>
      </c>
      <c r="S55">
        <v>10</v>
      </c>
      <c r="T55">
        <v>0</v>
      </c>
      <c r="U55" s="2">
        <v>3</v>
      </c>
      <c r="V55" s="3" t="s">
        <v>13</v>
      </c>
      <c r="W55">
        <v>6.32</v>
      </c>
      <c r="X55" s="6">
        <v>11.88</v>
      </c>
    </row>
    <row r="56" spans="1:24" ht="15">
      <c r="A56" t="str">
        <f>IF(ISNUMBER(MATCH(Table1[[#This Row],[Número de ID]],table13[CEDULA],0)),"sec 2","sec 1")</f>
        <v>sec 1</v>
      </c>
      <c r="B56" t="s">
        <v>222</v>
      </c>
      <c r="C56" t="s">
        <v>221</v>
      </c>
      <c r="D56" t="s">
        <v>223</v>
      </c>
      <c r="E56" t="s">
        <v>10</v>
      </c>
      <c r="F56" t="s">
        <v>11</v>
      </c>
      <c r="G56" t="s">
        <v>224</v>
      </c>
      <c r="H56" t="s">
        <v>13</v>
      </c>
      <c r="I56">
        <v>10.5</v>
      </c>
      <c r="J56">
        <v>14</v>
      </c>
      <c r="K56">
        <v>15</v>
      </c>
      <c r="L56" s="5">
        <v>35.549999999999997</v>
      </c>
      <c r="M56">
        <v>17</v>
      </c>
      <c r="N56">
        <v>10</v>
      </c>
      <c r="O56" s="4">
        <v>20.25</v>
      </c>
      <c r="P56">
        <v>0</v>
      </c>
      <c r="Q56">
        <v>0</v>
      </c>
      <c r="R56">
        <v>0</v>
      </c>
      <c r="S56">
        <v>0</v>
      </c>
      <c r="T56">
        <v>0</v>
      </c>
      <c r="U56" s="2">
        <v>0</v>
      </c>
      <c r="V56" s="3">
        <v>3</v>
      </c>
      <c r="W56">
        <v>9.24</v>
      </c>
      <c r="X56" s="1">
        <v>13.61</v>
      </c>
    </row>
    <row r="57" spans="1:24" ht="15">
      <c r="A57" t="str">
        <f>IF(ISNUMBER(MATCH(Table1[[#This Row],[Número de ID]],table13[CEDULA],0)),"sec 2","sec 1")</f>
        <v>sec 2</v>
      </c>
      <c r="B57" t="s">
        <v>226</v>
      </c>
      <c r="C57" t="s">
        <v>225</v>
      </c>
      <c r="D57" t="s">
        <v>227</v>
      </c>
      <c r="E57" t="s">
        <v>10</v>
      </c>
      <c r="F57" t="s">
        <v>11</v>
      </c>
      <c r="G57" t="s">
        <v>228</v>
      </c>
      <c r="I57">
        <v>12.6</v>
      </c>
      <c r="J57">
        <v>19</v>
      </c>
      <c r="K57">
        <v>15.5</v>
      </c>
      <c r="L57" s="5">
        <v>42.39</v>
      </c>
      <c r="M57">
        <v>12</v>
      </c>
      <c r="N57">
        <v>13</v>
      </c>
      <c r="O57" s="4">
        <v>18.75</v>
      </c>
      <c r="P57">
        <v>20</v>
      </c>
      <c r="Q57">
        <v>15</v>
      </c>
      <c r="R57">
        <v>16</v>
      </c>
      <c r="S57">
        <v>0</v>
      </c>
      <c r="T57">
        <v>20</v>
      </c>
      <c r="U57" s="2">
        <v>7.1</v>
      </c>
      <c r="V57" s="3" t="s">
        <v>13</v>
      </c>
      <c r="W57">
        <v>8.26</v>
      </c>
      <c r="X57" s="6">
        <v>15.3</v>
      </c>
    </row>
    <row r="58" spans="1:24" ht="15">
      <c r="A58" t="str">
        <f>IF(ISNUMBER(MATCH(Table1[[#This Row],[Número de ID]],table13[CEDULA],0)),"sec 2","sec 1")</f>
        <v>sec 2</v>
      </c>
      <c r="B58" t="s">
        <v>230</v>
      </c>
      <c r="C58" t="s">
        <v>229</v>
      </c>
      <c r="D58" t="s">
        <v>231</v>
      </c>
      <c r="E58" t="s">
        <v>10</v>
      </c>
      <c r="F58" t="s">
        <v>11</v>
      </c>
      <c r="G58" t="s">
        <v>232</v>
      </c>
      <c r="I58">
        <v>8</v>
      </c>
      <c r="J58">
        <v>13</v>
      </c>
      <c r="K58">
        <v>10.5</v>
      </c>
      <c r="L58" s="5">
        <v>28.35</v>
      </c>
      <c r="M58">
        <v>0</v>
      </c>
      <c r="N58">
        <v>14</v>
      </c>
      <c r="O58" s="4">
        <v>10.5</v>
      </c>
      <c r="P58">
        <v>15</v>
      </c>
      <c r="Q58">
        <v>20</v>
      </c>
      <c r="R58">
        <v>4</v>
      </c>
      <c r="S58">
        <v>0</v>
      </c>
      <c r="T58">
        <v>0</v>
      </c>
      <c r="U58" s="2">
        <v>3.9</v>
      </c>
      <c r="V58" s="3" t="s">
        <v>13</v>
      </c>
      <c r="W58">
        <v>0.97</v>
      </c>
      <c r="X58" s="6">
        <v>8.74</v>
      </c>
    </row>
    <row r="59" spans="1:24" ht="15">
      <c r="A59" t="str">
        <f>IF(ISNUMBER(MATCH(Table1[[#This Row],[Número de ID]],table13[CEDULA],0)),"sec 2","sec 1")</f>
        <v>sec 1</v>
      </c>
      <c r="B59" t="s">
        <v>233</v>
      </c>
      <c r="C59" t="s">
        <v>129</v>
      </c>
      <c r="D59" t="s">
        <v>234</v>
      </c>
      <c r="E59" t="s">
        <v>10</v>
      </c>
      <c r="F59" t="s">
        <v>11</v>
      </c>
      <c r="G59" t="s">
        <v>235</v>
      </c>
      <c r="I59">
        <v>15</v>
      </c>
      <c r="J59">
        <v>14</v>
      </c>
      <c r="K59">
        <v>12</v>
      </c>
      <c r="L59" s="5">
        <v>36.9</v>
      </c>
      <c r="M59">
        <v>12</v>
      </c>
      <c r="N59">
        <v>16</v>
      </c>
      <c r="O59" s="4">
        <v>21</v>
      </c>
      <c r="P59">
        <v>20</v>
      </c>
      <c r="Q59">
        <v>10</v>
      </c>
      <c r="R59">
        <v>12</v>
      </c>
      <c r="S59">
        <v>20</v>
      </c>
      <c r="T59">
        <v>12</v>
      </c>
      <c r="U59" s="2">
        <v>7.4</v>
      </c>
      <c r="V59" s="3">
        <v>3</v>
      </c>
      <c r="W59">
        <v>10.69</v>
      </c>
      <c r="X59" s="1">
        <v>15.8</v>
      </c>
    </row>
    <row r="60" spans="1:24" ht="15">
      <c r="A60" t="str">
        <f>IF(ISNUMBER(MATCH(Table1[[#This Row],[Número de ID]],table13[CEDULA],0)),"sec 2","sec 1")</f>
        <v>sec 2</v>
      </c>
      <c r="B60" t="s">
        <v>237</v>
      </c>
      <c r="C60" t="s">
        <v>236</v>
      </c>
      <c r="D60" t="s">
        <v>238</v>
      </c>
      <c r="E60" t="s">
        <v>10</v>
      </c>
      <c r="F60" t="s">
        <v>11</v>
      </c>
      <c r="G60" t="s">
        <v>239</v>
      </c>
      <c r="I60">
        <v>12</v>
      </c>
      <c r="J60">
        <v>12</v>
      </c>
      <c r="K60">
        <v>9.5</v>
      </c>
      <c r="L60" s="5">
        <v>30.15</v>
      </c>
      <c r="M60">
        <v>14</v>
      </c>
      <c r="N60">
        <v>12</v>
      </c>
      <c r="O60" s="4">
        <v>19.5</v>
      </c>
      <c r="P60">
        <v>20</v>
      </c>
      <c r="Q60">
        <v>10</v>
      </c>
      <c r="R60">
        <v>20</v>
      </c>
      <c r="S60">
        <v>0</v>
      </c>
      <c r="T60">
        <v>0</v>
      </c>
      <c r="U60" s="2">
        <v>5</v>
      </c>
      <c r="V60" s="3">
        <v>1</v>
      </c>
      <c r="W60">
        <v>6.81</v>
      </c>
      <c r="X60" s="6">
        <v>12.49</v>
      </c>
    </row>
    <row r="61" spans="1:24" ht="15">
      <c r="A61" t="str">
        <f>IF(ISNUMBER(MATCH(Table1[[#This Row],[Número de ID]],table13[CEDULA],0)),"sec 2","sec 1")</f>
        <v>sec 1</v>
      </c>
      <c r="B61" t="s">
        <v>241</v>
      </c>
      <c r="C61" t="s">
        <v>240</v>
      </c>
      <c r="D61" t="s">
        <v>242</v>
      </c>
      <c r="E61" t="s">
        <v>10</v>
      </c>
      <c r="F61" t="s">
        <v>11</v>
      </c>
      <c r="G61" t="s">
        <v>243</v>
      </c>
      <c r="H61" t="s">
        <v>13</v>
      </c>
      <c r="I61">
        <v>19.899999999999999</v>
      </c>
      <c r="J61">
        <v>16</v>
      </c>
      <c r="K61">
        <v>14</v>
      </c>
      <c r="L61" s="5">
        <v>44.91</v>
      </c>
      <c r="M61">
        <v>11</v>
      </c>
      <c r="N61">
        <v>15</v>
      </c>
      <c r="O61" s="4">
        <v>19.5</v>
      </c>
      <c r="P61">
        <v>20</v>
      </c>
      <c r="Q61">
        <v>10</v>
      </c>
      <c r="R61">
        <v>16</v>
      </c>
      <c r="S61">
        <v>10</v>
      </c>
      <c r="T61">
        <v>12</v>
      </c>
      <c r="U61" s="2">
        <v>6.8</v>
      </c>
      <c r="V61" s="3" t="s">
        <v>13</v>
      </c>
      <c r="W61">
        <v>3.89</v>
      </c>
      <c r="X61" s="1">
        <v>15.02</v>
      </c>
    </row>
    <row r="62" spans="1:24" ht="15">
      <c r="A62" t="str">
        <f>IF(ISNUMBER(MATCH(Table1[[#This Row],[Número de ID]],table13[CEDULA],0)),"sec 2","sec 1")</f>
        <v>sec 1</v>
      </c>
      <c r="B62" t="s">
        <v>245</v>
      </c>
      <c r="C62" t="s">
        <v>244</v>
      </c>
      <c r="D62" t="s">
        <v>246</v>
      </c>
      <c r="E62" t="s">
        <v>10</v>
      </c>
      <c r="F62" t="s">
        <v>11</v>
      </c>
      <c r="G62" t="s">
        <v>247</v>
      </c>
      <c r="I62">
        <v>18.899999999999999</v>
      </c>
      <c r="J62">
        <v>14.7</v>
      </c>
      <c r="K62">
        <v>16</v>
      </c>
      <c r="L62" s="5">
        <v>44.64</v>
      </c>
      <c r="M62">
        <v>16</v>
      </c>
      <c r="N62">
        <v>15</v>
      </c>
      <c r="O62" s="4">
        <v>23.25</v>
      </c>
      <c r="P62">
        <v>20</v>
      </c>
      <c r="Q62">
        <v>20</v>
      </c>
      <c r="R62">
        <v>20</v>
      </c>
      <c r="S62">
        <v>15</v>
      </c>
      <c r="T62">
        <v>16</v>
      </c>
      <c r="U62" s="2">
        <v>9.1</v>
      </c>
      <c r="V62" s="3" t="s">
        <v>13</v>
      </c>
      <c r="W62">
        <v>12.64</v>
      </c>
      <c r="X62" s="1">
        <v>17.93</v>
      </c>
    </row>
    <row r="63" spans="1:24" ht="15">
      <c r="A63" t="str">
        <f>IF(ISNUMBER(MATCH(Table1[[#This Row],[Número de ID]],table13[CEDULA],0)),"sec 2","sec 1")</f>
        <v>sec 2</v>
      </c>
      <c r="B63" t="s">
        <v>248</v>
      </c>
      <c r="C63" t="s">
        <v>93</v>
      </c>
      <c r="D63" t="s">
        <v>249</v>
      </c>
      <c r="E63" t="s">
        <v>10</v>
      </c>
      <c r="F63" t="s">
        <v>11</v>
      </c>
      <c r="G63" t="s">
        <v>250</v>
      </c>
      <c r="I63">
        <v>10.5</v>
      </c>
      <c r="J63">
        <v>13</v>
      </c>
      <c r="K63">
        <v>6.5</v>
      </c>
      <c r="L63" s="5">
        <v>27</v>
      </c>
      <c r="M63">
        <v>17</v>
      </c>
      <c r="N63">
        <v>10</v>
      </c>
      <c r="O63" s="4">
        <v>20.25</v>
      </c>
      <c r="P63">
        <v>0</v>
      </c>
      <c r="Q63">
        <v>0</v>
      </c>
      <c r="R63">
        <v>0</v>
      </c>
      <c r="S63">
        <v>0</v>
      </c>
      <c r="T63">
        <v>0</v>
      </c>
      <c r="U63" s="2">
        <v>0</v>
      </c>
      <c r="V63" s="3" t="s">
        <v>13</v>
      </c>
      <c r="W63">
        <v>8.26</v>
      </c>
      <c r="X63" s="6">
        <v>11.1</v>
      </c>
    </row>
    <row r="64" spans="1:24" ht="15">
      <c r="A64" t="str">
        <f>IF(ISNUMBER(MATCH(Table1[[#This Row],[Número de ID]],table13[CEDULA],0)),"sec 2","sec 1")</f>
        <v>sec 2</v>
      </c>
      <c r="B64" t="s">
        <v>251</v>
      </c>
      <c r="C64" t="s">
        <v>57</v>
      </c>
      <c r="D64" t="s">
        <v>252</v>
      </c>
      <c r="E64" t="s">
        <v>10</v>
      </c>
      <c r="F64" t="s">
        <v>11</v>
      </c>
      <c r="G64" t="s">
        <v>253</v>
      </c>
      <c r="H64" t="s">
        <v>13</v>
      </c>
      <c r="I64">
        <v>8.4</v>
      </c>
      <c r="J64">
        <v>10</v>
      </c>
      <c r="K64">
        <v>10.5</v>
      </c>
      <c r="L64" s="5">
        <v>26.01</v>
      </c>
      <c r="M64">
        <v>0</v>
      </c>
      <c r="N64">
        <v>14</v>
      </c>
      <c r="O64" s="4">
        <v>10.5</v>
      </c>
      <c r="P64">
        <v>20</v>
      </c>
      <c r="Q64">
        <v>15</v>
      </c>
      <c r="R64">
        <v>12</v>
      </c>
      <c r="S64">
        <v>0</v>
      </c>
      <c r="T64">
        <v>8</v>
      </c>
      <c r="U64" s="2">
        <v>5.5</v>
      </c>
      <c r="V64" s="3" t="s">
        <v>13</v>
      </c>
      <c r="W64">
        <v>14.1</v>
      </c>
      <c r="X64" s="6">
        <v>11.22</v>
      </c>
    </row>
    <row r="65" spans="1:24" ht="15">
      <c r="A65" t="str">
        <f>IF(ISNUMBER(MATCH(Table1[[#This Row],[Número de ID]],table13[CEDULA],0)),"sec 2","sec 1")</f>
        <v>sec 1</v>
      </c>
      <c r="B65" t="s">
        <v>255</v>
      </c>
      <c r="C65" t="s">
        <v>254</v>
      </c>
      <c r="D65" t="s">
        <v>256</v>
      </c>
      <c r="E65" t="s">
        <v>10</v>
      </c>
      <c r="F65" t="s">
        <v>11</v>
      </c>
      <c r="G65" t="s">
        <v>257</v>
      </c>
      <c r="I65">
        <v>12</v>
      </c>
      <c r="J65">
        <v>15.75</v>
      </c>
      <c r="K65">
        <v>13</v>
      </c>
      <c r="L65" s="5">
        <v>36.68</v>
      </c>
      <c r="M65">
        <v>15</v>
      </c>
      <c r="N65">
        <v>18</v>
      </c>
      <c r="O65" s="4">
        <v>24.75</v>
      </c>
      <c r="P65">
        <v>20</v>
      </c>
      <c r="Q65">
        <v>15</v>
      </c>
      <c r="R65">
        <v>16</v>
      </c>
      <c r="S65">
        <v>20</v>
      </c>
      <c r="T65">
        <v>12</v>
      </c>
      <c r="U65" s="2">
        <v>8.3000000000000007</v>
      </c>
      <c r="V65" s="3">
        <v>3</v>
      </c>
      <c r="W65">
        <v>17.010000000000002</v>
      </c>
      <c r="X65" s="1">
        <v>17.95</v>
      </c>
    </row>
    <row r="66" spans="1:24" ht="15">
      <c r="A66" t="str">
        <f>IF(ISNUMBER(MATCH(Table1[[#This Row],[Número de ID]],table13[CEDULA],0)),"sec 2","sec 1")</f>
        <v>sec 1</v>
      </c>
      <c r="B66" t="s">
        <v>259</v>
      </c>
      <c r="C66" t="s">
        <v>258</v>
      </c>
      <c r="D66" t="s">
        <v>260</v>
      </c>
      <c r="E66" t="s">
        <v>10</v>
      </c>
      <c r="F66" t="s">
        <v>11</v>
      </c>
      <c r="G66" t="s">
        <v>261</v>
      </c>
      <c r="I66">
        <v>13</v>
      </c>
      <c r="J66">
        <v>14.7</v>
      </c>
      <c r="K66">
        <v>16.5</v>
      </c>
      <c r="L66" s="5">
        <v>39.78</v>
      </c>
      <c r="M66">
        <v>15</v>
      </c>
      <c r="N66">
        <v>18</v>
      </c>
      <c r="O66" s="4">
        <v>24.75</v>
      </c>
      <c r="P66">
        <v>10</v>
      </c>
      <c r="Q66">
        <v>0</v>
      </c>
      <c r="R66">
        <v>16</v>
      </c>
      <c r="S66">
        <v>0</v>
      </c>
      <c r="T66">
        <v>12</v>
      </c>
      <c r="U66" s="2">
        <v>3.8</v>
      </c>
      <c r="V66" s="3">
        <v>4</v>
      </c>
      <c r="W66">
        <v>1.94</v>
      </c>
      <c r="X66" s="1">
        <v>14.85</v>
      </c>
    </row>
    <row r="67" spans="1:24" ht="15">
      <c r="A67" t="str">
        <f>IF(ISNUMBER(MATCH(Table1[[#This Row],[Número de ID]],table13[CEDULA],0)),"sec 2","sec 1")</f>
        <v>sec 2</v>
      </c>
      <c r="B67" t="s">
        <v>263</v>
      </c>
      <c r="C67" t="s">
        <v>262</v>
      </c>
      <c r="D67" t="s">
        <v>264</v>
      </c>
      <c r="E67" t="s">
        <v>10</v>
      </c>
      <c r="F67" t="s">
        <v>11</v>
      </c>
      <c r="G67" t="s">
        <v>265</v>
      </c>
      <c r="I67">
        <v>12</v>
      </c>
      <c r="J67">
        <v>16</v>
      </c>
      <c r="K67">
        <v>16.5</v>
      </c>
      <c r="L67" s="5">
        <v>40.049999999999997</v>
      </c>
      <c r="M67">
        <v>17</v>
      </c>
      <c r="N67">
        <v>10</v>
      </c>
      <c r="O67" s="4">
        <v>20.25</v>
      </c>
      <c r="P67">
        <v>10</v>
      </c>
      <c r="Q67">
        <v>0</v>
      </c>
      <c r="R67">
        <v>16</v>
      </c>
      <c r="S67">
        <v>0</v>
      </c>
      <c r="T67">
        <v>0</v>
      </c>
      <c r="U67" s="2">
        <v>2.6</v>
      </c>
      <c r="V67" s="3">
        <v>1</v>
      </c>
      <c r="W67" t="s">
        <v>13</v>
      </c>
      <c r="X67" s="6">
        <v>12.78</v>
      </c>
    </row>
    <row r="68" spans="1:24" ht="15">
      <c r="A68" t="str">
        <f>IF(ISNUMBER(MATCH(Table1[[#This Row],[Número de ID]],table13[CEDULA],0)),"sec 2","sec 1")</f>
        <v>sec 1</v>
      </c>
      <c r="B68" t="s">
        <v>267</v>
      </c>
      <c r="C68" t="s">
        <v>266</v>
      </c>
      <c r="D68" t="s">
        <v>268</v>
      </c>
      <c r="E68" t="s">
        <v>10</v>
      </c>
      <c r="F68" t="s">
        <v>11</v>
      </c>
      <c r="G68" t="s">
        <v>269</v>
      </c>
      <c r="I68">
        <v>20</v>
      </c>
      <c r="J68">
        <v>18</v>
      </c>
      <c r="K68">
        <v>18.5</v>
      </c>
      <c r="L68" s="5">
        <v>50.85</v>
      </c>
      <c r="M68">
        <v>17</v>
      </c>
      <c r="N68">
        <v>20</v>
      </c>
      <c r="O68" s="4">
        <v>27.75</v>
      </c>
      <c r="P68">
        <v>20</v>
      </c>
      <c r="Q68">
        <v>10</v>
      </c>
      <c r="R68">
        <v>20</v>
      </c>
      <c r="S68">
        <v>20</v>
      </c>
      <c r="T68">
        <v>20</v>
      </c>
      <c r="U68" s="2">
        <v>9</v>
      </c>
      <c r="V68" s="3">
        <v>7</v>
      </c>
      <c r="W68">
        <v>18.96</v>
      </c>
      <c r="X68" s="1">
        <v>20</v>
      </c>
    </row>
    <row r="69" spans="1:24" ht="15">
      <c r="A69" t="str">
        <f>IF(ISNUMBER(MATCH(Table1[[#This Row],[Número de ID]],table13[CEDULA],0)),"sec 2","sec 1")</f>
        <v>sec 2</v>
      </c>
      <c r="B69" t="s">
        <v>270</v>
      </c>
      <c r="C69" t="s">
        <v>89</v>
      </c>
      <c r="D69" t="s">
        <v>271</v>
      </c>
      <c r="E69" t="s">
        <v>10</v>
      </c>
      <c r="F69" t="s">
        <v>11</v>
      </c>
      <c r="G69" t="s">
        <v>272</v>
      </c>
      <c r="I69">
        <v>12.6</v>
      </c>
      <c r="J69">
        <v>11</v>
      </c>
      <c r="K69">
        <v>14</v>
      </c>
      <c r="L69" s="5">
        <v>33.840000000000003</v>
      </c>
      <c r="M69">
        <v>17</v>
      </c>
      <c r="N69">
        <v>0</v>
      </c>
      <c r="O69" s="4">
        <v>12.75</v>
      </c>
      <c r="P69">
        <v>20</v>
      </c>
      <c r="Q69">
        <v>20</v>
      </c>
      <c r="R69">
        <v>16</v>
      </c>
      <c r="S69">
        <v>0</v>
      </c>
      <c r="T69">
        <v>20</v>
      </c>
      <c r="U69" s="2">
        <v>7.6</v>
      </c>
      <c r="V69" s="3" t="s">
        <v>13</v>
      </c>
      <c r="W69">
        <v>7.78</v>
      </c>
      <c r="X69" s="6">
        <v>12.39</v>
      </c>
    </row>
    <row r="70" spans="1:24" ht="15">
      <c r="A70" t="str">
        <f>IF(ISNUMBER(MATCH(Table1[[#This Row],[Número de ID]],table13[CEDULA],0)),"sec 2","sec 1")</f>
        <v>sec 2</v>
      </c>
      <c r="B70" t="s">
        <v>274</v>
      </c>
      <c r="C70" t="s">
        <v>273</v>
      </c>
      <c r="D70" t="s">
        <v>275</v>
      </c>
      <c r="E70" t="s">
        <v>10</v>
      </c>
      <c r="F70" t="s">
        <v>11</v>
      </c>
      <c r="G70" t="s">
        <v>276</v>
      </c>
      <c r="H70" t="s">
        <v>13</v>
      </c>
      <c r="I70">
        <v>10</v>
      </c>
      <c r="J70">
        <v>15</v>
      </c>
      <c r="K70">
        <v>9.39</v>
      </c>
      <c r="L70" s="5">
        <v>30.95</v>
      </c>
      <c r="M70">
        <v>14</v>
      </c>
      <c r="N70">
        <v>12</v>
      </c>
      <c r="O70" s="4">
        <v>19.5</v>
      </c>
      <c r="P70">
        <v>20</v>
      </c>
      <c r="Q70">
        <v>20</v>
      </c>
      <c r="R70">
        <v>16</v>
      </c>
      <c r="S70">
        <v>0</v>
      </c>
      <c r="T70">
        <v>8</v>
      </c>
      <c r="U70" s="2">
        <v>6.4</v>
      </c>
      <c r="V70" s="3">
        <v>1</v>
      </c>
      <c r="W70">
        <v>14.1</v>
      </c>
      <c r="X70" s="6">
        <v>14.39</v>
      </c>
    </row>
    <row r="71" spans="1:24" ht="15">
      <c r="A71" t="str">
        <f>IF(ISNUMBER(MATCH(Table1[[#This Row],[Número de ID]],table13[CEDULA],0)),"sec 2","sec 1")</f>
        <v>sec 2</v>
      </c>
      <c r="B71" t="s">
        <v>277</v>
      </c>
      <c r="C71" t="s">
        <v>221</v>
      </c>
      <c r="D71" t="s">
        <v>278</v>
      </c>
      <c r="E71" t="s">
        <v>10</v>
      </c>
      <c r="F71" t="s">
        <v>11</v>
      </c>
      <c r="G71" t="s">
        <v>279</v>
      </c>
      <c r="H71" t="s">
        <v>13</v>
      </c>
      <c r="I71">
        <v>11</v>
      </c>
      <c r="J71">
        <v>16</v>
      </c>
      <c r="K71">
        <v>10.61</v>
      </c>
      <c r="L71" s="5">
        <v>33.85</v>
      </c>
      <c r="M71">
        <v>16</v>
      </c>
      <c r="N71">
        <v>14</v>
      </c>
      <c r="O71" s="4">
        <v>22.5</v>
      </c>
      <c r="P71">
        <v>20</v>
      </c>
      <c r="Q71">
        <v>10</v>
      </c>
      <c r="R71">
        <v>16</v>
      </c>
      <c r="S71">
        <v>0</v>
      </c>
      <c r="T71">
        <v>16</v>
      </c>
      <c r="U71" s="2">
        <v>6.2</v>
      </c>
      <c r="V71" s="3">
        <v>2</v>
      </c>
      <c r="W71">
        <v>2.92</v>
      </c>
      <c r="X71" s="6">
        <v>13.49</v>
      </c>
    </row>
    <row r="72" spans="1:24" ht="15">
      <c r="A72" t="str">
        <f>IF(ISNUMBER(MATCH(Table1[[#This Row],[Número de ID]],table13[CEDULA],0)),"sec 2","sec 1")</f>
        <v>sec 1</v>
      </c>
      <c r="B72" t="s">
        <v>280</v>
      </c>
      <c r="C72" t="s">
        <v>161</v>
      </c>
      <c r="D72" t="s">
        <v>281</v>
      </c>
      <c r="E72" t="s">
        <v>10</v>
      </c>
      <c r="F72" t="s">
        <v>11</v>
      </c>
      <c r="G72" t="s">
        <v>282</v>
      </c>
      <c r="H72" t="s">
        <v>13</v>
      </c>
      <c r="I72">
        <v>12</v>
      </c>
      <c r="J72">
        <v>15</v>
      </c>
      <c r="K72">
        <v>7</v>
      </c>
      <c r="L72" s="5">
        <v>30.6</v>
      </c>
      <c r="M72">
        <v>13</v>
      </c>
      <c r="N72">
        <v>12</v>
      </c>
      <c r="O72" s="4">
        <v>18.75</v>
      </c>
      <c r="P72">
        <v>20</v>
      </c>
      <c r="Q72">
        <v>20</v>
      </c>
      <c r="R72">
        <v>16</v>
      </c>
      <c r="S72">
        <v>10</v>
      </c>
      <c r="T72">
        <v>8</v>
      </c>
      <c r="U72" s="2">
        <v>7.4</v>
      </c>
      <c r="V72" s="3">
        <v>1</v>
      </c>
      <c r="W72">
        <v>9.7200000000000006</v>
      </c>
      <c r="X72" s="1">
        <v>13.49</v>
      </c>
    </row>
    <row r="73" spans="1:24" ht="15">
      <c r="A73" t="str">
        <f>IF(ISNUMBER(MATCH(Table1[[#This Row],[Número de ID]],table13[CEDULA],0)),"sec 2","sec 1")</f>
        <v>sec 2</v>
      </c>
      <c r="B73" t="s">
        <v>280</v>
      </c>
      <c r="C73" t="s">
        <v>283</v>
      </c>
      <c r="D73" t="s">
        <v>284</v>
      </c>
      <c r="E73" t="s">
        <v>10</v>
      </c>
      <c r="F73" t="s">
        <v>11</v>
      </c>
      <c r="G73" t="s">
        <v>285</v>
      </c>
      <c r="I73">
        <v>5</v>
      </c>
      <c r="J73">
        <v>8.4</v>
      </c>
      <c r="K73">
        <v>11</v>
      </c>
      <c r="L73" s="5">
        <v>21.96</v>
      </c>
      <c r="M73">
        <v>14</v>
      </c>
      <c r="N73">
        <v>15</v>
      </c>
      <c r="O73" s="4">
        <v>21.75</v>
      </c>
      <c r="P73">
        <v>15</v>
      </c>
      <c r="Q73">
        <v>5</v>
      </c>
      <c r="R73">
        <v>20</v>
      </c>
      <c r="S73">
        <v>20</v>
      </c>
      <c r="T73">
        <v>0</v>
      </c>
      <c r="U73" s="2">
        <v>6</v>
      </c>
      <c r="V73" s="3" t="s">
        <v>13</v>
      </c>
      <c r="W73">
        <v>10.69</v>
      </c>
      <c r="X73" s="6">
        <v>12.08</v>
      </c>
    </row>
  </sheetData>
  <pageMargins left="0.7" right="0.7" top="0.75" bottom="0.75" header="0.3" footer="0.3"/>
  <pageSetup scale="47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C8584-682D-4C7F-A889-686C18C1F2B0}">
  <dimension ref="A1:J36"/>
  <sheetViews>
    <sheetView tabSelected="1" workbookViewId="0">
      <selection sqref="A1:J36"/>
    </sheetView>
  </sheetViews>
  <sheetFormatPr defaultRowHeight="14.25"/>
  <sheetData>
    <row r="1" spans="1:10">
      <c r="A1" t="s">
        <v>479</v>
      </c>
      <c r="B1" t="s">
        <v>480</v>
      </c>
      <c r="C1" t="s">
        <v>481</v>
      </c>
      <c r="D1" t="s">
        <v>482</v>
      </c>
      <c r="E1" t="s">
        <v>483</v>
      </c>
      <c r="F1" t="s">
        <v>484</v>
      </c>
      <c r="G1" t="s">
        <v>485</v>
      </c>
      <c r="H1" t="s">
        <v>486</v>
      </c>
      <c r="I1" t="s">
        <v>487</v>
      </c>
      <c r="J1" t="s">
        <v>488</v>
      </c>
    </row>
    <row r="2" spans="1:10">
      <c r="A2" t="s">
        <v>302</v>
      </c>
      <c r="B2" t="s">
        <v>16</v>
      </c>
      <c r="C2" t="s">
        <v>303</v>
      </c>
      <c r="D2" t="s">
        <v>304</v>
      </c>
      <c r="E2" t="s">
        <v>305</v>
      </c>
      <c r="F2" t="s">
        <v>306</v>
      </c>
      <c r="G2" t="s">
        <v>307</v>
      </c>
      <c r="H2" t="s">
        <v>308</v>
      </c>
    </row>
    <row r="3" spans="1:10">
      <c r="A3" t="s">
        <v>309</v>
      </c>
      <c r="B3" t="s">
        <v>24</v>
      </c>
      <c r="C3" t="s">
        <v>310</v>
      </c>
      <c r="D3" t="s">
        <v>311</v>
      </c>
      <c r="E3" t="s">
        <v>89</v>
      </c>
      <c r="F3" t="s">
        <v>312</v>
      </c>
      <c r="G3" t="s">
        <v>313</v>
      </c>
      <c r="H3" t="s">
        <v>314</v>
      </c>
      <c r="I3" t="s">
        <v>489</v>
      </c>
    </row>
    <row r="4" spans="1:10">
      <c r="A4" t="s">
        <v>315</v>
      </c>
      <c r="B4" t="s">
        <v>44</v>
      </c>
      <c r="C4" t="s">
        <v>316</v>
      </c>
      <c r="D4" t="s">
        <v>39</v>
      </c>
      <c r="E4" t="s">
        <v>42</v>
      </c>
      <c r="G4" t="s">
        <v>317</v>
      </c>
      <c r="H4" t="s">
        <v>318</v>
      </c>
      <c r="I4" t="s">
        <v>490</v>
      </c>
    </row>
    <row r="5" spans="1:10">
      <c r="A5" t="s">
        <v>319</v>
      </c>
      <c r="B5" t="s">
        <v>51</v>
      </c>
      <c r="C5" t="s">
        <v>320</v>
      </c>
      <c r="D5" t="s">
        <v>321</v>
      </c>
      <c r="E5" t="s">
        <v>322</v>
      </c>
      <c r="F5" t="s">
        <v>323</v>
      </c>
      <c r="G5" t="s">
        <v>324</v>
      </c>
      <c r="H5" t="s">
        <v>52</v>
      </c>
      <c r="I5" t="s">
        <v>491</v>
      </c>
    </row>
    <row r="6" spans="1:10">
      <c r="A6" t="s">
        <v>325</v>
      </c>
      <c r="B6" t="s">
        <v>55</v>
      </c>
      <c r="C6" t="s">
        <v>326</v>
      </c>
      <c r="D6" t="s">
        <v>327</v>
      </c>
      <c r="E6" t="s">
        <v>328</v>
      </c>
      <c r="F6" t="s">
        <v>329</v>
      </c>
      <c r="G6" t="s">
        <v>330</v>
      </c>
      <c r="H6" t="s">
        <v>56</v>
      </c>
      <c r="I6" t="s">
        <v>492</v>
      </c>
    </row>
    <row r="7" spans="1:10">
      <c r="A7" t="s">
        <v>331</v>
      </c>
      <c r="B7" t="s">
        <v>67</v>
      </c>
      <c r="C7" t="s">
        <v>332</v>
      </c>
      <c r="D7" t="s">
        <v>66</v>
      </c>
      <c r="E7" t="s">
        <v>65</v>
      </c>
      <c r="F7" t="s">
        <v>333</v>
      </c>
      <c r="G7" t="s">
        <v>334</v>
      </c>
      <c r="H7" t="s">
        <v>68</v>
      </c>
    </row>
    <row r="8" spans="1:10">
      <c r="A8" t="s">
        <v>335</v>
      </c>
      <c r="B8" t="s">
        <v>75</v>
      </c>
      <c r="C8" t="s">
        <v>336</v>
      </c>
      <c r="D8" t="s">
        <v>337</v>
      </c>
      <c r="E8" t="s">
        <v>338</v>
      </c>
      <c r="F8" t="s">
        <v>323</v>
      </c>
      <c r="G8" t="s">
        <v>339</v>
      </c>
      <c r="H8" t="s">
        <v>340</v>
      </c>
      <c r="I8" t="s">
        <v>493</v>
      </c>
    </row>
    <row r="9" spans="1:10">
      <c r="A9" t="s">
        <v>341</v>
      </c>
      <c r="B9" t="s">
        <v>71</v>
      </c>
      <c r="C9" t="s">
        <v>342</v>
      </c>
      <c r="D9" t="s">
        <v>343</v>
      </c>
      <c r="E9" t="s">
        <v>344</v>
      </c>
      <c r="F9" t="s">
        <v>345</v>
      </c>
      <c r="G9" t="s">
        <v>346</v>
      </c>
      <c r="H9" t="s">
        <v>347</v>
      </c>
      <c r="I9" t="s">
        <v>494</v>
      </c>
    </row>
    <row r="10" spans="1:10">
      <c r="A10" t="s">
        <v>348</v>
      </c>
      <c r="B10" t="s">
        <v>83</v>
      </c>
      <c r="C10" t="s">
        <v>349</v>
      </c>
      <c r="D10" t="s">
        <v>350</v>
      </c>
      <c r="E10" t="s">
        <v>351</v>
      </c>
      <c r="F10" t="s">
        <v>352</v>
      </c>
      <c r="G10" t="s">
        <v>353</v>
      </c>
      <c r="H10" t="s">
        <v>354</v>
      </c>
      <c r="I10" t="s">
        <v>495</v>
      </c>
    </row>
    <row r="11" spans="1:10">
      <c r="A11" t="s">
        <v>355</v>
      </c>
      <c r="B11" t="s">
        <v>87</v>
      </c>
      <c r="C11" t="s">
        <v>356</v>
      </c>
      <c r="D11" t="s">
        <v>357</v>
      </c>
      <c r="E11" t="s">
        <v>358</v>
      </c>
      <c r="F11" t="s">
        <v>359</v>
      </c>
      <c r="G11" t="s">
        <v>360</v>
      </c>
      <c r="H11" t="s">
        <v>361</v>
      </c>
      <c r="I11" t="s">
        <v>496</v>
      </c>
    </row>
    <row r="12" spans="1:10">
      <c r="A12" t="s">
        <v>362</v>
      </c>
      <c r="B12" t="s">
        <v>111</v>
      </c>
      <c r="C12" t="s">
        <v>363</v>
      </c>
      <c r="D12" t="s">
        <v>364</v>
      </c>
      <c r="E12" t="s">
        <v>365</v>
      </c>
      <c r="F12" t="s">
        <v>366</v>
      </c>
      <c r="G12" t="s">
        <v>367</v>
      </c>
      <c r="H12" t="s">
        <v>368</v>
      </c>
      <c r="I12" t="s">
        <v>497</v>
      </c>
    </row>
    <row r="13" spans="1:10">
      <c r="A13" t="s">
        <v>369</v>
      </c>
      <c r="B13" t="s">
        <v>135</v>
      </c>
      <c r="C13" t="s">
        <v>370</v>
      </c>
      <c r="D13" t="s">
        <v>371</v>
      </c>
      <c r="E13" t="s">
        <v>372</v>
      </c>
      <c r="F13" t="s">
        <v>373</v>
      </c>
      <c r="G13" t="s">
        <v>374</v>
      </c>
      <c r="H13" t="s">
        <v>136</v>
      </c>
      <c r="I13" t="s">
        <v>498</v>
      </c>
    </row>
    <row r="14" spans="1:10">
      <c r="A14" t="s">
        <v>375</v>
      </c>
      <c r="B14" t="s">
        <v>127</v>
      </c>
      <c r="C14" t="s">
        <v>376</v>
      </c>
      <c r="D14" t="s">
        <v>377</v>
      </c>
      <c r="E14" t="s">
        <v>378</v>
      </c>
      <c r="F14" t="s">
        <v>379</v>
      </c>
      <c r="G14" t="s">
        <v>380</v>
      </c>
      <c r="H14" t="s">
        <v>128</v>
      </c>
      <c r="I14" t="s">
        <v>499</v>
      </c>
    </row>
    <row r="15" spans="1:10">
      <c r="A15" t="s">
        <v>381</v>
      </c>
      <c r="B15" t="s">
        <v>147</v>
      </c>
      <c r="C15" t="s">
        <v>382</v>
      </c>
      <c r="D15" t="s">
        <v>383</v>
      </c>
      <c r="E15" t="s">
        <v>384</v>
      </c>
      <c r="F15" t="s">
        <v>305</v>
      </c>
      <c r="G15" t="s">
        <v>385</v>
      </c>
      <c r="H15" t="s">
        <v>148</v>
      </c>
      <c r="I15" t="s">
        <v>500</v>
      </c>
    </row>
    <row r="16" spans="1:10">
      <c r="A16" t="s">
        <v>386</v>
      </c>
      <c r="B16" t="s">
        <v>163</v>
      </c>
      <c r="C16" t="s">
        <v>387</v>
      </c>
      <c r="D16" t="s">
        <v>162</v>
      </c>
      <c r="E16" t="s">
        <v>161</v>
      </c>
      <c r="F16" t="s">
        <v>388</v>
      </c>
      <c r="G16" t="s">
        <v>389</v>
      </c>
      <c r="H16" t="s">
        <v>164</v>
      </c>
      <c r="I16" t="s">
        <v>501</v>
      </c>
    </row>
    <row r="17" spans="1:9">
      <c r="A17" t="s">
        <v>390</v>
      </c>
      <c r="B17" t="s">
        <v>167</v>
      </c>
      <c r="C17" t="s">
        <v>391</v>
      </c>
      <c r="D17" t="s">
        <v>166</v>
      </c>
      <c r="E17" t="s">
        <v>165</v>
      </c>
      <c r="F17" t="s">
        <v>373</v>
      </c>
      <c r="G17" t="s">
        <v>392</v>
      </c>
      <c r="H17" t="s">
        <v>168</v>
      </c>
      <c r="I17" t="s">
        <v>502</v>
      </c>
    </row>
    <row r="18" spans="1:9">
      <c r="A18" t="s">
        <v>393</v>
      </c>
      <c r="B18" t="s">
        <v>174</v>
      </c>
      <c r="C18" t="s">
        <v>394</v>
      </c>
      <c r="D18" t="s">
        <v>395</v>
      </c>
      <c r="E18" t="s">
        <v>396</v>
      </c>
      <c r="F18" t="s">
        <v>65</v>
      </c>
      <c r="G18" t="s">
        <v>397</v>
      </c>
      <c r="H18" t="s">
        <v>175</v>
      </c>
      <c r="I18" t="s">
        <v>503</v>
      </c>
    </row>
    <row r="19" spans="1:9">
      <c r="A19" t="s">
        <v>398</v>
      </c>
      <c r="B19" t="s">
        <v>185</v>
      </c>
      <c r="C19" t="s">
        <v>399</v>
      </c>
      <c r="D19" t="s">
        <v>400</v>
      </c>
      <c r="E19" t="s">
        <v>401</v>
      </c>
      <c r="F19" t="s">
        <v>323</v>
      </c>
      <c r="G19" t="s">
        <v>402</v>
      </c>
      <c r="H19" t="s">
        <v>403</v>
      </c>
      <c r="I19" t="s">
        <v>504</v>
      </c>
    </row>
    <row r="20" spans="1:9">
      <c r="A20" t="s">
        <v>404</v>
      </c>
      <c r="B20" t="s">
        <v>193</v>
      </c>
      <c r="C20" t="s">
        <v>405</v>
      </c>
      <c r="D20" t="s">
        <v>192</v>
      </c>
      <c r="E20" t="s">
        <v>191</v>
      </c>
      <c r="F20" t="s">
        <v>406</v>
      </c>
      <c r="G20" t="s">
        <v>407</v>
      </c>
      <c r="H20" t="s">
        <v>408</v>
      </c>
    </row>
    <row r="21" spans="1:9">
      <c r="A21" t="s">
        <v>409</v>
      </c>
      <c r="B21" t="s">
        <v>197</v>
      </c>
      <c r="C21" t="s">
        <v>410</v>
      </c>
      <c r="D21" t="s">
        <v>411</v>
      </c>
      <c r="E21" t="s">
        <v>379</v>
      </c>
      <c r="F21" t="s">
        <v>210</v>
      </c>
      <c r="G21" t="s">
        <v>412</v>
      </c>
      <c r="H21" t="s">
        <v>198</v>
      </c>
      <c r="I21" t="s">
        <v>505</v>
      </c>
    </row>
    <row r="22" spans="1:9">
      <c r="A22" t="s">
        <v>413</v>
      </c>
      <c r="B22" t="s">
        <v>200</v>
      </c>
      <c r="C22" t="s">
        <v>414</v>
      </c>
      <c r="D22" t="s">
        <v>199</v>
      </c>
      <c r="E22" t="s">
        <v>65</v>
      </c>
      <c r="F22" t="s">
        <v>415</v>
      </c>
      <c r="G22" t="s">
        <v>416</v>
      </c>
      <c r="H22" t="s">
        <v>417</v>
      </c>
      <c r="I22" t="s">
        <v>506</v>
      </c>
    </row>
    <row r="23" spans="1:9">
      <c r="A23" t="s">
        <v>418</v>
      </c>
      <c r="B23" t="s">
        <v>204</v>
      </c>
      <c r="C23" t="s">
        <v>419</v>
      </c>
      <c r="D23" t="s">
        <v>203</v>
      </c>
      <c r="E23" t="s">
        <v>202</v>
      </c>
      <c r="F23" t="s">
        <v>210</v>
      </c>
      <c r="G23" t="s">
        <v>420</v>
      </c>
      <c r="H23" t="s">
        <v>205</v>
      </c>
      <c r="I23" t="s">
        <v>507</v>
      </c>
    </row>
    <row r="24" spans="1:9">
      <c r="A24" t="s">
        <v>421</v>
      </c>
      <c r="B24" t="s">
        <v>212</v>
      </c>
      <c r="C24" t="s">
        <v>422</v>
      </c>
      <c r="D24" t="s">
        <v>423</v>
      </c>
      <c r="E24" t="s">
        <v>210</v>
      </c>
      <c r="G24" t="s">
        <v>424</v>
      </c>
      <c r="H24" t="s">
        <v>213</v>
      </c>
      <c r="I24" t="s">
        <v>508</v>
      </c>
    </row>
    <row r="25" spans="1:9">
      <c r="A25" t="s">
        <v>425</v>
      </c>
      <c r="B25" t="s">
        <v>177</v>
      </c>
      <c r="C25" t="s">
        <v>426</v>
      </c>
      <c r="D25" t="s">
        <v>427</v>
      </c>
      <c r="E25" t="s">
        <v>378</v>
      </c>
      <c r="F25" t="s">
        <v>323</v>
      </c>
      <c r="G25" t="s">
        <v>428</v>
      </c>
      <c r="H25" t="s">
        <v>429</v>
      </c>
      <c r="I25" t="s">
        <v>509</v>
      </c>
    </row>
    <row r="26" spans="1:9">
      <c r="A26" t="s">
        <v>430</v>
      </c>
      <c r="B26" t="s">
        <v>219</v>
      </c>
      <c r="C26" t="s">
        <v>431</v>
      </c>
      <c r="D26" t="s">
        <v>432</v>
      </c>
      <c r="E26" t="s">
        <v>433</v>
      </c>
      <c r="F26" t="s">
        <v>378</v>
      </c>
      <c r="G26" t="s">
        <v>434</v>
      </c>
      <c r="H26" t="s">
        <v>220</v>
      </c>
      <c r="I26" t="s">
        <v>510</v>
      </c>
    </row>
    <row r="27" spans="1:9">
      <c r="A27" t="s">
        <v>435</v>
      </c>
      <c r="B27" t="s">
        <v>227</v>
      </c>
      <c r="C27" t="s">
        <v>436</v>
      </c>
      <c r="D27" t="s">
        <v>437</v>
      </c>
      <c r="E27" t="s">
        <v>225</v>
      </c>
      <c r="G27" t="s">
        <v>438</v>
      </c>
      <c r="H27" t="s">
        <v>439</v>
      </c>
      <c r="I27" t="s">
        <v>511</v>
      </c>
    </row>
    <row r="28" spans="1:9">
      <c r="A28" t="s">
        <v>440</v>
      </c>
      <c r="B28" t="s">
        <v>231</v>
      </c>
      <c r="C28" t="s">
        <v>441</v>
      </c>
      <c r="D28" t="s">
        <v>442</v>
      </c>
      <c r="E28" t="s">
        <v>443</v>
      </c>
      <c r="F28" t="s">
        <v>444</v>
      </c>
      <c r="G28" t="s">
        <v>445</v>
      </c>
      <c r="H28" t="s">
        <v>446</v>
      </c>
    </row>
    <row r="29" spans="1:9">
      <c r="A29" t="s">
        <v>447</v>
      </c>
      <c r="B29" t="s">
        <v>238</v>
      </c>
      <c r="C29" t="s">
        <v>448</v>
      </c>
      <c r="D29" t="s">
        <v>449</v>
      </c>
      <c r="E29" t="s">
        <v>306</v>
      </c>
      <c r="F29" t="s">
        <v>305</v>
      </c>
      <c r="G29" t="s">
        <v>450</v>
      </c>
      <c r="H29" t="s">
        <v>239</v>
      </c>
      <c r="I29" t="s">
        <v>512</v>
      </c>
    </row>
    <row r="30" spans="1:9">
      <c r="A30" t="s">
        <v>451</v>
      </c>
      <c r="B30" t="s">
        <v>252</v>
      </c>
      <c r="C30" t="s">
        <v>452</v>
      </c>
      <c r="D30" t="s">
        <v>453</v>
      </c>
      <c r="E30" t="s">
        <v>57</v>
      </c>
      <c r="G30" t="s">
        <v>454</v>
      </c>
      <c r="H30" t="s">
        <v>253</v>
      </c>
    </row>
    <row r="31" spans="1:9">
      <c r="A31" t="s">
        <v>455</v>
      </c>
      <c r="B31" t="s">
        <v>249</v>
      </c>
      <c r="C31" t="s">
        <v>456</v>
      </c>
      <c r="D31" t="s">
        <v>248</v>
      </c>
      <c r="E31" t="s">
        <v>93</v>
      </c>
      <c r="F31" t="s">
        <v>457</v>
      </c>
      <c r="G31" t="s">
        <v>458</v>
      </c>
      <c r="H31" t="s">
        <v>250</v>
      </c>
      <c r="I31" t="s">
        <v>513</v>
      </c>
    </row>
    <row r="32" spans="1:9">
      <c r="A32" t="s">
        <v>459</v>
      </c>
      <c r="B32" t="s">
        <v>264</v>
      </c>
      <c r="C32" t="s">
        <v>460</v>
      </c>
      <c r="D32" t="s">
        <v>461</v>
      </c>
      <c r="E32" t="s">
        <v>93</v>
      </c>
      <c r="F32" t="s">
        <v>415</v>
      </c>
      <c r="G32" t="s">
        <v>462</v>
      </c>
      <c r="H32" t="s">
        <v>265</v>
      </c>
      <c r="I32" t="s">
        <v>514</v>
      </c>
    </row>
    <row r="33" spans="1:9">
      <c r="A33" t="s">
        <v>463</v>
      </c>
      <c r="B33" t="s">
        <v>271</v>
      </c>
      <c r="C33" t="s">
        <v>464</v>
      </c>
      <c r="D33" t="s">
        <v>270</v>
      </c>
      <c r="E33" t="s">
        <v>89</v>
      </c>
      <c r="F33" t="s">
        <v>373</v>
      </c>
      <c r="G33" t="s">
        <v>465</v>
      </c>
      <c r="H33" t="s">
        <v>272</v>
      </c>
    </row>
    <row r="34" spans="1:9">
      <c r="A34" t="s">
        <v>466</v>
      </c>
      <c r="B34" t="s">
        <v>275</v>
      </c>
      <c r="C34" t="s">
        <v>467</v>
      </c>
      <c r="D34" t="s">
        <v>274</v>
      </c>
      <c r="E34" t="s">
        <v>273</v>
      </c>
      <c r="F34" t="s">
        <v>468</v>
      </c>
      <c r="G34" t="s">
        <v>469</v>
      </c>
      <c r="H34" t="s">
        <v>470</v>
      </c>
      <c r="I34" t="s">
        <v>515</v>
      </c>
    </row>
    <row r="35" spans="1:9">
      <c r="A35" t="s">
        <v>471</v>
      </c>
      <c r="B35" t="s">
        <v>278</v>
      </c>
      <c r="C35" t="s">
        <v>472</v>
      </c>
      <c r="D35" t="s">
        <v>277</v>
      </c>
      <c r="E35" t="s">
        <v>221</v>
      </c>
      <c r="F35" t="s">
        <v>473</v>
      </c>
      <c r="G35" t="s">
        <v>474</v>
      </c>
      <c r="H35" t="s">
        <v>279</v>
      </c>
      <c r="I35" t="s">
        <v>516</v>
      </c>
    </row>
    <row r="36" spans="1:9">
      <c r="A36" s="7" t="s">
        <v>475</v>
      </c>
      <c r="B36" s="7" t="s">
        <v>284</v>
      </c>
      <c r="C36" s="7" t="s">
        <v>476</v>
      </c>
      <c r="D36" t="s">
        <v>280</v>
      </c>
      <c r="E36" t="s">
        <v>283</v>
      </c>
      <c r="F36" t="s">
        <v>191</v>
      </c>
      <c r="G36" t="s">
        <v>477</v>
      </c>
      <c r="H36" t="s">
        <v>478</v>
      </c>
      <c r="I36" t="s">
        <v>517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AB37"/>
  <sheetViews>
    <sheetView workbookViewId="0"/>
  </sheetViews>
  <sheetFormatPr defaultRowHeight="15"/>
  <cols>
    <col min="1" max="1" width="16" customWidth="1"/>
    <col min="2" max="2" width="16" customWidth="1"/>
    <col min="3" max="3" width="16" customWidth="1"/>
    <col min="4" max="4" width="16" customWidth="1"/>
    <col min="5" max="28" width="9" customWidth="1"/>
  </cols>
  <sheetData>
    <row r="1">
      <c r="A1" t="inlineStr">
        <is>
          <r>
            <rPr>
              <b/>
            </rPr>
            <t xml:space="preserve">Materia:</t>
          </r>
        </is>
      </c>
    </row>
    <row r="2">
      <c r="A2" t="inlineStr">
        <is>
          <r>
            <rPr>
              <b/>
            </rPr>
            <t xml:space="preserve">Trimestre:</t>
          </r>
        </is>
      </c>
    </row>
    <row r="3">
      <c r="A3" t="inlineStr">
        <is>
          <r>
            <rPr>
              <b/>
            </rPr>
            <t xml:space="preserve">Sección:</t>
          </r>
        </is>
      </c>
    </row>
    <row r="5">
      <c r="A5" t="inlineStr">
        <is>
          <r>
            <rPr>
              <b/>
            </rPr>
            <t xml:space="preserve">numero_lista</t>
          </r>
        </is>
      </c>
      <c r="B5" t="inlineStr">
        <is>
          <r>
            <rPr>
              <b/>
            </rPr>
            <t xml:space="preserve">nombre</t>
          </r>
        </is>
      </c>
      <c r="C5" t="inlineStr">
        <is>
          <r>
            <rPr>
              <b/>
            </rPr>
            <t xml:space="preserve">apellido</t>
          </r>
        </is>
      </c>
      <c r="D5" t="inlineStr">
        <is>
          <r>
            <rPr>
              <b/>
            </rPr>
            <t xml:space="preserve">cedula</t>
          </r>
        </is>
      </c>
      <c r="E5" t="inlineStr">
        <is>
          <r>
            <rPr>
              <b/>
            </rPr>
            <t xml:space="preserve">Semana 1</t>
          </r>
        </is>
      </c>
      <c r="G5" t="inlineStr">
        <is>
          <r>
            <rPr>
              <b/>
            </rPr>
            <t xml:space="preserve">Semana 2</t>
          </r>
        </is>
      </c>
      <c r="I5" t="inlineStr">
        <is>
          <r>
            <rPr>
              <b/>
            </rPr>
            <t xml:space="preserve">Semana 3</t>
          </r>
        </is>
      </c>
      <c r="K5" t="inlineStr">
        <is>
          <r>
            <rPr>
              <b/>
            </rPr>
            <t xml:space="preserve">Semana 4</t>
          </r>
        </is>
      </c>
      <c r="M5" t="inlineStr">
        <is>
          <r>
            <rPr>
              <b/>
            </rPr>
            <t xml:space="preserve">Semana 5</t>
          </r>
        </is>
      </c>
      <c r="O5" t="inlineStr">
        <is>
          <r>
            <rPr>
              <b/>
            </rPr>
            <t xml:space="preserve">Semana 6</t>
          </r>
        </is>
      </c>
      <c r="Q5" t="inlineStr">
        <is>
          <r>
            <rPr>
              <b/>
            </rPr>
            <t xml:space="preserve">Semana 7</t>
          </r>
        </is>
      </c>
      <c r="S5" t="inlineStr">
        <is>
          <r>
            <rPr>
              <b/>
            </rPr>
            <t xml:space="preserve">Semana 8</t>
          </r>
        </is>
      </c>
      <c r="U5" t="inlineStr">
        <is>
          <r>
            <rPr>
              <b/>
            </rPr>
            <t xml:space="preserve">Semana 9</t>
          </r>
        </is>
      </c>
      <c r="W5" t="inlineStr">
        <is>
          <r>
            <rPr>
              <b/>
            </rPr>
            <t xml:space="preserve">Semana 10</t>
          </r>
        </is>
      </c>
      <c r="Y5" t="inlineStr">
        <is>
          <r>
            <rPr>
              <b/>
            </rPr>
            <t xml:space="preserve">Semana 11</t>
          </r>
        </is>
      </c>
      <c r="AA5" t="inlineStr">
        <is>
          <r>
            <rPr>
              <b/>
            </rPr>
            <t xml:space="preserve">Semana 12</t>
          </r>
        </is>
      </c>
    </row>
    <row r="6">
      <c r="E6" t="inlineStr">
        <is>
          <t xml:space="preserve">día</t>
        </is>
      </c>
      <c r="F6" t="inlineStr">
        <is>
          <t xml:space="preserve">día</t>
        </is>
      </c>
      <c r="G6" t="inlineStr">
        <is>
          <t xml:space="preserve">día</t>
        </is>
      </c>
      <c r="H6" t="inlineStr">
        <is>
          <t xml:space="preserve">día</t>
        </is>
      </c>
      <c r="I6" t="inlineStr">
        <is>
          <t xml:space="preserve">día</t>
        </is>
      </c>
      <c r="J6" t="inlineStr">
        <is>
          <t xml:space="preserve">día</t>
        </is>
      </c>
      <c r="K6" t="inlineStr">
        <is>
          <t xml:space="preserve">día</t>
        </is>
      </c>
      <c r="L6" t="inlineStr">
        <is>
          <t xml:space="preserve">día</t>
        </is>
      </c>
      <c r="M6" t="inlineStr">
        <is>
          <t xml:space="preserve">día</t>
        </is>
      </c>
      <c r="N6" t="inlineStr">
        <is>
          <t xml:space="preserve">día</t>
        </is>
      </c>
      <c r="O6" t="inlineStr">
        <is>
          <t xml:space="preserve">día</t>
        </is>
      </c>
      <c r="P6" t="inlineStr">
        <is>
          <t xml:space="preserve">día</t>
        </is>
      </c>
      <c r="Q6" t="inlineStr">
        <is>
          <t xml:space="preserve">día</t>
        </is>
      </c>
      <c r="R6" t="inlineStr">
        <is>
          <t xml:space="preserve">día</t>
        </is>
      </c>
      <c r="S6" t="inlineStr">
        <is>
          <t xml:space="preserve">día</t>
        </is>
      </c>
      <c r="T6" t="inlineStr">
        <is>
          <t xml:space="preserve">día</t>
        </is>
      </c>
      <c r="U6" t="inlineStr">
        <is>
          <t xml:space="preserve">día</t>
        </is>
      </c>
      <c r="V6" t="inlineStr">
        <is>
          <t xml:space="preserve">día</t>
        </is>
      </c>
      <c r="W6" t="inlineStr">
        <is>
          <t xml:space="preserve">día</t>
        </is>
      </c>
      <c r="X6" t="inlineStr">
        <is>
          <t xml:space="preserve">día</t>
        </is>
      </c>
      <c r="Y6" t="inlineStr">
        <is>
          <t xml:space="preserve">día</t>
        </is>
      </c>
      <c r="Z6" t="inlineStr">
        <is>
          <t xml:space="preserve">día</t>
        </is>
      </c>
      <c r="AA6" t="inlineStr">
        <is>
          <t xml:space="preserve">día</t>
        </is>
      </c>
      <c r="AB6" t="inlineStr">
        <is>
          <t xml:space="preserve">día</t>
        </is>
      </c>
    </row>
  </sheetData>
  <mergeCells count="16">
    <mergeCell ref="A5:A6"/>
    <mergeCell ref="B5:B6"/>
    <mergeCell ref="C5:C6"/>
    <mergeCell ref="D5:D6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Calificaciones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Torre</dc:creator>
  <cp:lastModifiedBy>Fernando Torre</cp:lastModifiedBy>
  <cp:lastPrinted>2025-07-14T00:03:07Z</cp:lastPrinted>
  <dcterms:created xsi:type="dcterms:W3CDTF">2025-07-13T19:51:45Z</dcterms:created>
  <dcterms:modified xsi:type="dcterms:W3CDTF">2026-08-26T16:30:38Z</dcterms:modified>
</cp:coreProperties>
</file>