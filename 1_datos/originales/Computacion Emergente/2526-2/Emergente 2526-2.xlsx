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526-2/"/>
    </mc:Choice>
  </mc:AlternateContent>
  <xr:revisionPtr revIDLastSave="0" documentId="13_ncr:1_{832384D8-88F0-404E-A922-244E56D3DD31}" xr6:coauthVersionLast="47" xr6:coauthVersionMax="47" xr10:uidLastSave="{00000000-0000-0000-0000-000000000000}"/>
  <bookViews>
    <workbookView xWindow="0" yWindow="600" windowWidth="28800" windowHeight="16100" activeTab="1" xr2:uid="{00000000-000D-0000-FFFF-FFFF00000000}"/>
  </bookViews>
  <sheets>
    <sheet name="COMPURACION EMERGENTE" sheetId="1" r:id="rId1"/>
    <sheet name="Estandar" sheetId="2" r:id="rId2"/>
    <sheet name="Cronograma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P43" i="1" s="1"/>
  <c r="Q43" i="1" s="1"/>
  <c r="O42" i="1"/>
  <c r="P42" i="1" s="1"/>
  <c r="Q42" i="1" s="1"/>
  <c r="O41" i="1"/>
  <c r="P41" i="1" s="1"/>
  <c r="Q41" i="1" s="1"/>
  <c r="O40" i="1"/>
  <c r="P40" i="1" s="1"/>
  <c r="Q40" i="1" s="1"/>
  <c r="O39" i="1"/>
  <c r="P39" i="1" s="1"/>
  <c r="Q39" i="1" s="1"/>
  <c r="O38" i="1"/>
  <c r="P38" i="1" s="1"/>
  <c r="Q38" i="1" s="1"/>
  <c r="O37" i="1"/>
  <c r="P37" i="1" s="1"/>
  <c r="Q37" i="1" s="1"/>
  <c r="O36" i="1"/>
  <c r="P36" i="1" s="1"/>
  <c r="Q36" i="1" s="1"/>
  <c r="O35" i="1"/>
  <c r="P35" i="1" s="1"/>
  <c r="Q35" i="1" s="1"/>
  <c r="O34" i="1"/>
  <c r="P34" i="1" s="1"/>
  <c r="Q34" i="1" s="1"/>
  <c r="O33" i="1"/>
  <c r="P33" i="1" s="1"/>
  <c r="Q33" i="1" s="1"/>
  <c r="O32" i="1"/>
  <c r="P32" i="1" s="1"/>
  <c r="Q32" i="1" s="1"/>
  <c r="O31" i="1"/>
  <c r="P31" i="1" s="1"/>
  <c r="Q31" i="1" s="1"/>
  <c r="O30" i="1"/>
  <c r="P30" i="1" s="1"/>
  <c r="Q30" i="1" s="1"/>
  <c r="O29" i="1"/>
  <c r="P29" i="1" s="1"/>
  <c r="Q29" i="1" s="1"/>
  <c r="O28" i="1"/>
  <c r="P28" i="1" s="1"/>
  <c r="Q28" i="1" s="1"/>
  <c r="O27" i="1"/>
  <c r="P27" i="1" s="1"/>
  <c r="Q27" i="1" s="1"/>
  <c r="O26" i="1"/>
  <c r="P26" i="1" s="1"/>
  <c r="Q26" i="1" s="1"/>
  <c r="O25" i="1"/>
  <c r="P25" i="1" s="1"/>
  <c r="Q25" i="1" s="1"/>
  <c r="O24" i="1"/>
  <c r="P24" i="1" s="1"/>
  <c r="Q24" i="1" s="1"/>
  <c r="O23" i="1"/>
  <c r="P23" i="1" s="1"/>
  <c r="Q23" i="1" s="1"/>
  <c r="O22" i="1"/>
  <c r="P22" i="1" s="1"/>
  <c r="Q22" i="1" s="1"/>
  <c r="O21" i="1"/>
  <c r="P21" i="1" s="1"/>
  <c r="Q21" i="1" s="1"/>
  <c r="O20" i="1"/>
  <c r="P20" i="1" s="1"/>
  <c r="Q20" i="1" s="1"/>
  <c r="O19" i="1"/>
  <c r="P19" i="1" s="1"/>
  <c r="Q19" i="1" s="1"/>
  <c r="O18" i="1"/>
  <c r="P18" i="1" s="1"/>
  <c r="Q18" i="1" s="1"/>
  <c r="O17" i="1"/>
  <c r="P17" i="1" s="1"/>
  <c r="Q17" i="1" s="1"/>
  <c r="O16" i="1"/>
  <c r="P16" i="1" s="1"/>
  <c r="Q16" i="1" s="1"/>
  <c r="P15" i="1"/>
  <c r="Q15" i="1" s="1"/>
  <c r="O15" i="1"/>
  <c r="O14" i="1"/>
  <c r="P14" i="1" s="1"/>
  <c r="Q14" i="1" s="1"/>
  <c r="O13" i="1"/>
  <c r="P13" i="1" s="1"/>
  <c r="Q13" i="1" s="1"/>
  <c r="O12" i="1"/>
  <c r="P12" i="1" s="1"/>
  <c r="Q12" i="1" s="1"/>
  <c r="O11" i="1"/>
  <c r="P11" i="1" s="1"/>
  <c r="Q11" i="1" s="1"/>
  <c r="O10" i="1"/>
  <c r="P10" i="1" s="1"/>
  <c r="Q10" i="1" s="1"/>
  <c r="O9" i="1"/>
  <c r="P9" i="1" s="1"/>
  <c r="Q9" i="1" s="1"/>
  <c r="O8" i="1"/>
  <c r="P8" i="1" s="1"/>
  <c r="Q8" i="1" s="1"/>
  <c r="O7" i="1"/>
  <c r="P7" i="1" s="1"/>
  <c r="Q7" i="1" s="1"/>
  <c r="O6" i="1"/>
  <c r="P6" i="1" s="1"/>
  <c r="Q6" i="1" s="1"/>
  <c r="O5" i="1"/>
  <c r="P5" i="1" s="1"/>
  <c r="Q5" i="1" s="1"/>
  <c r="O4" i="1"/>
  <c r="P4" i="1" s="1"/>
  <c r="Q4" i="1" s="1"/>
  <c r="O3" i="1"/>
  <c r="P3" i="1" s="1"/>
  <c r="Q3" i="1" s="1"/>
</calcChain>
</file>

<file path=xl/sharedStrings.xml><?xml version="1.0" encoding="utf-8"?>
<sst xmlns="http://schemas.openxmlformats.org/spreadsheetml/2006/main" count="186" uniqueCount="162">
  <si>
    <t>Participaciones Computacion Emergente - Enero-Marzo 2026</t>
  </si>
  <si>
    <t>Cédula</t>
  </si>
  <si>
    <t>Apellidos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</si>
  <si>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</si>
  <si>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</si>
  <si>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</si>
  <si>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</si>
  <si>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</si>
  <si>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</si>
  <si>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</si>
  <si>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</si>
  <si>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</si>
  <si>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</si>
  <si>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</si>
  <si>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</si>
  <si>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TOTAL</t>
  </si>
  <si>
    <t>percent</t>
  </si>
  <si>
    <t>SASantiago David Aristimuño Yaguaramay</t>
  </si>
  <si>
    <t>Albany Veronica Avila Blanco</t>
  </si>
  <si>
    <t>JBJhorman Bloom</t>
  </si>
  <si>
    <t>Andrés Alonso Camacho López</t>
  </si>
  <si>
    <t>Beatriz Elena Cardozo López</t>
  </si>
  <si>
    <t>CCCarlo Carpentieri Perez</t>
  </si>
  <si>
    <t>Ramón Carrasquel</t>
  </si>
  <si>
    <t>LCLuis Carreño</t>
  </si>
  <si>
    <t>Nicola Colarusso</t>
  </si>
  <si>
    <t>Diego De Jesús</t>
  </si>
  <si>
    <t>JDJuan Diaz</t>
  </si>
  <si>
    <t>AEAsier Errasti</t>
  </si>
  <si>
    <t>Gabriel Jesus Flores Baez</t>
  </si>
  <si>
    <t>Jose Ignacio Francisco alvarez</t>
  </si>
  <si>
    <t>JGJoel Eduardo Gascón Pulido</t>
  </si>
  <si>
    <t>Tomas Enrique Gonzalez Adrian</t>
  </si>
  <si>
    <t>Karelin Guzman</t>
  </si>
  <si>
    <t>Kevin Hernandez</t>
  </si>
  <si>
    <t>Alejo Hernandez</t>
  </si>
  <si>
    <t>VKVictoria Knuth</t>
  </si>
  <si>
    <t>Verónica Luna</t>
  </si>
  <si>
    <t>Rodolfo Marin</t>
  </si>
  <si>
    <t>VMVictor Martinez</t>
  </si>
  <si>
    <t>DMDavid Alejandro Mavares Delgado</t>
  </si>
  <si>
    <t>RMRicardo Mazziotta</t>
  </si>
  <si>
    <t>Mauricio Méndez</t>
  </si>
  <si>
    <t>Annabella Mendoza</t>
  </si>
  <si>
    <t>Andrés Alejandro Moreno Lombardo</t>
  </si>
  <si>
    <t>Juan Diego Nunes Peraza</t>
  </si>
  <si>
    <t>Gabriel Rafael Oba Aye Orozco Rodriguez</t>
  </si>
  <si>
    <t>Adrián Eduardo Pinzón Vásquez</t>
  </si>
  <si>
    <t>Jonathan Pizzurro Fortun</t>
  </si>
  <si>
    <t>CRChristian Ramos</t>
  </si>
  <si>
    <t>GRGonzalo Andrés Ramos De Sa Pinto</t>
  </si>
  <si>
    <t>ARAndrea Veronica Reyes Mejia</t>
  </si>
  <si>
    <t>IRIsabella Rondón</t>
  </si>
  <si>
    <t>MRMaria Antonella Ruiz Cianci</t>
  </si>
  <si>
    <t>VTVirginia Torrealba</t>
  </si>
  <si>
    <t>Daniel Alejandro Tortorella Torres</t>
  </si>
  <si>
    <t>Arnaldo Andres Vallerugo Corral</t>
  </si>
  <si>
    <t>Diego Vivolo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</si>
  <si>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</si>
  <si>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</si>
  <si>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</si>
  <si>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</si>
  <si>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</si>
  <si>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</si>
  <si>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</si>
  <si>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</si>
  <si>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</si>
  <si>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</si>
  <si>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</si>
  <si>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</si>
  <si>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</si>
  <si>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</si>
  <si>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</si>
  <si>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</si>
  <si>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</si>
  <si>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</si>
  <si>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</si>
  <si>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Santiago David</t>
  </si>
  <si>
    <t>Aristimuño Yaguaramay</t>
  </si>
  <si>
    <t>Albany Veronica</t>
  </si>
  <si>
    <t>Avila Blanco</t>
  </si>
  <si>
    <t>Jhorman</t>
  </si>
  <si>
    <t>Bloom</t>
  </si>
  <si>
    <t>Andrés Alonso</t>
  </si>
  <si>
    <t>Camacho López</t>
  </si>
  <si>
    <t>Beatriz Elena</t>
  </si>
  <si>
    <t>Cardozo López</t>
  </si>
  <si>
    <t>Carlo</t>
  </si>
  <si>
    <t>Carpentieri Perez</t>
  </si>
  <si>
    <t>Ramón</t>
  </si>
  <si>
    <t>Carrasquel</t>
  </si>
  <si>
    <t>Luis</t>
  </si>
  <si>
    <t>Carreño</t>
  </si>
  <si>
    <t>Nicola</t>
  </si>
  <si>
    <t>Colarusso</t>
  </si>
  <si>
    <t>Diego</t>
  </si>
  <si>
    <t>De Jesús</t>
  </si>
  <si>
    <t>Juan</t>
  </si>
  <si>
    <t>Diaz</t>
  </si>
  <si>
    <t>Asier</t>
  </si>
  <si>
    <t>Errasti</t>
  </si>
  <si>
    <t>Gabriel Jesus</t>
  </si>
  <si>
    <t>Flores Baez</t>
  </si>
  <si>
    <t>Jose Ignacio</t>
  </si>
  <si>
    <t>Francisco Alvarez</t>
  </si>
  <si>
    <t>Joel Eduardo</t>
  </si>
  <si>
    <t>Gascón Pulido</t>
  </si>
  <si>
    <t>Tomas Enrique</t>
  </si>
  <si>
    <t>Gonzalez Adrian</t>
  </si>
  <si>
    <t>Karelin</t>
  </si>
  <si>
    <t>Guzman</t>
  </si>
  <si>
    <t>Kevin</t>
  </si>
  <si>
    <t>Hernandez</t>
  </si>
  <si>
    <t>Alejo</t>
  </si>
  <si>
    <t>Victoria</t>
  </si>
  <si>
    <t>Knuth</t>
  </si>
  <si>
    <t>Verónica</t>
  </si>
  <si>
    <t>Luna</t>
  </si>
  <si>
    <t>Rodolfo</t>
  </si>
  <si>
    <t>Marin</t>
  </si>
  <si>
    <t>Victor</t>
  </si>
  <si>
    <t>Martinez</t>
  </si>
  <si>
    <t>David Alejandro</t>
  </si>
  <si>
    <t>Mavares Delgado</t>
  </si>
  <si>
    <t>Ricardo</t>
  </si>
  <si>
    <t>Mazziotta</t>
  </si>
  <si>
    <t>Mauricio</t>
  </si>
  <si>
    <t>Méndez</t>
  </si>
  <si>
    <t>Annabella</t>
  </si>
  <si>
    <t>Mendoza</t>
  </si>
  <si>
    <t>Andrés Alejandro</t>
  </si>
  <si>
    <t>Moreno Lombardo</t>
  </si>
  <si>
    <t>Juan Diego</t>
  </si>
  <si>
    <t>Nunes Peraza</t>
  </si>
  <si>
    <t>Gabriel Rafael Oba Aye</t>
  </si>
  <si>
    <t>Orozco Rodriguez</t>
  </si>
  <si>
    <t>Adrián Eduardo</t>
  </si>
  <si>
    <t>Pinzón Vásquez</t>
  </si>
  <si>
    <t>Jonathan</t>
  </si>
  <si>
    <t>Pizzurro Fortun</t>
  </si>
  <si>
    <t>Christian</t>
  </si>
  <si>
    <t>Ramos</t>
  </si>
  <si>
    <t>Gonzalo Andrés</t>
  </si>
  <si>
    <t>Ramos De Sa Pinto</t>
  </si>
  <si>
    <t>Andrea Veronica</t>
  </si>
  <si>
    <t>Reyes Mejia</t>
  </si>
  <si>
    <t>Isabella</t>
  </si>
  <si>
    <t>Rondón</t>
  </si>
  <si>
    <t>Maria Antonella</t>
  </si>
  <si>
    <t>Ruiz Cianci</t>
  </si>
  <si>
    <t>Virginia</t>
  </si>
  <si>
    <t>Torrealba</t>
  </si>
  <si>
    <t>Daniel Alejandro</t>
  </si>
  <si>
    <t>Tortorella Torres</t>
  </si>
  <si>
    <t>Arnaldo Andres</t>
  </si>
  <si>
    <t>Vallerugo Corral</t>
  </si>
  <si>
    <t>Vivolo</t>
  </si>
  <si>
    <t>Computacion Emergente</t>
  </si>
  <si>
    <t>2526-2</t>
  </si>
  <si>
    <t>martes</t>
  </si>
  <si>
    <t>jueves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</si>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</sst>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rgb="FF1D2125"/>
      <name val="Century Gothic"/>
      <family val="1"/>
    </font>
    <font>
      <u/>
      <sz val="11"/>
      <color theme="10"/>
      <name val="Aptos Narrow"/>
    </font>
    <font>
      <b/>
      <sz val="12"/>
      <color theme="1"/>
      <name val="Aptos Narrow"/>
    </font>
    <font>
      <u/>
      <sz val="11"/>
      <color theme="10"/>
      <name val="Aptos Narrow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1D2125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0" xfId="0" applyFont="1" applyFill="1"/>
    <xf numFmtId="9" fontId="1" fillId="2" borderId="0" xfId="0" applyNumberFormat="1" applyFont="1" applyFill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/>
    </xf>
    <xf numFmtId="10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OMPURACION EMERGEN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333375" cy="866775"/>
    <xdr:pic>
      <xdr:nvPicPr>
        <xdr:cNvPr id="2" name="image16.jpg" descr="https://aulasvirtuales.unimet.edu.ve/pluginfile.php/12483/user/icon/academi/f2?rev=1210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33375" cy="866775"/>
    <xdr:pic>
      <xdr:nvPicPr>
        <xdr:cNvPr id="3" name="image4.jpg" descr="https://aulasvirtuales.unimet.edu.ve/pluginfile.php/122038/user/icon/academi/f2?rev=848013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33375" cy="866775"/>
    <xdr:pic>
      <xdr:nvPicPr>
        <xdr:cNvPr id="4" name="image3.jpg" descr="https://aulasvirtuales.unimet.edu.ve/pluginfile.php/50505/user/icon/academi/f2?rev=173389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33375" cy="504825"/>
    <xdr:pic>
      <xdr:nvPicPr>
        <xdr:cNvPr id="5" name="image24.jpg" descr="https://aulasvirtuales.unimet.edu.ve/pluginfile.php/202379/user/icon/academi/f2?rev=345322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33375" cy="504825"/>
    <xdr:pic>
      <xdr:nvPicPr>
        <xdr:cNvPr id="6" name="image17.jpg" descr="https://aulasvirtuales.unimet.edu.ve/pluginfile.php/156876/user/icon/academi/f2?rev=345895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33375" cy="504825"/>
    <xdr:pic>
      <xdr:nvPicPr>
        <xdr:cNvPr id="7" name="image21.jpg" descr="https://aulasvirtuales.unimet.edu.ve/pluginfile.php/50313/user/icon/academi/f2?rev=35517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33375" cy="866775"/>
    <xdr:pic>
      <xdr:nvPicPr>
        <xdr:cNvPr id="8" name="image6.png" descr="https://aulasvirtuales.unimet.edu.ve/pluginfile.php/122191/user/icon/academi/f2?rev=28047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33375" cy="866775"/>
    <xdr:pic>
      <xdr:nvPicPr>
        <xdr:cNvPr id="9" name="image25.jpg" descr="https://aulasvirtuales.unimet.edu.ve/pluginfile.php/157023/user/icon/academi/f2?rev=46598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33375" cy="866775"/>
    <xdr:pic>
      <xdr:nvPicPr>
        <xdr:cNvPr id="10" name="image12.jpg" descr="https://aulasvirtuales.unimet.edu.ve/pluginfile.php/12614/user/icon/academi/f2?rev=12330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866775"/>
    <xdr:pic>
      <xdr:nvPicPr>
        <xdr:cNvPr id="11" name="image8.jpg" descr="https://aulasvirtuales.unimet.edu.ve/pluginfile.php/179671/user/icon/academi/f2?rev=83868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504825"/>
    <xdr:pic>
      <xdr:nvPicPr>
        <xdr:cNvPr id="12" name="image15.jpg" descr="https://aulasvirtuales.unimet.edu.ve/pluginfile.php/131919/user/icon/academi/f2?rev=161610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33375" cy="504825"/>
    <xdr:pic>
      <xdr:nvPicPr>
        <xdr:cNvPr id="13" name="image2.jpg" descr="y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33375" cy="333375"/>
    <xdr:pic>
      <xdr:nvPicPr>
        <xdr:cNvPr id="14" name="image9.jpg" descr="https://aulasvirtuales.unimet.edu.ve/pluginfile.php/36654/user/icon/academi/f2?rev=957532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333375" cy="333375"/>
    <xdr:pic>
      <xdr:nvPicPr>
        <xdr:cNvPr id="15" name="image14.jpg" descr="https://aulasvirtuales.unimet.edu.ve/pluginfile.php/13774/user/icon/academi/f2?rev=74306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33375" cy="333375"/>
    <xdr:pic>
      <xdr:nvPicPr>
        <xdr:cNvPr id="16" name="image11.jpg" descr="https://aulasvirtuales.unimet.edu.ve/pluginfile.php/18598/user/icon/academi/f2?rev=194260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33375" cy="333375"/>
    <xdr:pic>
      <xdr:nvPicPr>
        <xdr:cNvPr id="17" name="image1.jpg" descr="https://aulasvirtuales.unimet.edu.ve/pluginfile.php/122143/user/icon/academi/f2?rev=17336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33375" cy="333375"/>
    <xdr:pic>
      <xdr:nvPicPr>
        <xdr:cNvPr id="18" name="image5.jpg" descr="https://aulasvirtuales.unimet.edu.ve/pluginfile.php/157141/user/icon/academi/f2?rev=345405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33375" cy="333375"/>
    <xdr:pic>
      <xdr:nvPicPr>
        <xdr:cNvPr id="19" name="image7.jpg" descr="https://aulasvirtuales.unimet.edu.ve/pluginfile.php/157034/user/icon/academi/f2?rev=353429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333375"/>
    <xdr:pic>
      <xdr:nvPicPr>
        <xdr:cNvPr id="20" name="image22.jpg" descr="Perfil Elvira Nava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333375"/>
    <xdr:pic>
      <xdr:nvPicPr>
        <xdr:cNvPr id="21" name="image19.jpg" descr="https://aulasvirtuales.unimet.edu.ve/pluginfile.php/68526/user/icon/academi/f2?rev=233202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33375" cy="333375"/>
    <xdr:pic>
      <xdr:nvPicPr>
        <xdr:cNvPr id="22" name="image18.png" descr="https://aulasvirtuales.unimet.edu.ve/pluginfile.php/206076/user/icon/academi/f2?rev=346628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33375" cy="333375"/>
    <xdr:pic>
      <xdr:nvPicPr>
        <xdr:cNvPr id="23" name="image23.jpg" descr="https://aulasvirtuales.unimet.edu.ve/pluginfile.php/18576/user/icon/academi/f2?rev=13049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33375" cy="333375"/>
    <xdr:pic>
      <xdr:nvPicPr>
        <xdr:cNvPr id="24" name="image20.png" descr="https://aulasvirtuales.unimet.edu.ve/pluginfile.php/131834/user/icon/academi/f2?rev=767294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333375" cy="333375"/>
    <xdr:pic>
      <xdr:nvPicPr>
        <xdr:cNvPr id="25" name="image13.jpg" descr="https://aulasvirtuales.unimet.edu.ve/pluginfile.php/297723/user/icon/academi/f2?rev=834354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333375" cy="333375"/>
    <xdr:pic>
      <xdr:nvPicPr>
        <xdr:cNvPr id="26" name="image10.jpg" descr="https://aulasvirtuales.unimet.edu.ve/pluginfile.php/156881/user/icon/academi/f2?rev=703650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333375" cy="333375"/>
    <xdr:pic>
      <xdr:nvPicPr>
        <xdr:cNvPr id="27" name="image27.jpg" descr="https://aulasvirtuales.unimet.edu.ve/pluginfile.php/253739/user/icon/academi/f2?rev=602591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33375" cy="333375"/>
    <xdr:pic>
      <xdr:nvPicPr>
        <xdr:cNvPr id="28" name="image26.jpg" descr="https://aulasvirtuales.unimet.edu.ve/pluginfile.php/226753/user/icon/academi/f2?rev=406948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Q43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</tableColumns>
  <tableStyleInfo name="COMPURACION EMERGEN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D0A8CB-6C14-CC44-A7F3-713AC2EBB4A8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06624ca1-0324-4db2-9512-cd5296aef2c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ulasvirtuales.unimet.edu.ve/user/view.php?id=6982&amp;course=3479" TargetMode="External"/><Relationship Id="rId18" Type="http://schemas.openxmlformats.org/officeDocument/2006/relationships/hyperlink" Target="https://aulasvirtuales.unimet.edu.ve/user/view.php?id=5830&amp;course=3479" TargetMode="External"/><Relationship Id="rId26" Type="http://schemas.openxmlformats.org/officeDocument/2006/relationships/hyperlink" Target="https://aulasvirtuales.unimet.edu.ve/user/view.php?id=6934&amp;course=3479" TargetMode="External"/><Relationship Id="rId39" Type="http://schemas.openxmlformats.org/officeDocument/2006/relationships/hyperlink" Target="https://aulasvirtuales.unimet.edu.ve/user/view.php?id=11878&amp;course=3479" TargetMode="External"/><Relationship Id="rId21" Type="http://schemas.openxmlformats.org/officeDocument/2006/relationships/hyperlink" Target="https://aulasvirtuales.unimet.edu.ve/user/view.php?id=1628&amp;course=3479" TargetMode="External"/><Relationship Id="rId34" Type="http://schemas.openxmlformats.org/officeDocument/2006/relationships/hyperlink" Target="https://aulasvirtuales.unimet.edu.ve/user/view.php?id=8624&amp;course=3479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aulasvirtuales.unimet.edu.ve/user/view.php?id=10132&amp;course=3479" TargetMode="External"/><Relationship Id="rId2" Type="http://schemas.openxmlformats.org/officeDocument/2006/relationships/hyperlink" Target="https://aulasvirtuales.unimet.edu.ve/user/view.php?id=817&amp;course=3479" TargetMode="External"/><Relationship Id="rId16" Type="http://schemas.openxmlformats.org/officeDocument/2006/relationships/hyperlink" Target="https://aulasvirtuales.unimet.edu.ve/user/view.php?id=866&amp;course=3479" TargetMode="External"/><Relationship Id="rId20" Type="http://schemas.openxmlformats.org/officeDocument/2006/relationships/hyperlink" Target="https://aulasvirtuales.unimet.edu.ve/user/view.php?id=1004&amp;course=3479" TargetMode="External"/><Relationship Id="rId29" Type="http://schemas.openxmlformats.org/officeDocument/2006/relationships/hyperlink" Target="https://aulasvirtuales.unimet.edu.ve/user/view.php?id=5441&amp;course=3479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aulasvirtuales.unimet.edu.ve/user/view.php?id=10171&amp;course=3479" TargetMode="External"/><Relationship Id="rId6" Type="http://schemas.openxmlformats.org/officeDocument/2006/relationships/hyperlink" Target="https://aulasvirtuales.unimet.edu.ve/user/view.php?id=5827&amp;course=3479" TargetMode="External"/><Relationship Id="rId11" Type="http://schemas.openxmlformats.org/officeDocument/2006/relationships/hyperlink" Target="https://aulasvirtuales.unimet.edu.ve/user/view.php?id=8370&amp;course=3479" TargetMode="External"/><Relationship Id="rId24" Type="http://schemas.openxmlformats.org/officeDocument/2006/relationships/hyperlink" Target="https://aulasvirtuales.unimet.edu.ve/user/view.php?id=10298&amp;course=3479" TargetMode="External"/><Relationship Id="rId32" Type="http://schemas.openxmlformats.org/officeDocument/2006/relationships/hyperlink" Target="https://aulasvirtuales.unimet.edu.ve/user/view.php?id=7313&amp;course=3479" TargetMode="External"/><Relationship Id="rId37" Type="http://schemas.openxmlformats.org/officeDocument/2006/relationships/hyperlink" Target="https://aulasvirtuales.unimet.edu.ve/user/view.php?id=10093&amp;course=3479" TargetMode="External"/><Relationship Id="rId40" Type="http://schemas.openxmlformats.org/officeDocument/2006/relationships/hyperlink" Target="https://aulasvirtuales.unimet.edu.ve/user/view.php?id=11173&amp;course=3479" TargetMode="External"/><Relationship Id="rId5" Type="http://schemas.openxmlformats.org/officeDocument/2006/relationships/hyperlink" Target="https://aulasvirtuales.unimet.edu.ve/user/view.php?id=4378&amp;course=3479" TargetMode="External"/><Relationship Id="rId15" Type="http://schemas.openxmlformats.org/officeDocument/2006/relationships/hyperlink" Target="https://aulasvirtuales.unimet.edu.ve/user/view.php?id=9262&amp;course=3479" TargetMode="External"/><Relationship Id="rId23" Type="http://schemas.openxmlformats.org/officeDocument/2006/relationships/hyperlink" Target="https://aulasvirtuales.unimet.edu.ve/user/view.php?id=10285&amp;course=3479" TargetMode="External"/><Relationship Id="rId28" Type="http://schemas.openxmlformats.org/officeDocument/2006/relationships/hyperlink" Target="https://aulasvirtuales.unimet.edu.ve/user/view.php?id=8699&amp;course=3479" TargetMode="External"/><Relationship Id="rId36" Type="http://schemas.openxmlformats.org/officeDocument/2006/relationships/hyperlink" Target="https://aulasvirtuales.unimet.edu.ve/user/view.php?id=19673&amp;course=3479" TargetMode="External"/><Relationship Id="rId10" Type="http://schemas.openxmlformats.org/officeDocument/2006/relationships/hyperlink" Target="https://aulasvirtuales.unimet.edu.ve/user/view.php?id=4186&amp;course=3479" TargetMode="External"/><Relationship Id="rId19" Type="http://schemas.openxmlformats.org/officeDocument/2006/relationships/hyperlink" Target="https://aulasvirtuales.unimet.edu.ve/user/view.php?id=3523&amp;course=3479" TargetMode="External"/><Relationship Id="rId31" Type="http://schemas.openxmlformats.org/officeDocument/2006/relationships/hyperlink" Target="https://aulasvirtuales.unimet.edu.ve/user/view.php?id=2199&amp;course=3479" TargetMode="External"/><Relationship Id="rId4" Type="http://schemas.openxmlformats.org/officeDocument/2006/relationships/hyperlink" Target="https://aulasvirtuales.unimet.edu.ve/user/view.php?id=6829&amp;course=3479" TargetMode="External"/><Relationship Id="rId9" Type="http://schemas.openxmlformats.org/officeDocument/2006/relationships/hyperlink" Target="https://aulasvirtuales.unimet.edu.ve/user/view.php?id=8541&amp;course=3479" TargetMode="External"/><Relationship Id="rId14" Type="http://schemas.openxmlformats.org/officeDocument/2006/relationships/hyperlink" Target="https://aulasvirtuales.unimet.edu.ve/user/view.php?id=8688&amp;course=3479" TargetMode="External"/><Relationship Id="rId22" Type="http://schemas.openxmlformats.org/officeDocument/2006/relationships/hyperlink" Target="https://aulasvirtuales.unimet.edu.ve/user/view.php?id=2221&amp;course=3479" TargetMode="External"/><Relationship Id="rId27" Type="http://schemas.openxmlformats.org/officeDocument/2006/relationships/hyperlink" Target="https://aulasvirtuales.unimet.edu.ve/user/view.php?id=8806&amp;course=3479" TargetMode="External"/><Relationship Id="rId30" Type="http://schemas.openxmlformats.org/officeDocument/2006/relationships/hyperlink" Target="https://aulasvirtuales.unimet.edu.ve/user/view.php?id=10503&amp;course=3479" TargetMode="External"/><Relationship Id="rId35" Type="http://schemas.openxmlformats.org/officeDocument/2006/relationships/hyperlink" Target="https://aulasvirtuales.unimet.edu.ve/user/view.php?id=4645&amp;course=3479" TargetMode="External"/><Relationship Id="rId8" Type="http://schemas.openxmlformats.org/officeDocument/2006/relationships/hyperlink" Target="https://aulasvirtuales.unimet.edu.ve/user/view.php?id=8614&amp;course=3479" TargetMode="External"/><Relationship Id="rId3" Type="http://schemas.openxmlformats.org/officeDocument/2006/relationships/hyperlink" Target="https://aulasvirtuales.unimet.edu.ve/user/view.php?id=1527&amp;course=3479" TargetMode="External"/><Relationship Id="rId12" Type="http://schemas.openxmlformats.org/officeDocument/2006/relationships/hyperlink" Target="https://aulasvirtuales.unimet.edu.ve/user/view.php?id=8647&amp;course=3479" TargetMode="External"/><Relationship Id="rId17" Type="http://schemas.openxmlformats.org/officeDocument/2006/relationships/hyperlink" Target="https://aulasvirtuales.unimet.edu.ve/user/view.php?id=7362&amp;course=3479" TargetMode="External"/><Relationship Id="rId25" Type="http://schemas.openxmlformats.org/officeDocument/2006/relationships/hyperlink" Target="https://aulasvirtuales.unimet.edu.ve/user/view.php?id=10224&amp;course=3479" TargetMode="External"/><Relationship Id="rId33" Type="http://schemas.openxmlformats.org/officeDocument/2006/relationships/hyperlink" Target="https://aulasvirtuales.unimet.edu.ve/user/view.php?id=18737&amp;course=3479" TargetMode="External"/><Relationship Id="rId38" Type="http://schemas.openxmlformats.org/officeDocument/2006/relationships/hyperlink" Target="https://aulasvirtuales.unimet.edu.ve/user/view.php?id=8546&amp;course=3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A1:Q998"/>
  <sheetViews>
    <sheetView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N3" sqref="N3:N54"/>
    </sheetView>
  </sheetViews>
  <sheetFormatPr baseColWidth="10" defaultColWidth="12.6640625" defaultRowHeight="15.75" customHeight="1" x14ac:dyDescent="0.15"/>
  <cols>
    <col min="1" max="1" width="8.83203125" customWidth="1"/>
    <col min="2" max="2" width="36.83203125" customWidth="1"/>
    <col min="3" max="11" width="8.1640625" customWidth="1"/>
    <col min="12" max="14" width="9.1640625" customWidth="1"/>
    <col min="15" max="17" width="8.6640625" customWidth="1"/>
  </cols>
  <sheetData>
    <row r="1" spans="1:17" ht="14" x14ac:dyDescent="0.15">
      <c r="B1" s="1" t="s">
        <v>0</v>
      </c>
    </row>
    <row r="2" spans="1:17" ht="15" x14ac:dyDescent="0.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4" t="s">
        <v>15</v>
      </c>
      <c r="P2" s="5" t="s">
        <v>16</v>
      </c>
      <c r="Q2" s="6">
        <v>0.05</v>
      </c>
    </row>
    <row r="3" spans="1:17" ht="26.25" customHeight="1" x14ac:dyDescent="0.2">
      <c r="A3" s="7">
        <v>31068474</v>
      </c>
      <c r="B3" s="8" t="s">
        <v>17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9">
        <f>SUM('COMPURACION EMERGENTE'!$C3:$N3)</f>
        <v>1</v>
      </c>
      <c r="P3" s="10">
        <f t="shared" ref="P3:P43" si="0">O3/15</f>
        <v>6.6666666666666666E-2</v>
      </c>
      <c r="Q3" s="11">
        <f t="shared" ref="Q3:Q43" si="1">P3*5</f>
        <v>0.33333333333333331</v>
      </c>
    </row>
    <row r="4" spans="1:17" ht="26.25" customHeight="1" x14ac:dyDescent="0.2">
      <c r="A4" s="12">
        <v>29510447</v>
      </c>
      <c r="B4" s="13" t="s">
        <v>18</v>
      </c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9">
        <f>SUM('COMPURACION EMERGENTE'!$C4:$N4)</f>
        <v>0</v>
      </c>
      <c r="P4" s="10">
        <f t="shared" si="0"/>
        <v>0</v>
      </c>
      <c r="Q4" s="11">
        <f t="shared" si="1"/>
        <v>0</v>
      </c>
    </row>
    <row r="5" spans="1:17" ht="26.25" customHeight="1" x14ac:dyDescent="0.2">
      <c r="A5" s="7">
        <v>25947729</v>
      </c>
      <c r="B5" s="8" t="s">
        <v>19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9">
        <f>SUM('COMPURACION EMERGENTE'!$C5:$N5)</f>
        <v>0</v>
      </c>
      <c r="P5" s="10">
        <f t="shared" si="0"/>
        <v>0</v>
      </c>
      <c r="Q5" s="11">
        <f t="shared" si="1"/>
        <v>0</v>
      </c>
    </row>
    <row r="6" spans="1:17" ht="26.25" customHeight="1" x14ac:dyDescent="0.2">
      <c r="A6" s="12">
        <v>27849723</v>
      </c>
      <c r="B6" s="13" t="s">
        <v>20</v>
      </c>
      <c r="C6" s="2"/>
      <c r="D6" s="2"/>
      <c r="E6" s="3">
        <v>1</v>
      </c>
      <c r="F6" s="2">
        <v>2</v>
      </c>
      <c r="G6" s="2"/>
      <c r="H6" s="2">
        <v>1</v>
      </c>
      <c r="I6" s="2"/>
      <c r="J6" s="2">
        <v>1</v>
      </c>
      <c r="K6" s="2">
        <v>1</v>
      </c>
      <c r="L6" s="2"/>
      <c r="M6" s="2"/>
      <c r="N6" s="2"/>
      <c r="O6" s="9">
        <f>SUM('COMPURACION EMERGENTE'!$C6:$N6)</f>
        <v>6</v>
      </c>
      <c r="P6" s="10">
        <f t="shared" si="0"/>
        <v>0.4</v>
      </c>
      <c r="Q6" s="11">
        <f t="shared" si="1"/>
        <v>2</v>
      </c>
    </row>
    <row r="7" spans="1:17" ht="26.25" customHeight="1" x14ac:dyDescent="0.2">
      <c r="A7" s="7">
        <v>30057442</v>
      </c>
      <c r="B7" s="8" t="s">
        <v>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9">
        <f>SUM('COMPURACION EMERGENTE'!$C7:$N7)</f>
        <v>0</v>
      </c>
      <c r="P7" s="10">
        <f t="shared" si="0"/>
        <v>0</v>
      </c>
      <c r="Q7" s="11">
        <f t="shared" si="1"/>
        <v>0</v>
      </c>
    </row>
    <row r="8" spans="1:17" ht="26.25" customHeight="1" x14ac:dyDescent="0.2">
      <c r="A8" s="12">
        <v>28021957</v>
      </c>
      <c r="B8" s="13" t="s">
        <v>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9">
        <f>SUM('COMPURACION EMERGENTE'!$C8:$N8)</f>
        <v>0</v>
      </c>
      <c r="P8" s="10">
        <f t="shared" si="0"/>
        <v>0</v>
      </c>
      <c r="Q8" s="11">
        <f t="shared" si="1"/>
        <v>0</v>
      </c>
    </row>
    <row r="9" spans="1:17" ht="26.25" customHeight="1" x14ac:dyDescent="0.2">
      <c r="A9" s="7">
        <v>29508689</v>
      </c>
      <c r="B9" s="8" t="s">
        <v>23</v>
      </c>
      <c r="C9" s="2"/>
      <c r="D9" s="2">
        <v>1</v>
      </c>
      <c r="E9" s="3">
        <v>2</v>
      </c>
      <c r="F9" s="2">
        <v>2</v>
      </c>
      <c r="G9" s="2"/>
      <c r="H9" s="2">
        <v>1</v>
      </c>
      <c r="I9" s="2"/>
      <c r="J9" s="2">
        <v>1</v>
      </c>
      <c r="K9" s="2">
        <v>1</v>
      </c>
      <c r="L9" s="2">
        <v>1</v>
      </c>
      <c r="M9" s="2">
        <v>1</v>
      </c>
      <c r="N9" s="2"/>
      <c r="O9" s="9">
        <f>SUM('COMPURACION EMERGENTE'!$C9:$N9)</f>
        <v>10</v>
      </c>
      <c r="P9" s="10">
        <f t="shared" si="0"/>
        <v>0.66666666666666663</v>
      </c>
      <c r="Q9" s="11">
        <f t="shared" si="1"/>
        <v>3.333333333333333</v>
      </c>
    </row>
    <row r="10" spans="1:17" ht="26.25" customHeight="1" x14ac:dyDescent="0.2">
      <c r="A10" s="12">
        <v>30496325</v>
      </c>
      <c r="B10" s="13" t="s">
        <v>24</v>
      </c>
      <c r="C10" s="2"/>
      <c r="D10" s="2">
        <v>1</v>
      </c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9">
        <f>SUM('COMPURACION EMERGENTE'!$C10:$N10)</f>
        <v>2</v>
      </c>
      <c r="P10" s="10">
        <f t="shared" si="0"/>
        <v>0.13333333333333333</v>
      </c>
      <c r="Q10" s="11">
        <f t="shared" si="1"/>
        <v>0.66666666666666663</v>
      </c>
    </row>
    <row r="11" spans="1:17" ht="26.25" customHeight="1" x14ac:dyDescent="0.2">
      <c r="A11" s="7">
        <v>30358773</v>
      </c>
      <c r="B11" s="8" t="s">
        <v>25</v>
      </c>
      <c r="C11" s="2"/>
      <c r="D11" s="2">
        <v>2</v>
      </c>
      <c r="E11" s="2">
        <v>2</v>
      </c>
      <c r="F11" s="2">
        <v>2</v>
      </c>
      <c r="G11" s="2"/>
      <c r="H11" s="2">
        <v>1</v>
      </c>
      <c r="I11" s="2"/>
      <c r="J11" s="2">
        <v>1</v>
      </c>
      <c r="K11" s="2">
        <v>1</v>
      </c>
      <c r="L11" s="2"/>
      <c r="M11" s="2"/>
      <c r="N11" s="2"/>
      <c r="O11" s="9">
        <f>SUM('COMPURACION EMERGENTE'!$C11:$N11)</f>
        <v>9</v>
      </c>
      <c r="P11" s="10">
        <f t="shared" si="0"/>
        <v>0.6</v>
      </c>
      <c r="Q11" s="11">
        <f t="shared" si="1"/>
        <v>3</v>
      </c>
    </row>
    <row r="12" spans="1:17" ht="26.25" customHeight="1" x14ac:dyDescent="0.2">
      <c r="A12" s="12">
        <v>29741760</v>
      </c>
      <c r="B12" s="13" t="s">
        <v>26</v>
      </c>
      <c r="C12" s="2"/>
      <c r="D12" s="2"/>
      <c r="E12" s="3"/>
      <c r="F12" s="2"/>
      <c r="G12" s="2"/>
      <c r="H12" s="2"/>
      <c r="I12" s="2"/>
      <c r="J12" s="2"/>
      <c r="K12" s="2"/>
      <c r="L12" s="2"/>
      <c r="M12" s="2"/>
      <c r="N12" s="2"/>
      <c r="O12" s="9">
        <f>SUM('COMPURACION EMERGENTE'!$C12:$N12)</f>
        <v>0</v>
      </c>
      <c r="P12" s="10">
        <f t="shared" si="0"/>
        <v>0</v>
      </c>
      <c r="Q12" s="11">
        <f t="shared" si="1"/>
        <v>0</v>
      </c>
    </row>
    <row r="13" spans="1:17" ht="26.25" customHeight="1" x14ac:dyDescent="0.2">
      <c r="A13" s="7">
        <v>29983279</v>
      </c>
      <c r="B13" s="8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9">
        <f>SUM('COMPURACION EMERGENTE'!$C13:$N13)</f>
        <v>0</v>
      </c>
      <c r="P13" s="10">
        <f t="shared" si="0"/>
        <v>0</v>
      </c>
      <c r="Q13" s="11">
        <f t="shared" si="1"/>
        <v>0</v>
      </c>
    </row>
    <row r="14" spans="1:17" ht="26.25" customHeight="1" x14ac:dyDescent="0.2">
      <c r="A14" s="12">
        <v>30497244</v>
      </c>
      <c r="B14" s="13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9">
        <f>SUM('COMPURACION EMERGENTE'!$C14:$N14)</f>
        <v>0</v>
      </c>
      <c r="P14" s="10">
        <f t="shared" si="0"/>
        <v>0</v>
      </c>
      <c r="Q14" s="11">
        <f t="shared" si="1"/>
        <v>0</v>
      </c>
    </row>
    <row r="15" spans="1:17" ht="26.25" customHeight="1" x14ac:dyDescent="0.2">
      <c r="A15" s="7">
        <v>30030632</v>
      </c>
      <c r="B15" s="8" t="s">
        <v>29</v>
      </c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9">
        <f>SUM('COMPURACION EMERGENTE'!$C15:$N15)</f>
        <v>0</v>
      </c>
      <c r="P15" s="10">
        <f t="shared" si="0"/>
        <v>0</v>
      </c>
      <c r="Q15" s="11">
        <f t="shared" si="1"/>
        <v>0</v>
      </c>
    </row>
    <row r="16" spans="1:17" ht="26.25" customHeight="1" x14ac:dyDescent="0.2">
      <c r="A16" s="12">
        <v>30579903</v>
      </c>
      <c r="B16" s="13" t="s">
        <v>30</v>
      </c>
      <c r="C16" s="3"/>
      <c r="D16" s="3">
        <v>1</v>
      </c>
      <c r="E16" s="2">
        <v>1</v>
      </c>
      <c r="F16" s="2"/>
      <c r="G16" s="2">
        <v>1</v>
      </c>
      <c r="H16" s="2"/>
      <c r="I16" s="2"/>
      <c r="J16" s="2"/>
      <c r="K16" s="2">
        <v>1</v>
      </c>
      <c r="L16" s="2"/>
      <c r="M16" s="2"/>
      <c r="N16" s="2"/>
      <c r="O16" s="9">
        <f>SUM('COMPURACION EMERGENTE'!$C16:$N16)</f>
        <v>4</v>
      </c>
      <c r="P16" s="10">
        <f t="shared" si="0"/>
        <v>0.26666666666666666</v>
      </c>
      <c r="Q16" s="11">
        <f t="shared" si="1"/>
        <v>1.3333333333333333</v>
      </c>
    </row>
    <row r="17" spans="1:17" ht="26.25" customHeight="1" x14ac:dyDescent="0.2">
      <c r="A17" s="7">
        <v>31065516</v>
      </c>
      <c r="B17" s="8" t="s">
        <v>31</v>
      </c>
      <c r="C17" s="3"/>
      <c r="D17" s="3"/>
      <c r="E17" s="3"/>
      <c r="F17" s="2"/>
      <c r="G17" s="3"/>
      <c r="H17" s="3">
        <v>1</v>
      </c>
      <c r="I17" s="2"/>
      <c r="J17" s="2"/>
      <c r="K17" s="2"/>
      <c r="L17" s="2"/>
      <c r="M17" s="2"/>
      <c r="N17" s="2"/>
      <c r="O17" s="9">
        <f>SUM('COMPURACION EMERGENTE'!$C17:$N17)</f>
        <v>1</v>
      </c>
      <c r="P17" s="10">
        <f t="shared" si="0"/>
        <v>6.6666666666666666E-2</v>
      </c>
      <c r="Q17" s="11">
        <f t="shared" si="1"/>
        <v>0.33333333333333331</v>
      </c>
    </row>
    <row r="18" spans="1:17" ht="26.25" customHeight="1" x14ac:dyDescent="0.2">
      <c r="A18" s="12">
        <v>28127331</v>
      </c>
      <c r="B18" s="13" t="s">
        <v>32</v>
      </c>
      <c r="C18" s="2"/>
      <c r="D18" s="2"/>
      <c r="E18" s="3"/>
      <c r="F18" s="2"/>
      <c r="G18" s="3"/>
      <c r="H18" s="2"/>
      <c r="I18" s="2"/>
      <c r="J18" s="2"/>
      <c r="K18" s="2"/>
      <c r="L18" s="2"/>
      <c r="M18" s="2"/>
      <c r="N18" s="2"/>
      <c r="O18" s="9">
        <f>SUM('COMPURACION EMERGENTE'!$C18:$N18)</f>
        <v>0</v>
      </c>
      <c r="P18" s="10">
        <f t="shared" si="0"/>
        <v>0</v>
      </c>
      <c r="Q18" s="11">
        <f t="shared" si="1"/>
        <v>0</v>
      </c>
    </row>
    <row r="19" spans="1:17" ht="26.25" customHeight="1" x14ac:dyDescent="0.2">
      <c r="A19" s="12">
        <v>30157257</v>
      </c>
      <c r="B19" s="13" t="s">
        <v>33</v>
      </c>
      <c r="C19" s="2">
        <v>1</v>
      </c>
      <c r="D19" s="2"/>
      <c r="E19" s="2">
        <v>1</v>
      </c>
      <c r="F19" s="2">
        <v>2</v>
      </c>
      <c r="G19" s="2"/>
      <c r="H19" s="2"/>
      <c r="I19" s="2"/>
      <c r="J19" s="2"/>
      <c r="K19" s="2">
        <v>1</v>
      </c>
      <c r="L19" s="2"/>
      <c r="M19" s="2"/>
      <c r="N19" s="2"/>
      <c r="O19" s="9">
        <f>SUM('COMPURACION EMERGENTE'!$C19:$N19)</f>
        <v>5</v>
      </c>
      <c r="P19" s="10">
        <f t="shared" si="0"/>
        <v>0.33333333333333331</v>
      </c>
      <c r="Q19" s="11">
        <f t="shared" si="1"/>
        <v>1.6666666666666665</v>
      </c>
    </row>
    <row r="20" spans="1:17" ht="26.25" customHeight="1" x14ac:dyDescent="0.2">
      <c r="A20" s="7">
        <v>25736710</v>
      </c>
      <c r="B20" s="8" t="s">
        <v>34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9">
        <f>SUM('COMPURACION EMERGENTE'!$C20:$N20)</f>
        <v>1</v>
      </c>
      <c r="P20" s="10">
        <f t="shared" si="0"/>
        <v>6.6666666666666666E-2</v>
      </c>
      <c r="Q20" s="11">
        <f t="shared" si="1"/>
        <v>0.33333333333333331</v>
      </c>
    </row>
    <row r="21" spans="1:17" ht="26.25" customHeight="1" x14ac:dyDescent="0.2">
      <c r="A21" s="12">
        <v>29506315</v>
      </c>
      <c r="B21" s="13" t="s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9">
        <f>SUM('COMPURACION EMERGENTE'!$C21:$N21)</f>
        <v>0</v>
      </c>
      <c r="P21" s="10">
        <f t="shared" si="0"/>
        <v>0</v>
      </c>
      <c r="Q21" s="11">
        <f t="shared" si="1"/>
        <v>0</v>
      </c>
    </row>
    <row r="22" spans="1:17" ht="26.25" customHeight="1" x14ac:dyDescent="0.2">
      <c r="A22" s="7">
        <v>29662587</v>
      </c>
      <c r="B22" s="8" t="s">
        <v>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9">
        <f>SUM('COMPURACION EMERGENTE'!$C22:$N22)</f>
        <v>0</v>
      </c>
      <c r="P22" s="10">
        <f t="shared" si="0"/>
        <v>0</v>
      </c>
      <c r="Q22" s="11">
        <f t="shared" si="1"/>
        <v>0</v>
      </c>
    </row>
    <row r="23" spans="1:17" ht="26.25" customHeight="1" x14ac:dyDescent="0.2">
      <c r="A23" s="12">
        <v>28462135</v>
      </c>
      <c r="B23" s="13" t="s">
        <v>37</v>
      </c>
      <c r="C23" s="3"/>
      <c r="D23" s="3"/>
      <c r="E23" s="3"/>
      <c r="F23" s="2"/>
      <c r="G23" s="3"/>
      <c r="H23" s="3"/>
      <c r="I23" s="2"/>
      <c r="J23" s="2"/>
      <c r="K23" s="2"/>
      <c r="L23" s="2"/>
      <c r="M23" s="2"/>
      <c r="N23" s="2"/>
      <c r="O23" s="9">
        <f>SUM('COMPURACION EMERGENTE'!$C23:$N23)</f>
        <v>0</v>
      </c>
      <c r="P23" s="10">
        <f t="shared" si="0"/>
        <v>0</v>
      </c>
      <c r="Q23" s="11">
        <f t="shared" si="1"/>
        <v>0</v>
      </c>
    </row>
    <row r="24" spans="1:17" ht="26.25" customHeight="1" x14ac:dyDescent="0.2">
      <c r="A24" s="7">
        <v>26895167</v>
      </c>
      <c r="B24" s="8" t="s">
        <v>38</v>
      </c>
      <c r="C24" s="2"/>
      <c r="D24" s="2"/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9">
        <f>SUM('COMPURACION EMERGENTE'!$C24:$N24)</f>
        <v>1</v>
      </c>
      <c r="P24" s="10">
        <f t="shared" si="0"/>
        <v>6.6666666666666666E-2</v>
      </c>
      <c r="Q24" s="11">
        <f t="shared" si="1"/>
        <v>0.33333333333333331</v>
      </c>
    </row>
    <row r="25" spans="1:17" ht="26.25" customHeight="1" x14ac:dyDescent="0.2">
      <c r="A25" s="12">
        <v>30727488</v>
      </c>
      <c r="B25" s="13" t="s">
        <v>39</v>
      </c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4">
        <f>SUM('COMPURACION EMERGENTE'!$C25:$N25)</f>
        <v>1</v>
      </c>
      <c r="P25" s="10">
        <f t="shared" si="0"/>
        <v>6.6666666666666666E-2</v>
      </c>
      <c r="Q25" s="11">
        <f t="shared" si="1"/>
        <v>0.33333333333333331</v>
      </c>
    </row>
    <row r="26" spans="1:17" ht="26.25" customHeight="1" x14ac:dyDescent="0.2">
      <c r="A26" s="7">
        <v>30821945</v>
      </c>
      <c r="B26" s="8" t="s">
        <v>40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>
        <f>SUM('COMPURACION EMERGENTE'!$C26:$N26)</f>
        <v>0</v>
      </c>
      <c r="P26" s="10">
        <f t="shared" si="0"/>
        <v>0</v>
      </c>
      <c r="Q26" s="11">
        <f t="shared" si="1"/>
        <v>0</v>
      </c>
    </row>
    <row r="27" spans="1:17" ht="26.25" customHeight="1" x14ac:dyDescent="0.2">
      <c r="A27" s="12">
        <v>30330786</v>
      </c>
      <c r="B27" s="13" t="s">
        <v>41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>
        <f>SUM('COMPURACION EMERGENTE'!$C27:$N27)</f>
        <v>0</v>
      </c>
      <c r="P27" s="10">
        <f t="shared" si="0"/>
        <v>0</v>
      </c>
      <c r="Q27" s="11">
        <f t="shared" si="1"/>
        <v>0</v>
      </c>
    </row>
    <row r="28" spans="1:17" ht="26.25" customHeight="1" x14ac:dyDescent="0.2">
      <c r="A28" s="7">
        <v>29850491</v>
      </c>
      <c r="B28" s="8" t="s">
        <v>42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14">
        <f>SUM('COMPURACION EMERGENTE'!$C28:$N28)</f>
        <v>1</v>
      </c>
      <c r="P28" s="10">
        <f t="shared" si="0"/>
        <v>6.6666666666666666E-2</v>
      </c>
      <c r="Q28" s="11">
        <f t="shared" si="1"/>
        <v>0.33333333333333331</v>
      </c>
    </row>
    <row r="29" spans="1:17" ht="26.25" customHeight="1" x14ac:dyDescent="0.2">
      <c r="A29" s="12">
        <v>30751145</v>
      </c>
      <c r="B29" s="13" t="s">
        <v>43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4">
        <f>SUM('COMPURACION EMERGENTE'!$C29:$N29)</f>
        <v>0</v>
      </c>
      <c r="P29" s="10">
        <f t="shared" si="0"/>
        <v>0</v>
      </c>
      <c r="Q29" s="11">
        <f t="shared" si="1"/>
        <v>0</v>
      </c>
    </row>
    <row r="30" spans="1:17" ht="26.25" customHeight="1" x14ac:dyDescent="0.2">
      <c r="A30" s="7">
        <v>30612944</v>
      </c>
      <c r="B30" s="8" t="s">
        <v>44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4">
        <f>SUM('COMPURACION EMERGENTE'!$C30:$N30)</f>
        <v>0</v>
      </c>
      <c r="P30" s="10">
        <f t="shared" si="0"/>
        <v>0</v>
      </c>
      <c r="Q30" s="11">
        <f t="shared" si="1"/>
        <v>0</v>
      </c>
    </row>
    <row r="31" spans="1:17" ht="26.25" customHeight="1" x14ac:dyDescent="0.2">
      <c r="A31" s="7">
        <v>29677861</v>
      </c>
      <c r="B31" s="8" t="s">
        <v>45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4">
        <f>SUM('COMPURACION EMERGENTE'!$C31:$N31)</f>
        <v>0</v>
      </c>
      <c r="P31" s="10">
        <f t="shared" si="0"/>
        <v>0</v>
      </c>
      <c r="Q31" s="11">
        <f t="shared" si="1"/>
        <v>0</v>
      </c>
    </row>
    <row r="32" spans="1:17" ht="26.25" customHeight="1" x14ac:dyDescent="0.2">
      <c r="A32" s="12">
        <v>29661990</v>
      </c>
      <c r="B32" s="13" t="s">
        <v>46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4">
        <f>SUM('COMPURACION EMERGENTE'!$C32:$N32)</f>
        <v>0</v>
      </c>
      <c r="P32" s="10">
        <f t="shared" si="0"/>
        <v>0</v>
      </c>
      <c r="Q32" s="11">
        <f t="shared" si="1"/>
        <v>0</v>
      </c>
    </row>
    <row r="33" spans="1:17" ht="26.25" customHeight="1" x14ac:dyDescent="0.2">
      <c r="A33" s="7">
        <v>27472721</v>
      </c>
      <c r="B33" s="8" t="s">
        <v>47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4">
        <f>SUM('COMPURACION EMERGENTE'!$C33:$N33)</f>
        <v>0</v>
      </c>
      <c r="P33" s="10">
        <f t="shared" si="0"/>
        <v>0</v>
      </c>
      <c r="Q33" s="11">
        <f t="shared" si="1"/>
        <v>0</v>
      </c>
    </row>
    <row r="34" spans="1:17" ht="26.25" customHeight="1" x14ac:dyDescent="0.2">
      <c r="A34" s="12">
        <v>29887224</v>
      </c>
      <c r="B34" s="13" t="s">
        <v>48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4">
        <f>SUM('COMPURACION EMERGENTE'!$C34:$N34)</f>
        <v>0</v>
      </c>
      <c r="P34" s="10">
        <f t="shared" si="0"/>
        <v>0</v>
      </c>
      <c r="Q34" s="11">
        <f t="shared" si="1"/>
        <v>0</v>
      </c>
    </row>
    <row r="35" spans="1:17" ht="26.25" customHeight="1" x14ac:dyDescent="0.2">
      <c r="A35" s="7">
        <v>28317519</v>
      </c>
      <c r="B35" s="8" t="s">
        <v>49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4">
        <f>SUM('COMPURACION EMERGENTE'!$C35:$N35)</f>
        <v>0</v>
      </c>
      <c r="P35" s="10">
        <f t="shared" si="0"/>
        <v>0</v>
      </c>
      <c r="Q35" s="11">
        <f t="shared" si="1"/>
        <v>0</v>
      </c>
    </row>
    <row r="36" spans="1:17" ht="26.25" customHeight="1" x14ac:dyDescent="0.2">
      <c r="A36" s="12">
        <v>30496487</v>
      </c>
      <c r="B36" s="13" t="s">
        <v>50</v>
      </c>
      <c r="C36" s="2">
        <v>1</v>
      </c>
      <c r="D36" s="2"/>
      <c r="E36" s="2">
        <v>1</v>
      </c>
      <c r="F36" s="2"/>
      <c r="G36" s="2"/>
      <c r="H36" s="2"/>
      <c r="I36" s="2"/>
      <c r="J36" s="2"/>
      <c r="K36" s="2"/>
      <c r="L36" s="2"/>
      <c r="M36" s="2"/>
      <c r="N36" s="2"/>
      <c r="O36" s="14">
        <f>SUM('COMPURACION EMERGENTE'!$C36:$N36)</f>
        <v>2</v>
      </c>
      <c r="P36" s="10">
        <f t="shared" si="0"/>
        <v>0.13333333333333333</v>
      </c>
      <c r="Q36" s="11">
        <f t="shared" si="1"/>
        <v>0.66666666666666663</v>
      </c>
    </row>
    <row r="37" spans="1:17" ht="26.25" customHeight="1" x14ac:dyDescent="0.2">
      <c r="A37" s="7">
        <v>30411279</v>
      </c>
      <c r="B37" s="8" t="s">
        <v>51</v>
      </c>
      <c r="C37" s="2">
        <v>1</v>
      </c>
      <c r="D37" s="2">
        <v>1</v>
      </c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14">
        <f>SUM('COMPURACION EMERGENTE'!$C37:$N37)</f>
        <v>3</v>
      </c>
      <c r="P37" s="10">
        <f t="shared" si="0"/>
        <v>0.2</v>
      </c>
      <c r="Q37" s="11">
        <f t="shared" si="1"/>
        <v>1</v>
      </c>
    </row>
    <row r="38" spans="1:17" ht="26.25" customHeight="1" x14ac:dyDescent="0.2">
      <c r="A38" s="12">
        <v>26783022</v>
      </c>
      <c r="B38" s="13" t="s">
        <v>52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14">
        <f>SUM('COMPURACION EMERGENTE'!$C38:$N38)</f>
        <v>1</v>
      </c>
      <c r="P38" s="10">
        <f t="shared" si="0"/>
        <v>6.6666666666666666E-2</v>
      </c>
      <c r="Q38" s="11">
        <f t="shared" si="1"/>
        <v>0.33333333333333331</v>
      </c>
    </row>
    <row r="39" spans="1:17" ht="26.25" customHeight="1" x14ac:dyDescent="0.2">
      <c r="A39" s="7">
        <v>31460153</v>
      </c>
      <c r="B39" s="8" t="s">
        <v>53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4">
        <f>SUM('COMPURACION EMERGENTE'!$C39:$N39)</f>
        <v>0</v>
      </c>
      <c r="P39" s="10">
        <f t="shared" si="0"/>
        <v>0</v>
      </c>
      <c r="Q39" s="11">
        <f t="shared" si="1"/>
        <v>0</v>
      </c>
    </row>
    <row r="40" spans="1:17" ht="26.25" customHeight="1" x14ac:dyDescent="0.2">
      <c r="A40" s="7">
        <v>26994959</v>
      </c>
      <c r="B40" s="8" t="s">
        <v>54</v>
      </c>
      <c r="C40" s="2">
        <v>1</v>
      </c>
      <c r="D40" s="2">
        <v>2</v>
      </c>
      <c r="E40" s="2">
        <v>2</v>
      </c>
      <c r="F40" s="2"/>
      <c r="G40" s="2">
        <v>1</v>
      </c>
      <c r="H40" s="2"/>
      <c r="I40" s="2">
        <v>2</v>
      </c>
      <c r="J40" s="2">
        <v>1</v>
      </c>
      <c r="K40" s="2">
        <v>1</v>
      </c>
      <c r="L40" s="2">
        <v>1</v>
      </c>
      <c r="M40" s="2">
        <v>1</v>
      </c>
      <c r="N40" s="2"/>
      <c r="O40" s="14">
        <f>SUM('COMPURACION EMERGENTE'!$C40:$N40)</f>
        <v>12</v>
      </c>
      <c r="P40" s="10">
        <f t="shared" si="0"/>
        <v>0.8</v>
      </c>
      <c r="Q40" s="11">
        <f t="shared" si="1"/>
        <v>4</v>
      </c>
    </row>
    <row r="41" spans="1:17" ht="26.25" customHeight="1" x14ac:dyDescent="0.2">
      <c r="A41" s="12">
        <v>30370768</v>
      </c>
      <c r="B41" s="13" t="s">
        <v>55</v>
      </c>
      <c r="C41" s="2"/>
      <c r="D41" s="2"/>
      <c r="E41" s="2">
        <v>1</v>
      </c>
      <c r="F41" s="2"/>
      <c r="G41" s="2"/>
      <c r="H41" s="2"/>
      <c r="I41" s="2"/>
      <c r="J41" s="2"/>
      <c r="K41" s="2"/>
      <c r="L41" s="2"/>
      <c r="M41" s="2"/>
      <c r="N41" s="2"/>
      <c r="O41" s="14">
        <f>SUM('COMPURACION EMERGENTE'!$C41:$N41)</f>
        <v>1</v>
      </c>
      <c r="P41" s="10">
        <f t="shared" si="0"/>
        <v>6.6666666666666666E-2</v>
      </c>
      <c r="Q41" s="11">
        <f t="shared" si="1"/>
        <v>0.33333333333333331</v>
      </c>
    </row>
    <row r="42" spans="1:17" ht="26.25" customHeight="1" x14ac:dyDescent="0.2">
      <c r="A42" s="7">
        <v>30906842</v>
      </c>
      <c r="B42" s="8" t="s">
        <v>56</v>
      </c>
      <c r="C42" s="2"/>
      <c r="D42" s="2"/>
      <c r="E42" s="2"/>
      <c r="F42" s="2"/>
      <c r="G42" s="2"/>
      <c r="I42" s="2"/>
      <c r="J42" s="2">
        <v>3</v>
      </c>
      <c r="K42" s="2"/>
      <c r="L42" s="2"/>
      <c r="M42" s="2"/>
      <c r="N42" s="2"/>
      <c r="O42" s="14">
        <f>SUM('COMPURACION EMERGENTE'!$C42:$N42)</f>
        <v>3</v>
      </c>
      <c r="P42" s="10">
        <f t="shared" si="0"/>
        <v>0.2</v>
      </c>
      <c r="Q42" s="11">
        <f t="shared" si="1"/>
        <v>1</v>
      </c>
    </row>
    <row r="43" spans="1:17" ht="26.25" customHeight="1" x14ac:dyDescent="0.2">
      <c r="A43" s="12">
        <v>27545301</v>
      </c>
      <c r="B43" s="13" t="s">
        <v>57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4">
        <f>SUM('COMPURACION EMERGENTE'!$C43:$N43)</f>
        <v>0</v>
      </c>
      <c r="P43" s="10">
        <f t="shared" si="0"/>
        <v>0</v>
      </c>
      <c r="Q43" s="11">
        <f t="shared" si="1"/>
        <v>0</v>
      </c>
    </row>
    <row r="44" spans="1:17" ht="15.75" customHeight="1" x14ac:dyDescent="0.2">
      <c r="B44" s="15"/>
    </row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D000000}"/>
    <hyperlink ref="B32" r:id="rId30" xr:uid="{00000000-0004-0000-0000-00001E000000}"/>
    <hyperlink ref="B33" r:id="rId31" xr:uid="{00000000-0004-0000-0000-00001F000000}"/>
    <hyperlink ref="B34" r:id="rId32" xr:uid="{00000000-0004-0000-0000-000020000000}"/>
    <hyperlink ref="B35" r:id="rId33" xr:uid="{00000000-0004-0000-0000-000021000000}"/>
    <hyperlink ref="B36" r:id="rId34" xr:uid="{00000000-0004-0000-0000-000022000000}"/>
    <hyperlink ref="B37" r:id="rId35" xr:uid="{00000000-0004-0000-0000-000023000000}"/>
    <hyperlink ref="B38" r:id="rId36" xr:uid="{00000000-0004-0000-0000-000024000000}"/>
    <hyperlink ref="B39" r:id="rId37" xr:uid="{00000000-0004-0000-0000-000025000000}"/>
    <hyperlink ref="B41" r:id="rId38" xr:uid="{00000000-0004-0000-0000-000027000000}"/>
    <hyperlink ref="B42" r:id="rId39" xr:uid="{00000000-0004-0000-0000-000028000000}"/>
    <hyperlink ref="B43" r:id="rId40" xr:uid="{00000000-0004-0000-0000-000029000000}"/>
  </hyperlinks>
  <pageMargins left="0.7" right="0.7" top="0.75" bottom="0.75" header="0" footer="0"/>
  <pageSetup orientation="landscape"/>
  <drawing r:id="rId41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"/>
  <sheetViews>
    <sheetView tabSelected="1" topLeftCell="A13" workbookViewId="0">
      <selection activeCell="E23" sqref="E23"/>
    </sheetView>
  </sheetViews>
  <sheetFormatPr baseColWidth="10" defaultColWidth="8.83203125" defaultRowHeight="13" x14ac:dyDescent="0.15"/>
  <cols>
    <col min="1" max="1" width="16" customWidth="1"/>
    <col min="2" max="2" width="19.83203125" customWidth="1"/>
    <col min="3" max="3" width="19.1640625" bestFit="1" customWidth="1"/>
    <col min="4" max="5" width="16" customWidth="1"/>
    <col min="6" max="29" width="9" customWidth="1"/>
  </cols>
  <sheetData>
    <row r="1" spans="1:30" x14ac:dyDescent="0.15">
      <c r="A1" t="s">
        <v>58</v>
      </c>
      <c r="B1" s="17" t="s">
        <v>157</v>
      </c>
    </row>
    <row r="2" spans="1:30" x14ac:dyDescent="0.15">
      <c r="A2" t="s">
        <v>59</v>
      </c>
      <c r="B2" s="17" t="s">
        <v>158</v>
      </c>
    </row>
    <row r="3" spans="1:30" x14ac:dyDescent="0.15">
      <c r="A3" t="s">
        <v>60</v>
      </c>
      <c r="B3" s="18">
        <v>1</v>
      </c>
    </row>
    <row r="5" spans="1:30" x14ac:dyDescent="0.15">
      <c r="A5" s="24" t="s">
        <v>61</v>
      </c>
      <c r="B5" s="24" t="s">
        <v>62</v>
      </c>
      <c r="C5" s="24" t="s">
        <v>63</v>
      </c>
      <c r="D5" s="24" t="s">
        <v>64</v>
      </c>
      <c r="E5" s="26" t="s">
        <v>161</v>
      </c>
      <c r="F5" s="24" t="s">
        <v>65</v>
      </c>
      <c r="G5" s="24"/>
      <c r="H5" s="24" t="s">
        <v>66</v>
      </c>
      <c r="I5" s="24"/>
      <c r="J5" s="24" t="s">
        <v>67</v>
      </c>
      <c r="K5" s="24"/>
      <c r="L5" s="24" t="s">
        <v>68</v>
      </c>
      <c r="M5" s="24"/>
      <c r="N5" s="24" t="s">
        <v>69</v>
      </c>
      <c r="O5" s="24"/>
      <c r="P5" s="24" t="s">
        <v>70</v>
      </c>
      <c r="Q5" s="24"/>
      <c r="R5" s="24" t="s">
        <v>71</v>
      </c>
      <c r="S5" s="24"/>
      <c r="T5" s="24" t="s">
        <v>72</v>
      </c>
      <c r="U5" s="24"/>
      <c r="V5" s="24" t="s">
        <v>73</v>
      </c>
      <c r="W5" s="24"/>
      <c r="X5" s="24" t="s">
        <v>74</v>
      </c>
      <c r="Y5" s="24"/>
      <c r="Z5" s="24" t="s">
        <v>75</v>
      </c>
      <c r="AA5" s="24"/>
      <c r="AB5" s="24" t="s">
        <v>76</v>
      </c>
      <c r="AC5" s="24"/>
    </row>
    <row r="6" spans="1:30" x14ac:dyDescent="0.15">
      <c r="A6" s="24"/>
      <c r="B6" s="24"/>
      <c r="C6" s="24"/>
      <c r="D6" s="24"/>
      <c r="E6" s="25"/>
      <c r="F6" s="16" t="s">
        <v>159</v>
      </c>
      <c r="G6" s="16" t="s">
        <v>160</v>
      </c>
      <c r="H6" s="16" t="s">
        <v>159</v>
      </c>
      <c r="I6" s="16" t="s">
        <v>160</v>
      </c>
      <c r="J6" s="16" t="s">
        <v>159</v>
      </c>
      <c r="K6" s="16" t="s">
        <v>160</v>
      </c>
      <c r="L6" s="16" t="s">
        <v>159</v>
      </c>
      <c r="M6" s="16" t="s">
        <v>160</v>
      </c>
      <c r="N6" s="16" t="s">
        <v>159</v>
      </c>
      <c r="O6" s="16" t="s">
        <v>160</v>
      </c>
      <c r="P6" s="16" t="s">
        <v>159</v>
      </c>
      <c r="Q6" s="16" t="s">
        <v>160</v>
      </c>
      <c r="R6" s="16" t="s">
        <v>159</v>
      </c>
      <c r="S6" s="16" t="s">
        <v>160</v>
      </c>
      <c r="T6" s="16" t="s">
        <v>159</v>
      </c>
      <c r="U6" s="16" t="s">
        <v>160</v>
      </c>
      <c r="V6" s="16" t="s">
        <v>159</v>
      </c>
      <c r="W6" s="16" t="s">
        <v>160</v>
      </c>
      <c r="X6" s="16" t="s">
        <v>159</v>
      </c>
      <c r="Y6" s="16" t="s">
        <v>160</v>
      </c>
      <c r="Z6" s="16" t="s">
        <v>159</v>
      </c>
      <c r="AA6" s="16" t="s">
        <v>160</v>
      </c>
      <c r="AB6" s="16" t="s">
        <v>159</v>
      </c>
      <c r="AC6" s="16" t="s">
        <v>160</v>
      </c>
    </row>
    <row r="7" spans="1:30" ht="15" x14ac:dyDescent="0.2">
      <c r="A7" s="19">
        <v>1</v>
      </c>
      <c r="B7" s="20" t="s">
        <v>77</v>
      </c>
      <c r="C7" s="19" t="s">
        <v>78</v>
      </c>
      <c r="D7" s="21">
        <v>31068474</v>
      </c>
      <c r="E7" s="27">
        <v>20231110073</v>
      </c>
      <c r="F7" s="22"/>
      <c r="G7" s="19"/>
      <c r="H7" s="22"/>
      <c r="I7" s="19">
        <v>1</v>
      </c>
      <c r="J7" s="22"/>
      <c r="K7" s="19"/>
      <c r="L7" s="22"/>
      <c r="M7" s="19"/>
      <c r="N7" s="22"/>
      <c r="O7" s="19"/>
      <c r="P7" s="22"/>
      <c r="Q7" s="19"/>
      <c r="R7" s="22"/>
      <c r="S7" s="19"/>
      <c r="T7" s="22"/>
      <c r="U7" s="19"/>
      <c r="V7" s="22"/>
      <c r="W7" s="19"/>
      <c r="X7" s="22"/>
      <c r="Y7" s="19"/>
      <c r="Z7" s="22"/>
      <c r="AA7" s="19"/>
      <c r="AB7" s="22"/>
      <c r="AC7" s="19"/>
      <c r="AD7" s="19"/>
    </row>
    <row r="8" spans="1:30" ht="15" x14ac:dyDescent="0.2">
      <c r="A8" s="19">
        <v>2</v>
      </c>
      <c r="B8" s="20" t="s">
        <v>79</v>
      </c>
      <c r="C8" s="19" t="s">
        <v>80</v>
      </c>
      <c r="D8" s="21">
        <v>29510447</v>
      </c>
      <c r="E8" s="28">
        <v>20181120049</v>
      </c>
      <c r="F8" s="22"/>
      <c r="G8" s="19"/>
      <c r="H8" s="22"/>
      <c r="I8" s="19"/>
      <c r="J8" s="22"/>
      <c r="K8" s="19"/>
      <c r="L8" s="22"/>
      <c r="M8" s="19"/>
      <c r="N8" s="22"/>
      <c r="O8" s="19"/>
      <c r="P8" s="22"/>
      <c r="Q8" s="19"/>
      <c r="R8" s="22"/>
      <c r="S8" s="19"/>
      <c r="T8" s="22"/>
      <c r="U8" s="19"/>
      <c r="V8" s="22"/>
      <c r="W8" s="19"/>
      <c r="X8" s="22"/>
      <c r="Y8" s="19"/>
      <c r="Z8" s="22"/>
      <c r="AA8" s="19"/>
      <c r="AB8" s="22"/>
      <c r="AC8" s="19"/>
      <c r="AD8" s="19"/>
    </row>
    <row r="9" spans="1:30" ht="15" x14ac:dyDescent="0.2">
      <c r="A9" s="19">
        <v>3</v>
      </c>
      <c r="B9" s="20" t="s">
        <v>81</v>
      </c>
      <c r="C9" s="19" t="s">
        <v>82</v>
      </c>
      <c r="D9" s="21">
        <v>25947729</v>
      </c>
      <c r="E9" s="27">
        <v>20171111081</v>
      </c>
      <c r="F9" s="22"/>
      <c r="G9" s="19"/>
      <c r="H9" s="22"/>
      <c r="I9" s="19"/>
      <c r="J9" s="22"/>
      <c r="K9" s="19"/>
      <c r="L9" s="22"/>
      <c r="M9" s="19"/>
      <c r="N9" s="22"/>
      <c r="O9" s="19"/>
      <c r="P9" s="22"/>
      <c r="Q9" s="19"/>
      <c r="R9" s="22"/>
      <c r="S9" s="19"/>
      <c r="T9" s="22"/>
      <c r="U9" s="19"/>
      <c r="V9" s="22"/>
      <c r="W9" s="19"/>
      <c r="X9" s="22"/>
      <c r="Y9" s="19"/>
      <c r="Z9" s="22"/>
      <c r="AA9" s="19"/>
      <c r="AB9" s="22"/>
      <c r="AC9" s="19"/>
      <c r="AD9" s="19"/>
    </row>
    <row r="10" spans="1:30" ht="15" x14ac:dyDescent="0.2">
      <c r="A10" s="19">
        <v>4</v>
      </c>
      <c r="B10" s="20" t="s">
        <v>83</v>
      </c>
      <c r="C10" s="19" t="s">
        <v>84</v>
      </c>
      <c r="D10" s="21">
        <v>27849723</v>
      </c>
      <c r="E10" s="27">
        <v>20221110382</v>
      </c>
      <c r="F10" s="22"/>
      <c r="G10" s="19"/>
      <c r="H10" s="22"/>
      <c r="I10" s="19"/>
      <c r="J10" s="22"/>
      <c r="K10" s="19">
        <v>1</v>
      </c>
      <c r="L10" s="22">
        <v>1</v>
      </c>
      <c r="M10" s="19">
        <v>1</v>
      </c>
      <c r="N10" s="22"/>
      <c r="O10" s="19"/>
      <c r="P10" s="22"/>
      <c r="Q10" s="19">
        <v>1</v>
      </c>
      <c r="R10" s="22"/>
      <c r="S10" s="19"/>
      <c r="T10" s="22">
        <v>1</v>
      </c>
      <c r="U10" s="19"/>
      <c r="V10" s="22"/>
      <c r="W10" s="19">
        <v>1</v>
      </c>
      <c r="X10" s="22"/>
      <c r="Y10" s="19"/>
      <c r="Z10" s="22"/>
      <c r="AA10" s="19"/>
      <c r="AB10" s="22"/>
      <c r="AC10" s="19"/>
      <c r="AD10" s="19"/>
    </row>
    <row r="11" spans="1:30" ht="15" x14ac:dyDescent="0.2">
      <c r="A11" s="19">
        <v>5</v>
      </c>
      <c r="B11" s="20" t="s">
        <v>85</v>
      </c>
      <c r="C11" s="19" t="s">
        <v>86</v>
      </c>
      <c r="D11" s="21">
        <v>30057442</v>
      </c>
      <c r="E11" s="27">
        <v>20221110439</v>
      </c>
      <c r="F11" s="22"/>
      <c r="G11" s="19"/>
      <c r="H11" s="22"/>
      <c r="I11" s="19"/>
      <c r="J11" s="22"/>
      <c r="K11" s="19"/>
      <c r="L11" s="22"/>
      <c r="M11" s="19"/>
      <c r="N11" s="22"/>
      <c r="O11" s="19"/>
      <c r="P11" s="22"/>
      <c r="Q11" s="19"/>
      <c r="R11" s="22"/>
      <c r="S11" s="19"/>
      <c r="T11" s="22"/>
      <c r="U11" s="19"/>
      <c r="V11" s="22"/>
      <c r="W11" s="19"/>
      <c r="X11" s="22"/>
      <c r="Y11" s="19"/>
      <c r="Z11" s="22"/>
      <c r="AA11" s="19"/>
      <c r="AB11" s="22"/>
      <c r="AC11" s="19"/>
      <c r="AD11" s="19"/>
    </row>
    <row r="12" spans="1:30" ht="15" x14ac:dyDescent="0.2">
      <c r="A12" s="19">
        <v>6</v>
      </c>
      <c r="B12" s="20" t="s">
        <v>87</v>
      </c>
      <c r="C12" s="19" t="s">
        <v>88</v>
      </c>
      <c r="D12" s="21">
        <v>28021957</v>
      </c>
      <c r="E12" s="27">
        <v>20191110031</v>
      </c>
      <c r="F12" s="22"/>
      <c r="G12" s="19"/>
      <c r="H12" s="22"/>
      <c r="I12" s="19"/>
      <c r="J12" s="22"/>
      <c r="K12" s="19"/>
      <c r="L12" s="22"/>
      <c r="M12" s="19"/>
      <c r="N12" s="22"/>
      <c r="O12" s="19"/>
      <c r="P12" s="22"/>
      <c r="Q12" s="19"/>
      <c r="R12" s="22"/>
      <c r="S12" s="19"/>
      <c r="T12" s="22"/>
      <c r="U12" s="19"/>
      <c r="V12" s="22"/>
      <c r="W12" s="19"/>
      <c r="X12" s="22"/>
      <c r="Y12" s="19"/>
      <c r="Z12" s="22"/>
      <c r="AA12" s="19"/>
      <c r="AB12" s="22"/>
      <c r="AC12" s="19"/>
      <c r="AD12" s="19"/>
    </row>
    <row r="13" spans="1:30" ht="15" x14ac:dyDescent="0.2">
      <c r="A13" s="19">
        <v>7</v>
      </c>
      <c r="B13" s="20" t="s">
        <v>89</v>
      </c>
      <c r="C13" s="19" t="s">
        <v>90</v>
      </c>
      <c r="D13" s="21">
        <v>29508689</v>
      </c>
      <c r="E13" s="27">
        <v>20231110055</v>
      </c>
      <c r="F13" s="22"/>
      <c r="G13" s="19"/>
      <c r="H13" s="22">
        <v>1</v>
      </c>
      <c r="I13" s="19"/>
      <c r="J13" s="23">
        <v>1</v>
      </c>
      <c r="K13" s="19">
        <v>1</v>
      </c>
      <c r="L13" s="22">
        <v>1</v>
      </c>
      <c r="M13" s="19">
        <v>1</v>
      </c>
      <c r="N13" s="22"/>
      <c r="O13" s="19"/>
      <c r="P13" s="22"/>
      <c r="Q13" s="19">
        <v>1</v>
      </c>
      <c r="R13" s="22"/>
      <c r="S13" s="19"/>
      <c r="T13" s="22">
        <v>1</v>
      </c>
      <c r="U13" s="19"/>
      <c r="V13" s="22"/>
      <c r="W13" s="19">
        <v>1</v>
      </c>
      <c r="X13" s="22"/>
      <c r="Y13" s="19">
        <v>1</v>
      </c>
      <c r="Z13" s="22"/>
      <c r="AA13" s="19">
        <v>1</v>
      </c>
      <c r="AB13" s="22"/>
      <c r="AC13" s="19"/>
      <c r="AD13" s="19"/>
    </row>
    <row r="14" spans="1:30" ht="15" x14ac:dyDescent="0.2">
      <c r="A14" s="19">
        <v>8</v>
      </c>
      <c r="B14" s="20" t="s">
        <v>91</v>
      </c>
      <c r="C14" s="19" t="s">
        <v>92</v>
      </c>
      <c r="D14" s="21">
        <v>30496325</v>
      </c>
      <c r="E14" s="27">
        <v>20231110399</v>
      </c>
      <c r="F14" s="22"/>
      <c r="G14" s="19"/>
      <c r="H14" s="22"/>
      <c r="I14" s="19">
        <v>1</v>
      </c>
      <c r="J14" s="22"/>
      <c r="K14" s="19">
        <v>1</v>
      </c>
      <c r="L14" s="22"/>
      <c r="M14" s="19"/>
      <c r="N14" s="22"/>
      <c r="O14" s="19"/>
      <c r="P14" s="22"/>
      <c r="Q14" s="19"/>
      <c r="R14" s="22"/>
      <c r="S14" s="19"/>
      <c r="T14" s="22"/>
      <c r="U14" s="19"/>
      <c r="V14" s="22"/>
      <c r="W14" s="19"/>
      <c r="X14" s="22"/>
      <c r="Y14" s="19"/>
      <c r="Z14" s="22"/>
      <c r="AA14" s="19"/>
      <c r="AB14" s="22"/>
      <c r="AC14" s="19"/>
      <c r="AD14" s="19"/>
    </row>
    <row r="15" spans="1:30" ht="15" x14ac:dyDescent="0.2">
      <c r="A15" s="19">
        <v>9</v>
      </c>
      <c r="B15" s="20" t="s">
        <v>93</v>
      </c>
      <c r="C15" s="19" t="s">
        <v>94</v>
      </c>
      <c r="D15" s="21">
        <v>30358773</v>
      </c>
      <c r="E15" s="27">
        <v>20231110531</v>
      </c>
      <c r="F15" s="22"/>
      <c r="G15" s="19"/>
      <c r="H15" s="22"/>
      <c r="I15" s="19">
        <v>2</v>
      </c>
      <c r="J15" s="23">
        <v>1</v>
      </c>
      <c r="K15" s="19">
        <v>1</v>
      </c>
      <c r="L15" s="22">
        <v>1</v>
      </c>
      <c r="M15" s="19">
        <v>1</v>
      </c>
      <c r="N15" s="22"/>
      <c r="O15" s="19"/>
      <c r="P15" s="22"/>
      <c r="Q15" s="19">
        <v>1</v>
      </c>
      <c r="R15" s="22"/>
      <c r="S15" s="19"/>
      <c r="T15" s="22">
        <v>1</v>
      </c>
      <c r="U15" s="19"/>
      <c r="V15" s="22"/>
      <c r="W15" s="19">
        <v>1</v>
      </c>
      <c r="X15" s="22"/>
      <c r="Y15" s="19"/>
      <c r="Z15" s="22"/>
      <c r="AA15" s="19"/>
      <c r="AB15" s="22"/>
      <c r="AC15" s="19"/>
      <c r="AD15" s="19"/>
    </row>
    <row r="16" spans="1:30" ht="15" x14ac:dyDescent="0.2">
      <c r="A16" s="19">
        <v>10</v>
      </c>
      <c r="B16" s="20" t="s">
        <v>95</v>
      </c>
      <c r="C16" s="19" t="s">
        <v>96</v>
      </c>
      <c r="D16" s="21">
        <v>29741760</v>
      </c>
      <c r="E16" s="27">
        <v>20211120003</v>
      </c>
      <c r="F16" s="22"/>
      <c r="G16" s="19"/>
      <c r="H16" s="22"/>
      <c r="I16" s="19"/>
      <c r="J16" s="22"/>
      <c r="K16" s="19"/>
      <c r="L16" s="22"/>
      <c r="M16" s="19"/>
      <c r="N16" s="22"/>
      <c r="O16" s="19"/>
      <c r="P16" s="22"/>
      <c r="Q16" s="19"/>
      <c r="R16" s="22"/>
      <c r="S16" s="19"/>
      <c r="T16" s="22"/>
      <c r="U16" s="19"/>
      <c r="V16" s="22"/>
      <c r="W16" s="19"/>
      <c r="X16" s="22"/>
      <c r="Y16" s="19"/>
      <c r="Z16" s="22"/>
      <c r="AA16" s="19"/>
      <c r="AB16" s="22"/>
      <c r="AC16" s="19"/>
      <c r="AD16" s="19"/>
    </row>
    <row r="17" spans="1:30" ht="15" x14ac:dyDescent="0.2">
      <c r="A17" s="19">
        <v>11</v>
      </c>
      <c r="B17" s="20" t="s">
        <v>97</v>
      </c>
      <c r="C17" s="19" t="s">
        <v>98</v>
      </c>
      <c r="D17" s="21">
        <v>29983279</v>
      </c>
      <c r="E17" s="27">
        <v>20231110841</v>
      </c>
      <c r="F17" s="22"/>
      <c r="G17" s="19"/>
      <c r="H17" s="22"/>
      <c r="I17" s="19"/>
      <c r="J17" s="22"/>
      <c r="K17" s="19"/>
      <c r="L17" s="22"/>
      <c r="M17" s="19"/>
      <c r="N17" s="22"/>
      <c r="O17" s="19"/>
      <c r="P17" s="22"/>
      <c r="Q17" s="19"/>
      <c r="R17" s="22"/>
      <c r="S17" s="19"/>
      <c r="T17" s="22"/>
      <c r="U17" s="19"/>
      <c r="V17" s="22"/>
      <c r="W17" s="19"/>
      <c r="X17" s="22"/>
      <c r="Y17" s="19"/>
      <c r="Z17" s="22"/>
      <c r="AA17" s="19"/>
      <c r="AB17" s="22"/>
      <c r="AC17" s="19"/>
      <c r="AD17" s="19"/>
    </row>
    <row r="18" spans="1:30" ht="15" x14ac:dyDescent="0.2">
      <c r="A18" s="19">
        <v>12</v>
      </c>
      <c r="B18" s="20" t="s">
        <v>99</v>
      </c>
      <c r="C18" s="19" t="s">
        <v>100</v>
      </c>
      <c r="D18" s="21">
        <v>30497244</v>
      </c>
      <c r="E18" s="27">
        <v>20231110111</v>
      </c>
      <c r="F18" s="22"/>
      <c r="G18" s="19"/>
      <c r="H18" s="22"/>
      <c r="I18" s="19"/>
      <c r="J18" s="22"/>
      <c r="K18" s="19"/>
      <c r="L18" s="22"/>
      <c r="M18" s="19"/>
      <c r="N18" s="22"/>
      <c r="O18" s="19"/>
      <c r="P18" s="22"/>
      <c r="Q18" s="19"/>
      <c r="R18" s="22"/>
      <c r="S18" s="19"/>
      <c r="T18" s="22"/>
      <c r="U18" s="19"/>
      <c r="V18" s="22"/>
      <c r="W18" s="19"/>
      <c r="X18" s="22"/>
      <c r="Y18" s="19"/>
      <c r="Z18" s="22"/>
      <c r="AA18" s="19"/>
      <c r="AB18" s="22"/>
      <c r="AC18" s="19"/>
      <c r="AD18" s="19"/>
    </row>
    <row r="19" spans="1:30" ht="15" x14ac:dyDescent="0.2">
      <c r="A19" s="19">
        <v>13</v>
      </c>
      <c r="B19" s="20" t="s">
        <v>101</v>
      </c>
      <c r="C19" s="19" t="s">
        <v>102</v>
      </c>
      <c r="D19" s="21">
        <v>30030632</v>
      </c>
      <c r="E19" s="27">
        <v>20221110010</v>
      </c>
      <c r="F19" s="22"/>
      <c r="G19" s="19"/>
      <c r="H19" s="22"/>
      <c r="I19" s="19"/>
      <c r="J19" s="22"/>
      <c r="K19" s="19"/>
      <c r="L19" s="22"/>
      <c r="M19" s="19"/>
      <c r="N19" s="22"/>
      <c r="O19" s="19"/>
      <c r="P19" s="22"/>
      <c r="Q19" s="19"/>
      <c r="R19" s="22"/>
      <c r="S19" s="19"/>
      <c r="T19" s="22"/>
      <c r="U19" s="19"/>
      <c r="V19" s="22"/>
      <c r="W19" s="19"/>
      <c r="X19" s="22"/>
      <c r="Y19" s="19"/>
      <c r="Z19" s="22"/>
      <c r="AA19" s="19"/>
      <c r="AB19" s="22"/>
      <c r="AC19" s="19"/>
      <c r="AD19" s="19"/>
    </row>
    <row r="20" spans="1:30" ht="15" x14ac:dyDescent="0.2">
      <c r="A20" s="19">
        <v>14</v>
      </c>
      <c r="B20" s="20" t="s">
        <v>103</v>
      </c>
      <c r="C20" s="19" t="s">
        <v>104</v>
      </c>
      <c r="D20" s="21">
        <v>30579903</v>
      </c>
      <c r="E20" s="27">
        <v>20231110114</v>
      </c>
      <c r="F20" s="22"/>
      <c r="G20" s="19"/>
      <c r="H20" s="22">
        <v>1</v>
      </c>
      <c r="I20" s="19"/>
      <c r="J20" s="23">
        <v>1</v>
      </c>
      <c r="K20" s="19"/>
      <c r="L20" s="22"/>
      <c r="M20" s="19"/>
      <c r="N20" s="22"/>
      <c r="O20" s="19">
        <v>1</v>
      </c>
      <c r="P20" s="22"/>
      <c r="Q20" s="19"/>
      <c r="R20" s="22"/>
      <c r="S20" s="19"/>
      <c r="T20" s="22"/>
      <c r="U20" s="19"/>
      <c r="V20" s="22">
        <v>1</v>
      </c>
      <c r="W20" s="19"/>
      <c r="X20" s="22"/>
      <c r="Y20" s="19"/>
      <c r="Z20" s="22"/>
      <c r="AA20" s="19"/>
      <c r="AB20" s="22"/>
      <c r="AC20" s="19"/>
      <c r="AD20" s="19"/>
    </row>
    <row r="21" spans="1:30" ht="15" x14ac:dyDescent="0.2">
      <c r="A21" s="19">
        <v>15</v>
      </c>
      <c r="B21" s="20" t="s">
        <v>105</v>
      </c>
      <c r="C21" s="19" t="s">
        <v>106</v>
      </c>
      <c r="D21" s="21">
        <v>31065516</v>
      </c>
      <c r="E21" s="27">
        <v>20231110454</v>
      </c>
      <c r="F21" s="22"/>
      <c r="G21" s="19"/>
      <c r="H21" s="22"/>
      <c r="I21" s="19"/>
      <c r="J21" s="22"/>
      <c r="K21" s="19"/>
      <c r="L21" s="22"/>
      <c r="M21" s="19"/>
      <c r="N21" s="22"/>
      <c r="O21" s="19"/>
      <c r="P21" s="22">
        <v>1</v>
      </c>
      <c r="Q21" s="19"/>
      <c r="R21" s="22"/>
      <c r="S21" s="19"/>
      <c r="T21" s="22"/>
      <c r="U21" s="19"/>
      <c r="V21" s="22"/>
      <c r="W21" s="19"/>
      <c r="X21" s="22"/>
      <c r="Y21" s="19"/>
      <c r="Z21" s="22"/>
      <c r="AA21" s="19"/>
      <c r="AB21" s="22"/>
      <c r="AC21" s="19"/>
      <c r="AD21" s="19"/>
    </row>
    <row r="22" spans="1:30" ht="15" x14ac:dyDescent="0.2">
      <c r="A22" s="19">
        <v>16</v>
      </c>
      <c r="B22" s="20" t="s">
        <v>107</v>
      </c>
      <c r="C22" s="19" t="s">
        <v>108</v>
      </c>
      <c r="D22" s="21">
        <v>28127331</v>
      </c>
      <c r="E22" s="27"/>
      <c r="F22" s="22"/>
      <c r="G22" s="19"/>
      <c r="H22" s="22"/>
      <c r="I22" s="19"/>
      <c r="J22" s="22"/>
      <c r="K22" s="19"/>
      <c r="L22" s="22"/>
      <c r="M22" s="19"/>
      <c r="N22" s="22"/>
      <c r="O22" s="19"/>
      <c r="P22" s="22"/>
      <c r="Q22" s="19"/>
      <c r="R22" s="22"/>
      <c r="S22" s="19"/>
      <c r="T22" s="22"/>
      <c r="U22" s="19"/>
      <c r="V22" s="22"/>
      <c r="W22" s="19"/>
      <c r="X22" s="22"/>
      <c r="Y22" s="19"/>
      <c r="Z22" s="22"/>
      <c r="AA22" s="19"/>
      <c r="AB22" s="22"/>
      <c r="AC22" s="19"/>
      <c r="AD22" s="19"/>
    </row>
    <row r="23" spans="1:30" ht="15" x14ac:dyDescent="0.2">
      <c r="A23" s="19">
        <v>17</v>
      </c>
      <c r="B23" s="20" t="s">
        <v>109</v>
      </c>
      <c r="C23" s="19" t="s">
        <v>110</v>
      </c>
      <c r="D23" s="21">
        <v>30157257</v>
      </c>
      <c r="E23" s="27">
        <v>20221110657</v>
      </c>
      <c r="F23" s="22">
        <v>1</v>
      </c>
      <c r="G23" s="19"/>
      <c r="H23" s="22">
        <v>1</v>
      </c>
      <c r="I23" s="19"/>
      <c r="J23" s="22"/>
      <c r="K23" s="19"/>
      <c r="L23" s="22">
        <v>1</v>
      </c>
      <c r="M23" s="19">
        <v>1</v>
      </c>
      <c r="N23" s="22"/>
      <c r="O23" s="19"/>
      <c r="P23" s="22"/>
      <c r="Q23" s="19"/>
      <c r="R23" s="22"/>
      <c r="S23" s="19"/>
      <c r="T23" s="22"/>
      <c r="U23" s="19"/>
      <c r="V23" s="22">
        <v>1</v>
      </c>
      <c r="W23" s="19"/>
      <c r="X23" s="22"/>
      <c r="Y23" s="19"/>
      <c r="Z23" s="22"/>
      <c r="AA23" s="19"/>
      <c r="AB23" s="22"/>
      <c r="AC23" s="19"/>
      <c r="AD23" s="19"/>
    </row>
    <row r="24" spans="1:30" ht="15" x14ac:dyDescent="0.2">
      <c r="A24" s="19">
        <v>18</v>
      </c>
      <c r="B24" s="20" t="s">
        <v>113</v>
      </c>
      <c r="C24" s="19" t="s">
        <v>112</v>
      </c>
      <c r="D24" s="21">
        <v>29506315</v>
      </c>
      <c r="E24" s="27" t="inlineStr">
        <is>
          <t>20211110506</t>
        </is>
      </c>
      <c r="F24" s="22"/>
      <c r="G24" s="19"/>
      <c r="H24" s="22"/>
      <c r="I24" s="19"/>
      <c r="J24" s="22"/>
      <c r="K24" s="19"/>
      <c r="L24" s="22"/>
      <c r="M24" s="19"/>
      <c r="N24" s="22"/>
      <c r="O24" s="19"/>
      <c r="P24" s="22"/>
      <c r="Q24" s="19"/>
      <c r="R24" s="22"/>
      <c r="S24" s="19"/>
      <c r="T24" s="22"/>
      <c r="U24" s="19"/>
      <c r="V24" s="22"/>
      <c r="W24" s="19"/>
      <c r="X24" s="22"/>
      <c r="Y24" s="19"/>
      <c r="Z24" s="22"/>
      <c r="AA24" s="19"/>
      <c r="AB24" s="22"/>
      <c r="AC24" s="19"/>
      <c r="AD24" s="19"/>
    </row>
    <row r="25" spans="1:30" ht="15" x14ac:dyDescent="0.2">
      <c r="A25" s="19">
        <v>19</v>
      </c>
      <c r="B25" s="20" t="s">
        <v>111</v>
      </c>
      <c r="C25" s="19" t="s">
        <v>112</v>
      </c>
      <c r="D25" s="21">
        <v>25736710</v>
      </c>
      <c r="E25" s="27" t="inlineStr">
        <is>
          <t>20161110446</t>
        </is>
      </c>
      <c r="F25" s="22"/>
      <c r="G25" s="19"/>
      <c r="H25" s="22"/>
      <c r="I25" s="19">
        <v>1</v>
      </c>
      <c r="J25" s="22"/>
      <c r="K25" s="19"/>
      <c r="L25" s="22"/>
      <c r="M25" s="19"/>
      <c r="N25" s="22"/>
      <c r="O25" s="19"/>
      <c r="P25" s="22"/>
      <c r="Q25" s="19"/>
      <c r="R25" s="22"/>
      <c r="S25" s="19"/>
      <c r="T25" s="22"/>
      <c r="U25" s="19"/>
      <c r="V25" s="22"/>
      <c r="W25" s="19"/>
      <c r="X25" s="22"/>
      <c r="Y25" s="19"/>
      <c r="Z25" s="22"/>
      <c r="AA25" s="19"/>
      <c r="AB25" s="22"/>
      <c r="AC25" s="19"/>
      <c r="AD25" s="19"/>
    </row>
    <row r="26" spans="1:30" ht="15" x14ac:dyDescent="0.2">
      <c r="A26" s="19">
        <v>20</v>
      </c>
      <c r="B26" s="20" t="s">
        <v>114</v>
      </c>
      <c r="C26" s="19" t="s">
        <v>115</v>
      </c>
      <c r="D26" s="21">
        <v>29662587</v>
      </c>
      <c r="E26" s="27" t="inlineStr">
        <is>
          <t>20211110471</t>
        </is>
      </c>
      <c r="F26" s="22"/>
      <c r="G26" s="19"/>
      <c r="H26" s="22"/>
      <c r="I26" s="19"/>
      <c r="J26" s="22"/>
      <c r="K26" s="19"/>
      <c r="L26" s="22"/>
      <c r="M26" s="19"/>
      <c r="N26" s="22"/>
      <c r="O26" s="19"/>
      <c r="P26" s="22"/>
      <c r="Q26" s="19"/>
      <c r="R26" s="22"/>
      <c r="S26" s="19"/>
      <c r="T26" s="22"/>
      <c r="U26" s="19"/>
      <c r="V26" s="22"/>
      <c r="W26" s="19"/>
      <c r="X26" s="22"/>
      <c r="Y26" s="19"/>
      <c r="Z26" s="22"/>
      <c r="AA26" s="19"/>
      <c r="AB26" s="22"/>
      <c r="AC26" s="19"/>
      <c r="AD26" s="19"/>
    </row>
    <row r="27" spans="1:30" ht="15" x14ac:dyDescent="0.2">
      <c r="A27" s="19">
        <v>21</v>
      </c>
      <c r="B27" s="20" t="s">
        <v>116</v>
      </c>
      <c r="C27" s="19" t="s">
        <v>117</v>
      </c>
      <c r="D27" s="21">
        <v>28462135</v>
      </c>
      <c r="E27" s="27" t="inlineStr">
        <is>
          <t>20191120013</t>
        </is>
      </c>
      <c r="F27" s="22"/>
      <c r="G27" s="19"/>
      <c r="H27" s="22"/>
      <c r="I27" s="19"/>
      <c r="J27" s="22"/>
      <c r="K27" s="19"/>
      <c r="L27" s="22"/>
      <c r="M27" s="19"/>
      <c r="N27" s="22"/>
      <c r="O27" s="19"/>
      <c r="P27" s="22"/>
      <c r="Q27" s="19"/>
      <c r="R27" s="22"/>
      <c r="S27" s="19"/>
      <c r="T27" s="22"/>
      <c r="U27" s="19"/>
      <c r="V27" s="22"/>
      <c r="W27" s="19"/>
      <c r="X27" s="22"/>
      <c r="Y27" s="19"/>
      <c r="Z27" s="22"/>
      <c r="AA27" s="19"/>
      <c r="AB27" s="22"/>
      <c r="AC27" s="19"/>
      <c r="AD27" s="19"/>
    </row>
    <row r="28" spans="1:30" ht="15" x14ac:dyDescent="0.2">
      <c r="A28" s="19">
        <v>22</v>
      </c>
      <c r="B28" s="20" t="s">
        <v>118</v>
      </c>
      <c r="C28" s="19" t="s">
        <v>119</v>
      </c>
      <c r="D28" s="21">
        <v>26895167</v>
      </c>
      <c r="E28" s="27" t="inlineStr">
        <is>
          <t>20181110067</t>
        </is>
      </c>
      <c r="F28" s="22"/>
      <c r="G28" s="19"/>
      <c r="H28" s="22"/>
      <c r="I28" s="19"/>
      <c r="J28" s="22"/>
      <c r="K28" s="19">
        <v>1</v>
      </c>
      <c r="L28" s="22"/>
      <c r="M28" s="19"/>
      <c r="N28" s="22"/>
      <c r="O28" s="19"/>
      <c r="P28" s="22"/>
      <c r="Q28" s="19"/>
      <c r="R28" s="22"/>
      <c r="S28" s="19"/>
      <c r="T28" s="22"/>
      <c r="U28" s="19"/>
      <c r="V28" s="22"/>
      <c r="W28" s="19"/>
      <c r="X28" s="22"/>
      <c r="Y28" s="19"/>
      <c r="Z28" s="22"/>
      <c r="AA28" s="19"/>
      <c r="AB28" s="22"/>
      <c r="AC28" s="19"/>
      <c r="AD28" s="19"/>
    </row>
    <row r="29" spans="1:30" ht="15" x14ac:dyDescent="0.2">
      <c r="A29" s="19">
        <v>23</v>
      </c>
      <c r="B29" s="20" t="s">
        <v>120</v>
      </c>
      <c r="C29" s="19" t="s">
        <v>121</v>
      </c>
      <c r="D29" s="21">
        <v>30727488</v>
      </c>
      <c r="E29" s="27" t="inlineStr">
        <is>
          <t>20231110234</t>
        </is>
      </c>
      <c r="F29" s="22">
        <v>1</v>
      </c>
      <c r="G29" s="19"/>
      <c r="H29" s="22"/>
      <c r="I29" s="19"/>
      <c r="J29" s="22"/>
      <c r="K29" s="19"/>
      <c r="L29" s="22"/>
      <c r="M29" s="19"/>
      <c r="N29" s="22"/>
      <c r="O29" s="19"/>
      <c r="P29" s="22"/>
      <c r="Q29" s="19"/>
      <c r="R29" s="22"/>
      <c r="S29" s="19"/>
      <c r="T29" s="22"/>
      <c r="U29" s="19"/>
      <c r="V29" s="22"/>
      <c r="W29" s="19"/>
      <c r="X29" s="22"/>
      <c r="Y29" s="19"/>
      <c r="Z29" s="22"/>
      <c r="AA29" s="19"/>
      <c r="AB29" s="22"/>
      <c r="AC29" s="19"/>
      <c r="AD29" s="19"/>
    </row>
    <row r="30" spans="1:30" ht="15" x14ac:dyDescent="0.2">
      <c r="A30" s="19">
        <v>24</v>
      </c>
      <c r="B30" s="20" t="s">
        <v>122</v>
      </c>
      <c r="C30" s="19" t="s">
        <v>123</v>
      </c>
      <c r="D30" s="21">
        <v>30821945</v>
      </c>
      <c r="E30" s="27" t="inlineStr">
        <is>
          <t>20231110297</t>
        </is>
      </c>
      <c r="F30" s="22"/>
      <c r="G30" s="19"/>
      <c r="H30" s="22"/>
      <c r="I30" s="19"/>
      <c r="J30" s="22"/>
      <c r="K30" s="19"/>
      <c r="L30" s="22"/>
      <c r="M30" s="19"/>
      <c r="N30" s="22"/>
      <c r="O30" s="19"/>
      <c r="P30" s="22"/>
      <c r="Q30" s="19"/>
      <c r="R30" s="22"/>
      <c r="S30" s="19"/>
      <c r="T30" s="22"/>
      <c r="U30" s="19"/>
      <c r="V30" s="22"/>
      <c r="W30" s="19"/>
      <c r="X30" s="22"/>
      <c r="Y30" s="19"/>
      <c r="Z30" s="22"/>
      <c r="AA30" s="19"/>
      <c r="AB30" s="22"/>
      <c r="AC30" s="19"/>
      <c r="AD30" s="19"/>
    </row>
    <row r="31" spans="1:30" ht="15" x14ac:dyDescent="0.2">
      <c r="A31" s="19">
        <v>25</v>
      </c>
      <c r="B31" s="20" t="s">
        <v>124</v>
      </c>
      <c r="C31" s="19" t="s">
        <v>125</v>
      </c>
      <c r="D31" s="21">
        <v>30330786</v>
      </c>
      <c r="E31" s="27" t="inlineStr">
        <is>
          <t>20231110059</t>
        </is>
      </c>
      <c r="F31" s="22"/>
      <c r="G31" s="19"/>
      <c r="H31" s="22"/>
      <c r="I31" s="19"/>
      <c r="J31" s="22"/>
      <c r="K31" s="19"/>
      <c r="L31" s="22"/>
      <c r="M31" s="19"/>
      <c r="N31" s="22"/>
      <c r="O31" s="19"/>
      <c r="P31" s="22"/>
      <c r="Q31" s="19"/>
      <c r="R31" s="22"/>
      <c r="S31" s="19"/>
      <c r="T31" s="22"/>
      <c r="U31" s="19"/>
      <c r="V31" s="22"/>
      <c r="W31" s="19"/>
      <c r="X31" s="22"/>
      <c r="Y31" s="19"/>
      <c r="Z31" s="22"/>
      <c r="AA31" s="19"/>
      <c r="AB31" s="22"/>
      <c r="AC31" s="19"/>
      <c r="AD31" s="19"/>
    </row>
    <row r="32" spans="1:30" ht="15" x14ac:dyDescent="0.2">
      <c r="A32" s="19">
        <v>26</v>
      </c>
      <c r="B32" s="20" t="s">
        <v>126</v>
      </c>
      <c r="C32" s="19" t="s">
        <v>127</v>
      </c>
      <c r="D32" s="21">
        <v>29850491</v>
      </c>
      <c r="E32" s="27" t="inlineStr">
        <is>
          <t>20221110100</t>
        </is>
      </c>
      <c r="F32" s="22"/>
      <c r="G32" s="19"/>
      <c r="H32" s="22">
        <v>1</v>
      </c>
      <c r="I32" s="19"/>
      <c r="J32" s="22"/>
      <c r="K32" s="19"/>
      <c r="L32" s="22"/>
      <c r="M32" s="19"/>
      <c r="N32" s="22"/>
      <c r="O32" s="19"/>
      <c r="P32" s="22"/>
      <c r="Q32" s="19"/>
      <c r="R32" s="22"/>
      <c r="S32" s="19"/>
      <c r="T32" s="22"/>
      <c r="U32" s="19"/>
      <c r="V32" s="22"/>
      <c r="W32" s="19"/>
      <c r="X32" s="22"/>
      <c r="Y32" s="19"/>
      <c r="Z32" s="22"/>
      <c r="AA32" s="19"/>
      <c r="AB32" s="22"/>
      <c r="AC32" s="19"/>
      <c r="AD32" s="19"/>
    </row>
    <row r="33" spans="1:30" ht="15" x14ac:dyDescent="0.2">
      <c r="A33" s="19">
        <v>27</v>
      </c>
      <c r="B33" s="20" t="s">
        <v>128</v>
      </c>
      <c r="C33" s="19" t="s">
        <v>129</v>
      </c>
      <c r="D33" s="21">
        <v>30751145</v>
      </c>
      <c r="E33" s="27" t="inlineStr">
        <is>
          <t>20231110519</t>
        </is>
      </c>
      <c r="F33" s="22"/>
      <c r="G33" s="19"/>
      <c r="H33" s="22"/>
      <c r="I33" s="19"/>
      <c r="J33" s="22"/>
      <c r="K33" s="19"/>
      <c r="L33" s="22"/>
      <c r="M33" s="19"/>
      <c r="N33" s="22"/>
      <c r="O33" s="19"/>
      <c r="P33" s="22"/>
      <c r="Q33" s="19"/>
      <c r="R33" s="22"/>
      <c r="S33" s="19"/>
      <c r="T33" s="22"/>
      <c r="U33" s="19"/>
      <c r="V33" s="22"/>
      <c r="W33" s="19"/>
      <c r="X33" s="22"/>
      <c r="Y33" s="19"/>
      <c r="Z33" s="22"/>
      <c r="AA33" s="19"/>
      <c r="AB33" s="22"/>
      <c r="AC33" s="19"/>
      <c r="AD33" s="19"/>
    </row>
    <row r="34" spans="1:30" ht="15" x14ac:dyDescent="0.2">
      <c r="A34" s="19">
        <v>28</v>
      </c>
      <c r="B34" s="20" t="s">
        <v>130</v>
      </c>
      <c r="C34" s="19" t="s">
        <v>131</v>
      </c>
      <c r="D34" s="21">
        <v>30612944</v>
      </c>
      <c r="E34" s="27" t="inlineStr">
        <is>
          <t>20231110217</t>
        </is>
      </c>
      <c r="F34" s="22"/>
      <c r="G34" s="19"/>
      <c r="H34" s="22"/>
      <c r="I34" s="19"/>
      <c r="J34" s="22"/>
      <c r="K34" s="19"/>
      <c r="L34" s="22"/>
      <c r="M34" s="19"/>
      <c r="N34" s="22"/>
      <c r="O34" s="19"/>
      <c r="P34" s="22"/>
      <c r="Q34" s="19"/>
      <c r="R34" s="22"/>
      <c r="S34" s="19"/>
      <c r="T34" s="22"/>
      <c r="U34" s="19"/>
      <c r="V34" s="22"/>
      <c r="W34" s="19"/>
      <c r="X34" s="22"/>
      <c r="Y34" s="19"/>
      <c r="Z34" s="22"/>
      <c r="AA34" s="19"/>
      <c r="AB34" s="22"/>
      <c r="AC34" s="19"/>
      <c r="AD34" s="19"/>
    </row>
    <row r="35" spans="1:30" ht="15" x14ac:dyDescent="0.2">
      <c r="A35" s="19">
        <v>29</v>
      </c>
      <c r="B35" s="20" t="s">
        <v>132</v>
      </c>
      <c r="C35" s="19" t="s">
        <v>133</v>
      </c>
      <c r="D35" s="21">
        <v>29677861</v>
      </c>
      <c r="E35" s="27" t="inlineStr">
        <is>
          <t>20211120097</t>
        </is>
      </c>
      <c r="F35" s="22"/>
      <c r="G35" s="19"/>
      <c r="H35" s="22"/>
      <c r="I35" s="19"/>
      <c r="J35" s="22"/>
      <c r="K35" s="19"/>
      <c r="L35" s="22"/>
      <c r="M35" s="19"/>
      <c r="N35" s="22"/>
      <c r="O35" s="19"/>
      <c r="P35" s="22"/>
      <c r="Q35" s="19"/>
      <c r="R35" s="22"/>
      <c r="S35" s="19"/>
      <c r="T35" s="22"/>
      <c r="U35" s="19"/>
      <c r="V35" s="22"/>
      <c r="W35" s="19"/>
      <c r="X35" s="22"/>
      <c r="Y35" s="19"/>
      <c r="Z35" s="22"/>
      <c r="AA35" s="19"/>
      <c r="AB35" s="22"/>
      <c r="AC35" s="19"/>
      <c r="AD35" s="19"/>
    </row>
    <row r="36" spans="1:30" ht="15" x14ac:dyDescent="0.2">
      <c r="A36" s="19">
        <v>30</v>
      </c>
      <c r="B36" s="20" t="s">
        <v>134</v>
      </c>
      <c r="C36" s="19" t="s">
        <v>135</v>
      </c>
      <c r="D36" s="21">
        <v>29661990</v>
      </c>
      <c r="E36" s="27" t="inlineStr">
        <is>
          <t>20231110045</t>
        </is>
      </c>
      <c r="F36" s="22"/>
      <c r="G36" s="19"/>
      <c r="H36" s="22"/>
      <c r="I36" s="19"/>
      <c r="J36" s="22"/>
      <c r="K36" s="19"/>
      <c r="L36" s="22"/>
      <c r="M36" s="19"/>
      <c r="N36" s="22"/>
      <c r="O36" s="19"/>
      <c r="P36" s="22"/>
      <c r="Q36" s="19"/>
      <c r="R36" s="22"/>
      <c r="S36" s="19"/>
      <c r="T36" s="22"/>
      <c r="U36" s="19"/>
      <c r="V36" s="22"/>
      <c r="W36" s="19"/>
      <c r="X36" s="22"/>
      <c r="Y36" s="19"/>
      <c r="Z36" s="22"/>
      <c r="AA36" s="19"/>
      <c r="AB36" s="22"/>
      <c r="AC36" s="19"/>
      <c r="AD36" s="19"/>
    </row>
    <row r="37" spans="1:30" ht="15" x14ac:dyDescent="0.2">
      <c r="A37" s="19">
        <v>31</v>
      </c>
      <c r="B37" s="20" t="s">
        <v>136</v>
      </c>
      <c r="C37" s="19" t="s">
        <v>137</v>
      </c>
      <c r="D37" s="21">
        <v>27472721</v>
      </c>
      <c r="E37" s="27" t="inlineStr">
        <is>
          <t>20191110253</t>
        </is>
      </c>
      <c r="F37" s="22"/>
      <c r="G37" s="19"/>
      <c r="H37" s="22"/>
      <c r="I37" s="19"/>
      <c r="J37" s="22"/>
      <c r="K37" s="19"/>
      <c r="L37" s="22"/>
      <c r="M37" s="19"/>
      <c r="N37" s="22"/>
      <c r="O37" s="19"/>
      <c r="P37" s="22"/>
      <c r="Q37" s="19"/>
      <c r="R37" s="22"/>
      <c r="S37" s="19"/>
      <c r="T37" s="22"/>
      <c r="U37" s="19"/>
      <c r="V37" s="22"/>
      <c r="W37" s="19"/>
      <c r="X37" s="22"/>
      <c r="Y37" s="19"/>
      <c r="Z37" s="22"/>
      <c r="AA37" s="19"/>
      <c r="AB37" s="22"/>
      <c r="AC37" s="19"/>
      <c r="AD37" s="19"/>
    </row>
    <row r="38" spans="1:30" ht="15" x14ac:dyDescent="0.2">
      <c r="A38" s="19">
        <v>32</v>
      </c>
      <c r="B38" s="20" t="s">
        <v>138</v>
      </c>
      <c r="C38" s="19" t="s">
        <v>139</v>
      </c>
      <c r="D38" s="21">
        <v>29887224</v>
      </c>
      <c r="E38" s="27" t="inlineStr">
        <is>
          <t>20221110599</t>
        </is>
      </c>
      <c r="F38" s="22"/>
      <c r="G38" s="19"/>
      <c r="H38" s="22"/>
      <c r="I38" s="19"/>
      <c r="J38" s="22"/>
      <c r="K38" s="19"/>
      <c r="L38" s="22"/>
      <c r="M38" s="19"/>
      <c r="N38" s="22"/>
      <c r="O38" s="19"/>
      <c r="P38" s="22"/>
      <c r="Q38" s="19"/>
      <c r="R38" s="22"/>
      <c r="S38" s="19"/>
      <c r="T38" s="22"/>
      <c r="U38" s="19"/>
      <c r="V38" s="22"/>
      <c r="W38" s="19"/>
      <c r="X38" s="22"/>
      <c r="Y38" s="19"/>
      <c r="Z38" s="22"/>
      <c r="AA38" s="19"/>
      <c r="AB38" s="22"/>
      <c r="AC38" s="19"/>
      <c r="AD38" s="19"/>
    </row>
    <row r="39" spans="1:30" ht="15" x14ac:dyDescent="0.2">
      <c r="A39" s="19">
        <v>33</v>
      </c>
      <c r="B39" s="20" t="s">
        <v>140</v>
      </c>
      <c r="C39" s="19" t="s">
        <v>141</v>
      </c>
      <c r="D39" s="21">
        <v>28317519</v>
      </c>
      <c r="E39" s="27" t="inlineStr">
        <is>
          <t>20191110269</t>
        </is>
      </c>
      <c r="F39" s="22"/>
      <c r="G39" s="19"/>
      <c r="H39" s="22"/>
      <c r="I39" s="19"/>
      <c r="J39" s="22"/>
      <c r="K39" s="19"/>
      <c r="L39" s="22"/>
      <c r="M39" s="19"/>
      <c r="N39" s="22"/>
      <c r="O39" s="19"/>
      <c r="P39" s="22"/>
      <c r="Q39" s="19"/>
      <c r="R39" s="22"/>
      <c r="S39" s="19"/>
      <c r="T39" s="22"/>
      <c r="U39" s="19"/>
      <c r="V39" s="22"/>
      <c r="W39" s="19"/>
      <c r="X39" s="22"/>
      <c r="Y39" s="19"/>
      <c r="Z39" s="22"/>
      <c r="AA39" s="19"/>
      <c r="AB39" s="22"/>
      <c r="AC39" s="19"/>
      <c r="AD39" s="19"/>
    </row>
    <row r="40" spans="1:30" ht="15" x14ac:dyDescent="0.2">
      <c r="A40" s="19">
        <v>34</v>
      </c>
      <c r="B40" s="20" t="s">
        <v>142</v>
      </c>
      <c r="C40" s="19" t="s">
        <v>143</v>
      </c>
      <c r="D40" s="21">
        <v>30496487</v>
      </c>
      <c r="E40" s="27" t="inlineStr">
        <is>
          <t>20231110123</t>
        </is>
      </c>
      <c r="F40" s="22">
        <v>1</v>
      </c>
      <c r="G40" s="19"/>
      <c r="H40" s="22"/>
      <c r="I40" s="19"/>
      <c r="J40" s="22"/>
      <c r="K40" s="19">
        <v>1</v>
      </c>
      <c r="L40" s="22"/>
      <c r="M40" s="19"/>
      <c r="N40" s="22"/>
      <c r="O40" s="19"/>
      <c r="P40" s="22"/>
      <c r="Q40" s="19"/>
      <c r="R40" s="22"/>
      <c r="S40" s="19"/>
      <c r="T40" s="22"/>
      <c r="U40" s="19"/>
      <c r="V40" s="22"/>
      <c r="W40" s="19"/>
      <c r="X40" s="22"/>
      <c r="Y40" s="19"/>
      <c r="Z40" s="22"/>
      <c r="AA40" s="19"/>
      <c r="AB40" s="22"/>
      <c r="AC40" s="19"/>
      <c r="AD40" s="19"/>
    </row>
    <row r="41" spans="1:30" ht="15" x14ac:dyDescent="0.2">
      <c r="A41" s="19">
        <v>35</v>
      </c>
      <c r="B41" s="20" t="s">
        <v>144</v>
      </c>
      <c r="C41" s="19" t="s">
        <v>145</v>
      </c>
      <c r="D41" s="21">
        <v>30411279</v>
      </c>
      <c r="E41" s="27" t="inlineStr">
        <is>
          <t>20221110183</t>
        </is>
      </c>
      <c r="F41" s="22">
        <v>1</v>
      </c>
      <c r="G41" s="19"/>
      <c r="H41" s="22"/>
      <c r="I41" s="19">
        <v>1</v>
      </c>
      <c r="J41" s="23">
        <v>1</v>
      </c>
      <c r="K41" s="19"/>
      <c r="L41" s="22"/>
      <c r="M41" s="19"/>
      <c r="N41" s="22"/>
      <c r="O41" s="19"/>
      <c r="P41" s="22"/>
      <c r="Q41" s="19"/>
      <c r="R41" s="22"/>
      <c r="S41" s="19"/>
      <c r="T41" s="22"/>
      <c r="U41" s="19"/>
      <c r="V41" s="22"/>
      <c r="W41" s="19"/>
      <c r="X41" s="22"/>
      <c r="Y41" s="19"/>
      <c r="Z41" s="22"/>
      <c r="AA41" s="19"/>
      <c r="AB41" s="22"/>
      <c r="AC41" s="19"/>
      <c r="AD41" s="19"/>
    </row>
    <row r="42" spans="1:30" ht="15" x14ac:dyDescent="0.2">
      <c r="A42" s="19">
        <v>36</v>
      </c>
      <c r="B42" s="20" t="s">
        <v>146</v>
      </c>
      <c r="C42" s="19" t="s">
        <v>147</v>
      </c>
      <c r="D42" s="21">
        <v>26783022</v>
      </c>
      <c r="E42" s="27" t="inlineStr">
        <is>
          <t>20171110314</t>
        </is>
      </c>
      <c r="F42" s="22"/>
      <c r="G42" s="19"/>
      <c r="H42" s="22"/>
      <c r="I42" s="19">
        <v>1</v>
      </c>
      <c r="J42" s="22"/>
      <c r="K42" s="19"/>
      <c r="L42" s="22"/>
      <c r="M42" s="19"/>
      <c r="N42" s="22"/>
      <c r="O42" s="19"/>
      <c r="P42" s="22"/>
      <c r="Q42" s="19"/>
      <c r="R42" s="22"/>
      <c r="S42" s="19"/>
      <c r="T42" s="22"/>
      <c r="U42" s="19"/>
      <c r="V42" s="22"/>
      <c r="W42" s="19"/>
      <c r="X42" s="22"/>
      <c r="Y42" s="19"/>
      <c r="Z42" s="22"/>
      <c r="AA42" s="19"/>
      <c r="AB42" s="22"/>
      <c r="AC42" s="19"/>
      <c r="AD42" s="19"/>
    </row>
    <row r="43" spans="1:30" ht="15" x14ac:dyDescent="0.2">
      <c r="A43" s="19">
        <v>37</v>
      </c>
      <c r="B43" s="20" t="s">
        <v>148</v>
      </c>
      <c r="C43" s="19" t="s">
        <v>149</v>
      </c>
      <c r="D43" s="21">
        <v>31460153</v>
      </c>
      <c r="E43" s="27" t="inlineStr">
        <is>
          <t>20231110506</t>
        </is>
      </c>
      <c r="F43" s="22"/>
      <c r="G43" s="19"/>
      <c r="H43" s="22"/>
      <c r="I43" s="19"/>
      <c r="J43" s="22"/>
      <c r="K43" s="19"/>
      <c r="L43" s="22"/>
      <c r="M43" s="19"/>
      <c r="N43" s="22"/>
      <c r="O43" s="19"/>
      <c r="P43" s="22"/>
      <c r="Q43" s="19"/>
      <c r="R43" s="22"/>
      <c r="S43" s="19"/>
      <c r="T43" s="22"/>
      <c r="U43" s="19"/>
      <c r="V43" s="22"/>
      <c r="W43" s="19"/>
      <c r="X43" s="22"/>
      <c r="Y43" s="19"/>
      <c r="Z43" s="22"/>
      <c r="AA43" s="19"/>
      <c r="AB43" s="22"/>
      <c r="AC43" s="19"/>
      <c r="AD43" s="19"/>
    </row>
    <row r="44" spans="1:30" ht="15" x14ac:dyDescent="0.2">
      <c r="A44" s="19">
        <v>38</v>
      </c>
      <c r="B44" s="20" t="s">
        <v>150</v>
      </c>
      <c r="C44" s="19" t="s">
        <v>151</v>
      </c>
      <c r="D44" s="21">
        <v>26994959</v>
      </c>
      <c r="E44" s="27" t="inlineStr">
        <is>
          <t>20191110582</t>
        </is>
      </c>
      <c r="F44" s="22">
        <v>1</v>
      </c>
      <c r="G44" s="19"/>
      <c r="H44" s="22">
        <v>1</v>
      </c>
      <c r="I44" s="19">
        <v>1</v>
      </c>
      <c r="J44" s="23">
        <v>1</v>
      </c>
      <c r="K44" s="19">
        <v>1</v>
      </c>
      <c r="L44" s="22"/>
      <c r="M44" s="19"/>
      <c r="N44" s="22"/>
      <c r="O44" s="19">
        <v>1</v>
      </c>
      <c r="P44" s="22"/>
      <c r="Q44" s="19"/>
      <c r="R44" s="22"/>
      <c r="S44" s="19">
        <v>2</v>
      </c>
      <c r="T44" s="22">
        <v>1</v>
      </c>
      <c r="U44" s="19"/>
      <c r="V44" s="22"/>
      <c r="W44" s="19">
        <v>1</v>
      </c>
      <c r="X44" s="22"/>
      <c r="Y44" s="19">
        <v>1</v>
      </c>
      <c r="Z44" s="22"/>
      <c r="AA44" s="19">
        <v>1</v>
      </c>
      <c r="AB44" s="22"/>
      <c r="AC44" s="19"/>
      <c r="AD44" s="19"/>
    </row>
    <row r="45" spans="1:30" ht="15" x14ac:dyDescent="0.2">
      <c r="A45" s="19">
        <v>39</v>
      </c>
      <c r="B45" s="20" t="s">
        <v>152</v>
      </c>
      <c r="C45" s="19" t="s">
        <v>153</v>
      </c>
      <c r="D45" s="21">
        <v>30370768</v>
      </c>
      <c r="E45" s="27" t="inlineStr">
        <is>
          <t>20231110290</t>
        </is>
      </c>
      <c r="F45" s="22"/>
      <c r="G45" s="19"/>
      <c r="H45" s="22"/>
      <c r="I45" s="19"/>
      <c r="J45" s="22"/>
      <c r="K45" s="19">
        <v>1</v>
      </c>
      <c r="L45" s="22"/>
      <c r="M45" s="19"/>
      <c r="N45" s="22"/>
      <c r="O45" s="19"/>
      <c r="P45" s="22"/>
      <c r="Q45" s="19"/>
      <c r="R45" s="22"/>
      <c r="S45" s="19"/>
      <c r="T45" s="22"/>
      <c r="U45" s="19"/>
      <c r="V45" s="22"/>
      <c r="W45" s="19"/>
      <c r="X45" s="22"/>
      <c r="Y45" s="19"/>
      <c r="Z45" s="22"/>
      <c r="AA45" s="19"/>
      <c r="AB45" s="22"/>
      <c r="AC45" s="19"/>
      <c r="AD45" s="19"/>
    </row>
    <row r="46" spans="1:30" ht="15" x14ac:dyDescent="0.2">
      <c r="A46" s="19">
        <v>40</v>
      </c>
      <c r="B46" s="20" t="s">
        <v>154</v>
      </c>
      <c r="C46" s="19" t="s">
        <v>155</v>
      </c>
      <c r="D46" s="21">
        <v>30906842</v>
      </c>
      <c r="E46" s="27" t="inlineStr">
        <is>
          <t>20241110056</t>
        </is>
      </c>
      <c r="F46" s="22"/>
      <c r="G46" s="19"/>
      <c r="H46" s="22"/>
      <c r="I46" s="19"/>
      <c r="J46" s="22"/>
      <c r="K46" s="19"/>
      <c r="L46" s="22"/>
      <c r="M46" s="19"/>
      <c r="N46" s="22"/>
      <c r="O46" s="19"/>
      <c r="P46" s="19"/>
      <c r="Q46" s="19"/>
      <c r="R46" s="22"/>
      <c r="S46" s="19"/>
      <c r="T46" s="22">
        <v>3</v>
      </c>
      <c r="U46" s="19"/>
      <c r="V46" s="22"/>
      <c r="W46" s="19"/>
      <c r="X46" s="22"/>
      <c r="Y46" s="19"/>
      <c r="Z46" s="22"/>
      <c r="AA46" s="19"/>
      <c r="AB46" s="22"/>
      <c r="AC46" s="19"/>
      <c r="AD46" s="19"/>
    </row>
    <row r="47" spans="1:30" ht="14" x14ac:dyDescent="0.15">
      <c r="A47" s="19">
        <v>41</v>
      </c>
      <c r="B47" s="20" t="s">
        <v>95</v>
      </c>
      <c r="C47" s="19" t="s">
        <v>156</v>
      </c>
      <c r="D47" s="21">
        <v>27545301</v>
      </c>
      <c r="E47" s="21" t="inlineStr">
        <is>
          <t>20231120067</t>
        </is>
      </c>
      <c r="F47" s="22"/>
      <c r="G47" s="19"/>
      <c r="H47" s="22"/>
      <c r="I47" s="19"/>
      <c r="J47" s="22"/>
      <c r="K47" s="19"/>
      <c r="L47" s="22"/>
      <c r="M47" s="19"/>
      <c r="N47" s="22"/>
      <c r="O47" s="19"/>
      <c r="P47" s="22"/>
      <c r="Q47" s="19"/>
      <c r="R47" s="22"/>
      <c r="S47" s="19"/>
      <c r="T47" s="22"/>
      <c r="U47" s="19"/>
      <c r="V47" s="22"/>
      <c r="W47" s="19"/>
      <c r="X47" s="22"/>
      <c r="Y47" s="19"/>
      <c r="Z47" s="22"/>
      <c r="AA47" s="19"/>
      <c r="AB47" s="22"/>
      <c r="AC47" s="19"/>
      <c r="AD47" s="19"/>
    </row>
    <row r="48" spans="1:30" ht="14" x14ac:dyDescent="0.15">
      <c r="A48" s="19"/>
      <c r="B48" s="2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spans="1:30" x14ac:dyDescent="0.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1:30" x14ac:dyDescent="0.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spans="1:30" x14ac:dyDescent="0.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spans="1:30" x14ac:dyDescent="0.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spans="1:30" x14ac:dyDescent="0.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spans="1:30" x14ac:dyDescent="0.1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0</v>
      </c>
      <c r="D2" t="inlineStr">
        <is>
          <t xml:space="preserve">administrativa</t>
        </is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3</v>
      </c>
    </row>
    <row r="6">
      <c r="A6">
        <v>3</v>
      </c>
      <c r="B6">
        <v>1</v>
      </c>
      <c r="C6">
        <v>8</v>
      </c>
    </row>
    <row r="7">
      <c r="A7">
        <v>3</v>
      </c>
      <c r="B7">
        <v>2</v>
      </c>
      <c r="C7">
        <v>3</v>
      </c>
    </row>
    <row r="8">
      <c r="A8">
        <v>4</v>
      </c>
      <c r="B8">
        <v>1</v>
      </c>
      <c r="C8">
        <v>3</v>
      </c>
    </row>
    <row r="9">
      <c r="A9">
        <v>4</v>
      </c>
      <c r="B9">
        <v>2</v>
      </c>
      <c r="C9">
        <v>3</v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0</v>
      </c>
      <c r="D11" t="inlineStr">
        <is>
          <t xml:space="preserve">evaluacion</t>
        </is>
      </c>
    </row>
    <row r="12">
      <c r="A12">
        <v>6</v>
      </c>
      <c r="B12">
        <v>1</v>
      </c>
      <c r="C12">
        <v>6</v>
      </c>
    </row>
    <row r="13">
      <c r="A13">
        <v>6</v>
      </c>
      <c r="B13">
        <v>2</v>
      </c>
      <c r="C13">
        <v>0</v>
      </c>
      <c r="D13" t="inlineStr">
        <is>
          <t xml:space="preserve">evaluacion</t>
        </is>
      </c>
    </row>
    <row r="14">
      <c r="A14">
        <v>7</v>
      </c>
      <c r="B14">
        <v>1</v>
      </c>
      <c r="C14">
        <v>0</v>
      </c>
      <c r="D14" t="inlineStr">
        <is>
          <t xml:space="preserve">sin_clase</t>
        </is>
      </c>
    </row>
    <row r="15">
      <c r="A15">
        <v>7</v>
      </c>
      <c r="B15">
        <v>2</v>
      </c>
      <c r="C15">
        <v>6</v>
      </c>
    </row>
    <row r="16">
      <c r="A16">
        <v>8</v>
      </c>
      <c r="B16">
        <v>1</v>
      </c>
      <c r="C16">
        <v>6</v>
      </c>
    </row>
    <row r="17">
      <c r="A17">
        <v>8</v>
      </c>
      <c r="B17">
        <v>2</v>
      </c>
      <c r="C17">
        <v>0</v>
      </c>
      <c r="D17" t="inlineStr">
        <is>
          <t xml:space="preserve">evaluacion</t>
        </is>
      </c>
    </row>
    <row r="18">
      <c r="A18">
        <v>9</v>
      </c>
      <c r="B18">
        <v>1</v>
      </c>
      <c r="C18">
        <v>0</v>
      </c>
      <c r="D18" t="inlineStr">
        <is>
          <t xml:space="preserve">evaluacion</t>
        </is>
      </c>
    </row>
    <row r="19">
      <c r="A19">
        <v>9</v>
      </c>
      <c r="B19">
        <v>2</v>
      </c>
      <c r="C19">
        <v>9</v>
      </c>
    </row>
    <row r="20">
      <c r="A20">
        <v>10</v>
      </c>
      <c r="B20">
        <v>1</v>
      </c>
      <c r="C20">
        <v>9</v>
      </c>
    </row>
    <row r="21">
      <c r="A21">
        <v>10</v>
      </c>
      <c r="B21">
        <v>2</v>
      </c>
      <c r="C21">
        <v>9</v>
      </c>
    </row>
    <row r="22">
      <c r="A22">
        <v>11</v>
      </c>
      <c r="B22">
        <v>1</v>
      </c>
      <c r="C22">
        <v>0</v>
      </c>
      <c r="D22" t="inlineStr">
        <is>
          <t xml:space="preserve">evaluacion</t>
        </is>
      </c>
    </row>
    <row r="23">
      <c r="A23">
        <v>11</v>
      </c>
      <c r="B23">
        <v>2</v>
      </c>
      <c r="C23">
        <v>9</v>
      </c>
    </row>
    <row r="24">
      <c r="A24">
        <v>12</v>
      </c>
      <c r="B24">
        <v>1</v>
      </c>
      <c r="C24">
        <v>0</v>
      </c>
      <c r="D24" t="inlineStr">
        <is>
          <t xml:space="preserve">evaluacion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COMPURACION EMERGENTE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2026-08-31T05:01:54Z</dcterms:modified>
</cp:coreProperties>
</file>