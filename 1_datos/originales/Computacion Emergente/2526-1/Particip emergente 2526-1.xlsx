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Datos Tesis Upstream/Computacion Emergente/2526-1/"/>
    </mc:Choice>
  </mc:AlternateContent>
  <xr:revisionPtr revIDLastSave="0" documentId="13_ncr:1_{390584C7-5FD9-164B-8960-0877DD43384E}" xr6:coauthVersionLast="47" xr6:coauthVersionMax="47" xr10:uidLastSave="{00000000-0000-0000-0000-000000000000}"/>
  <bookViews>
    <workbookView xWindow="0" yWindow="600" windowWidth="28800" windowHeight="15980" activeTab="1" xr2:uid="{00000000-000D-0000-FFFF-FFFF00000000}"/>
  </bookViews>
  <sheets>
    <sheet name="Intervenciones" sheetId="2" r:id="rId1"/>
    <sheet name="Estandar" sheetId="3" r:id="rId2"/>
    <sheet name="Cronograma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2" l="1"/>
  <c r="R5" i="2"/>
  <c r="R6" i="2"/>
  <c r="R7" i="2"/>
  <c r="R8" i="2"/>
  <c r="R9" i="2"/>
  <c r="R10" i="2"/>
  <c r="S10" i="2" s="1"/>
  <c r="R11" i="2"/>
  <c r="S11" i="2" s="1"/>
  <c r="R12" i="2"/>
  <c r="R13" i="2"/>
  <c r="R14" i="2"/>
  <c r="R15" i="2"/>
  <c r="R16" i="2"/>
  <c r="R17" i="2"/>
  <c r="R18" i="2"/>
  <c r="S18" i="2" s="1"/>
  <c r="R19" i="2"/>
  <c r="S19" i="2" s="1"/>
  <c r="R20" i="2"/>
  <c r="R21" i="2"/>
  <c r="R22" i="2"/>
  <c r="R23" i="2"/>
  <c r="R24" i="2"/>
  <c r="R25" i="2"/>
  <c r="R26" i="2"/>
  <c r="S26" i="2" s="1"/>
  <c r="R27" i="2"/>
  <c r="S27" i="2" s="1"/>
  <c r="R28" i="2"/>
  <c r="R29" i="2"/>
  <c r="R30" i="2"/>
  <c r="S30" i="2" s="1"/>
  <c r="R3" i="2"/>
  <c r="S29" i="2"/>
  <c r="S28" i="2"/>
  <c r="S25" i="2"/>
  <c r="S24" i="2"/>
  <c r="S23" i="2"/>
  <c r="S22" i="2"/>
  <c r="S21" i="2"/>
  <c r="S20" i="2"/>
  <c r="S17" i="2"/>
  <c r="S16" i="2"/>
  <c r="S15" i="2"/>
  <c r="S14" i="2"/>
  <c r="S13" i="2"/>
  <c r="S12" i="2"/>
  <c r="S9" i="2"/>
  <c r="S8" i="2"/>
  <c r="S7" i="2"/>
  <c r="S6" i="2"/>
  <c r="S5" i="2"/>
  <c r="S4" i="2"/>
  <c r="S3" i="2"/>
</calcChain>
</file>

<file path=xl/sharedStrings.xml><?xml version="1.0" encoding="utf-8"?>
<sst xmlns="http://schemas.openxmlformats.org/spreadsheetml/2006/main" count="149" uniqueCount="126">
  <si>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</si>
  <si>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</si>
  <si>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</si>
  <si>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</si>
  <si>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</si>
  <si>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</si>
  <si>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</si>
  <si>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</si>
  <si>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</si>
  <si>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</si>
  <si>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</si>
  <si>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Nombre</t>
  </si>
  <si>
    <t>Cédula</t>
  </si>
  <si>
    <t>Total</t>
  </si>
  <si>
    <t>Est. base 5</t>
  </si>
  <si>
    <r>
      <rPr>
        <u/>
        <sz val="11"/>
        <color rgb="FF1155CC"/>
        <rFont val="Arial"/>
        <family val="2"/>
        <scheme val="minor"/>
      </rPr>
      <t>FB</t>
    </r>
    <r>
      <rPr>
        <u/>
        <sz val="11"/>
        <color rgb="FF1155CC"/>
        <rFont val="Arial"/>
        <family val="2"/>
        <scheme val="minor"/>
      </rPr>
      <t>Fidel Eduardo Barreat Lemoine</t>
    </r>
  </si>
  <si>
    <r>
      <rPr>
        <b/>
        <u/>
        <sz val="11"/>
        <color rgb="FF1155CC"/>
        <rFont val="Arial"/>
        <family val="2"/>
        <scheme val="minor"/>
      </rPr>
      <t>Carlos Eduardo Bastidas Sulvaran</t>
    </r>
  </si>
  <si>
    <r>
      <rPr>
        <u/>
        <sz val="11"/>
        <color rgb="FF1155CC"/>
        <rFont val="Arial"/>
        <family val="2"/>
        <scheme val="minor"/>
      </rPr>
      <t>JB</t>
    </r>
    <r>
      <rPr>
        <u/>
        <sz val="11"/>
        <color rgb="FF1155CC"/>
        <rFont val="Arial"/>
        <family val="2"/>
        <scheme val="minor"/>
      </rPr>
      <t>Jhorman Bloom</t>
    </r>
  </si>
  <si>
    <r>
      <rPr>
        <u/>
        <sz val="11"/>
        <color rgb="FF1155CC"/>
        <rFont val="Arial"/>
        <family val="2"/>
        <scheme val="minor"/>
      </rPr>
      <t>SB</t>
    </r>
    <r>
      <rPr>
        <u/>
        <sz val="11"/>
        <color rgb="FF1155CC"/>
        <rFont val="Arial"/>
        <family val="2"/>
        <scheme val="minor"/>
      </rPr>
      <t>Stefano Boschetti</t>
    </r>
  </si>
  <si>
    <r>
      <rPr>
        <b/>
        <u/>
        <sz val="11"/>
        <color rgb="FF1155CC"/>
        <rFont val="Arial"/>
        <family val="2"/>
        <scheme val="minor"/>
      </rPr>
      <t>Paula Briceno</t>
    </r>
  </si>
  <si>
    <r>
      <rPr>
        <b/>
        <u/>
        <sz val="11"/>
        <color rgb="FF1155CC"/>
        <rFont val="Arial"/>
        <family val="2"/>
        <scheme val="minor"/>
      </rPr>
      <t>Adolfo Alexander Castillo Hernandez</t>
    </r>
  </si>
  <si>
    <r>
      <rPr>
        <b/>
        <u/>
        <sz val="11"/>
        <color rgb="FF1155CC"/>
        <rFont val="Arial"/>
        <family val="2"/>
        <scheme val="minor"/>
      </rPr>
      <t>Eduardo Curiel Elizondo</t>
    </r>
  </si>
  <si>
    <r>
      <rPr>
        <b/>
        <u/>
        <sz val="11"/>
        <color rgb="FF1155CC"/>
        <rFont val="Arial"/>
        <family val="2"/>
        <scheme val="minor"/>
      </rPr>
      <t>Daniel Antonio De Oliveira Beñose</t>
    </r>
  </si>
  <si>
    <r>
      <rPr>
        <b/>
        <u/>
        <sz val="11"/>
        <color rgb="FF1155CC"/>
        <rFont val="Arial"/>
        <family val="2"/>
        <scheme val="minor"/>
      </rPr>
      <t>Rodrigo Di Giulio</t>
    </r>
  </si>
  <si>
    <r>
      <rPr>
        <u/>
        <sz val="11"/>
        <color rgb="FF1155CC"/>
        <rFont val="Arial"/>
        <family val="2"/>
        <scheme val="minor"/>
      </rPr>
      <t>RE</t>
    </r>
    <r>
      <rPr>
        <u/>
        <sz val="11"/>
        <color rgb="FF1155CC"/>
        <rFont val="Arial"/>
        <family val="2"/>
        <scheme val="minor"/>
      </rPr>
      <t>Rodrigo Ignacio Egaña Urdaneta</t>
    </r>
  </si>
  <si>
    <r>
      <rPr>
        <b/>
        <u/>
        <sz val="11"/>
        <color rgb="FF1155CC"/>
        <rFont val="Arial"/>
        <family val="2"/>
        <scheme val="minor"/>
      </rPr>
      <t>Francisco Fustero</t>
    </r>
  </si>
  <si>
    <r>
      <rPr>
        <b/>
        <u/>
        <sz val="11"/>
        <color rgb="FF1155CC"/>
        <rFont val="Arial"/>
        <family val="2"/>
        <scheme val="minor"/>
      </rPr>
      <t>Angelo Johan Guerrero Pilligua</t>
    </r>
  </si>
  <si>
    <r>
      <rPr>
        <b/>
        <u/>
        <sz val="11"/>
        <color rgb="FF1155CC"/>
        <rFont val="Arial"/>
        <family val="2"/>
        <scheme val="minor"/>
      </rPr>
      <t>Sofia Cristina León Sevilla</t>
    </r>
  </si>
  <si>
    <r>
      <rPr>
        <b/>
        <u/>
        <sz val="11"/>
        <color rgb="FF1155CC"/>
        <rFont val="Arial"/>
        <family val="2"/>
        <scheme val="minor"/>
      </rPr>
      <t>Ricardo Machado</t>
    </r>
  </si>
  <si>
    <r>
      <rPr>
        <u/>
        <sz val="11"/>
        <color rgb="FF1155CC"/>
        <rFont val="Arial"/>
        <family val="2"/>
        <scheme val="minor"/>
      </rPr>
      <t>JM</t>
    </r>
    <r>
      <rPr>
        <u/>
        <sz val="11"/>
        <color rgb="FF1155CC"/>
        <rFont val="Arial"/>
        <family val="2"/>
        <scheme val="minor"/>
      </rPr>
      <t>Juan Martin</t>
    </r>
  </si>
  <si>
    <r>
      <rPr>
        <u/>
        <sz val="11"/>
        <color rgb="FF1155CC"/>
        <rFont val="Arial"/>
        <family val="2"/>
        <scheme val="minor"/>
      </rPr>
      <t>DM</t>
    </r>
    <r>
      <rPr>
        <u/>
        <sz val="11"/>
        <color rgb="FF1155CC"/>
        <rFont val="Arial"/>
        <family val="2"/>
        <scheme val="minor"/>
      </rPr>
      <t>David Alejandro Mavares Delgado</t>
    </r>
  </si>
  <si>
    <r>
      <rPr>
        <b/>
        <u/>
        <sz val="11"/>
        <color rgb="FF1155CC"/>
        <rFont val="Arial"/>
        <family val="2"/>
        <scheme val="minor"/>
      </rPr>
      <t>David Mayora</t>
    </r>
  </si>
  <si>
    <r>
      <rPr>
        <u/>
        <sz val="11"/>
        <color rgb="FF1155CC"/>
        <rFont val="Arial"/>
        <family val="2"/>
        <scheme val="minor"/>
      </rPr>
      <t>MM</t>
    </r>
    <r>
      <rPr>
        <u/>
        <sz val="11"/>
        <color rgb="FF1155CC"/>
        <rFont val="Arial"/>
        <family val="2"/>
        <scheme val="minor"/>
      </rPr>
      <t>Miguel Alejandro Menéndez Stea</t>
    </r>
  </si>
  <si>
    <r>
      <rPr>
        <b/>
        <u/>
        <sz val="11"/>
        <color rgb="FF1155CC"/>
        <rFont val="Arial"/>
        <family val="2"/>
        <scheme val="minor"/>
      </rPr>
      <t>Gustavo Elias Merida Perez</t>
    </r>
  </si>
  <si>
    <r>
      <rPr>
        <u/>
        <sz val="11"/>
        <color rgb="FF1155CC"/>
        <rFont val="Arial"/>
        <family val="2"/>
        <scheme val="minor"/>
      </rPr>
      <t>VM</t>
    </r>
    <r>
      <rPr>
        <u/>
        <sz val="11"/>
        <color rgb="FF1155CC"/>
        <rFont val="Arial"/>
        <family val="2"/>
        <scheme val="minor"/>
      </rPr>
      <t>Vincenzo Daniele Miraglia Lagrutta</t>
    </r>
  </si>
  <si>
    <r>
      <rPr>
        <b/>
        <u/>
        <sz val="11"/>
        <color rgb="FF1155CC"/>
        <rFont val="Arial"/>
        <family val="2"/>
        <scheme val="minor"/>
      </rPr>
      <t>Samuel Moreno</t>
    </r>
  </si>
  <si>
    <r>
      <rPr>
        <u/>
        <sz val="11"/>
        <color rgb="FF1155CC"/>
        <rFont val="Arial"/>
        <family val="2"/>
        <scheme val="minor"/>
      </rPr>
      <t>IP</t>
    </r>
    <r>
      <rPr>
        <u/>
        <sz val="11"/>
        <color rgb="FF1155CC"/>
        <rFont val="Arial"/>
        <family val="2"/>
        <scheme val="minor"/>
      </rPr>
      <t>Isabella Pereira</t>
    </r>
  </si>
  <si>
    <r>
      <rPr>
        <u/>
        <sz val="11"/>
        <color rgb="FF1155CC"/>
        <rFont val="Arial"/>
        <family val="2"/>
        <scheme val="minor"/>
      </rPr>
      <t>VP</t>
    </r>
    <r>
      <rPr>
        <u/>
        <sz val="11"/>
        <color rgb="FF1155CC"/>
        <rFont val="Arial"/>
        <family val="2"/>
        <scheme val="minor"/>
      </rPr>
      <t>Vincent Pérez</t>
    </r>
  </si>
  <si>
    <r>
      <rPr>
        <b/>
        <u/>
        <sz val="11"/>
        <color rgb="FF1155CC"/>
        <rFont val="Arial"/>
        <family val="2"/>
        <scheme val="minor"/>
      </rPr>
      <t>Andrés Ignacio Pérez Puelles De Faria</t>
    </r>
  </si>
  <si>
    <r>
      <rPr>
        <b/>
        <u/>
        <sz val="11"/>
        <color rgb="FF1155CC"/>
        <rFont val="Arial"/>
        <family val="2"/>
        <scheme val="minor"/>
      </rPr>
      <t>Arianne Perret Gentil</t>
    </r>
  </si>
  <si>
    <r>
      <rPr>
        <b/>
        <u/>
        <sz val="11"/>
        <color rgb="FF1155CC"/>
        <rFont val="Arial"/>
        <family val="2"/>
        <scheme val="minor"/>
      </rPr>
      <t>Guillermo Enrique Pinzón Quero</t>
    </r>
  </si>
  <si>
    <r>
      <rPr>
        <u/>
        <sz val="11"/>
        <color rgb="FF1155CC"/>
        <rFont val="Arial"/>
        <family val="2"/>
        <scheme val="minor"/>
      </rPr>
      <t>VP</t>
    </r>
    <r>
      <rPr>
        <u/>
        <sz val="11"/>
        <color rgb="FF1155CC"/>
        <rFont val="Arial"/>
        <family val="2"/>
        <scheme val="minor"/>
      </rPr>
      <t>Victor Ernesto Pointud Torres</t>
    </r>
  </si>
  <si>
    <r>
      <rPr>
        <u/>
        <sz val="11"/>
        <color rgb="FF1155CC"/>
        <rFont val="Arial"/>
        <family val="2"/>
        <scheme val="minor"/>
      </rPr>
      <t>CR</t>
    </r>
    <r>
      <rPr>
        <u/>
        <sz val="11"/>
        <color rgb="FF1155CC"/>
        <rFont val="Arial"/>
        <family val="2"/>
        <scheme val="minor"/>
      </rPr>
      <t>Christian Ramos</t>
    </r>
  </si>
  <si>
    <r>
      <rPr>
        <b/>
        <sz val="10"/>
        <rFont val="Arial"/>
        <family val="2"/>
      </rPr>
      <t>Materia:</t>
    </r>
  </si>
  <si>
    <r>
      <rPr>
        <b/>
        <sz val="10"/>
        <rFont val="Arial"/>
        <family val="2"/>
      </rPr>
      <t>Trimestre:</t>
    </r>
  </si>
  <si>
    <r>
      <rPr>
        <b/>
        <sz val="10"/>
        <rFont val="Arial"/>
        <family val="2"/>
      </rPr>
      <t>Sección:</t>
    </r>
  </si>
  <si>
    <r>
      <rPr>
        <b/>
        <sz val="10"/>
        <rFont val="Arial"/>
        <family val="2"/>
      </rPr>
      <t>numero_lista</t>
    </r>
  </si>
  <si>
    <r>
      <rPr>
        <b/>
        <sz val="10"/>
        <rFont val="Arial"/>
        <family val="2"/>
      </rPr>
      <t>nombre</t>
    </r>
  </si>
  <si>
    <r>
      <rPr>
        <b/>
        <sz val="10"/>
        <rFont val="Arial"/>
        <family val="2"/>
      </rPr>
      <t>apellido</t>
    </r>
  </si>
  <si>
    <r>
      <rPr>
        <b/>
        <sz val="10"/>
        <rFont val="Arial"/>
        <family val="2"/>
      </rPr>
      <t>cedula</t>
    </r>
  </si>
  <si>
    <r>
      <rPr>
        <b/>
        <sz val="10"/>
        <rFont val="Arial"/>
        <family val="2"/>
      </rPr>
      <t>Semana 1</t>
    </r>
  </si>
  <si>
    <r>
      <rPr>
        <b/>
        <sz val="10"/>
        <rFont val="Arial"/>
        <family val="2"/>
      </rPr>
      <t>Semana 2</t>
    </r>
  </si>
  <si>
    <r>
      <rPr>
        <b/>
        <sz val="10"/>
        <rFont val="Arial"/>
        <family val="2"/>
      </rPr>
      <t>Semana 3</t>
    </r>
  </si>
  <si>
    <r>
      <rPr>
        <b/>
        <sz val="10"/>
        <rFont val="Arial"/>
        <family val="2"/>
      </rPr>
      <t>Semana 4</t>
    </r>
  </si>
  <si>
    <r>
      <rPr>
        <b/>
        <sz val="10"/>
        <rFont val="Arial"/>
        <family val="2"/>
      </rPr>
      <t>Semana 5</t>
    </r>
  </si>
  <si>
    <r>
      <rPr>
        <b/>
        <sz val="10"/>
        <rFont val="Arial"/>
        <family val="2"/>
      </rPr>
      <t>Semana 6</t>
    </r>
  </si>
  <si>
    <r>
      <rPr>
        <b/>
        <sz val="10"/>
        <rFont val="Arial"/>
        <family val="2"/>
      </rPr>
      <t>Semana 7</t>
    </r>
  </si>
  <si>
    <r>
      <rPr>
        <b/>
        <sz val="10"/>
        <rFont val="Arial"/>
        <family val="2"/>
      </rPr>
      <t>Semana 8</t>
    </r>
  </si>
  <si>
    <r>
      <rPr>
        <b/>
        <sz val="10"/>
        <rFont val="Arial"/>
        <family val="2"/>
      </rPr>
      <t>Semana 9</t>
    </r>
  </si>
  <si>
    <r>
      <rPr>
        <b/>
        <sz val="10"/>
        <rFont val="Arial"/>
        <family val="2"/>
      </rPr>
      <t>Semana 10</t>
    </r>
  </si>
  <si>
    <r>
      <rPr>
        <b/>
        <sz val="10"/>
        <rFont val="Arial"/>
        <family val="2"/>
      </rPr>
      <t>Semana 11</t>
    </r>
  </si>
  <si>
    <r>
      <rPr>
        <b/>
        <sz val="10"/>
        <rFont val="Arial"/>
        <family val="2"/>
      </rPr>
      <t>Semana 12</t>
    </r>
  </si>
  <si>
    <t>Fidel Eduardo</t>
  </si>
  <si>
    <t>Barreat Lemoine</t>
  </si>
  <si>
    <t>Carlos Eduardo</t>
  </si>
  <si>
    <t>Bastidas Sulvaran</t>
  </si>
  <si>
    <t>Jhorman</t>
  </si>
  <si>
    <t>Bloom</t>
  </si>
  <si>
    <t>Stefano</t>
  </si>
  <si>
    <t>Boschetti</t>
  </si>
  <si>
    <t>Paula</t>
  </si>
  <si>
    <t>Briceño</t>
  </si>
  <si>
    <t>Adolfo Alexander</t>
  </si>
  <si>
    <t>Castillo Hernández</t>
  </si>
  <si>
    <t>Eduardo</t>
  </si>
  <si>
    <t>Curiel Elizondo</t>
  </si>
  <si>
    <t>Daniel Antonio</t>
  </si>
  <si>
    <t>De Oliveira Beñose</t>
  </si>
  <si>
    <t>Rodrigo</t>
  </si>
  <si>
    <t>Di Giulio</t>
  </si>
  <si>
    <t>Rodrigo Ignacio</t>
  </si>
  <si>
    <t>Egaña Urdaneta</t>
  </si>
  <si>
    <t>Francisco</t>
  </si>
  <si>
    <t>Fustero</t>
  </si>
  <si>
    <t>Angelo Johan</t>
  </si>
  <si>
    <t>Guerrero Pilligua</t>
  </si>
  <si>
    <t>Sofía Cristina</t>
  </si>
  <si>
    <t>León Sevilla</t>
  </si>
  <si>
    <t>Ricardo</t>
  </si>
  <si>
    <t>Machado</t>
  </si>
  <si>
    <t>Juan</t>
  </si>
  <si>
    <t>Martín</t>
  </si>
  <si>
    <t>David Alejandro</t>
  </si>
  <si>
    <t>Mavares Delgado</t>
  </si>
  <si>
    <t>David</t>
  </si>
  <si>
    <t>Mayora</t>
  </si>
  <si>
    <t>Miguel Alejandro</t>
  </si>
  <si>
    <t>Menéndez Stea</t>
  </si>
  <si>
    <t>Gustavo Elías</t>
  </si>
  <si>
    <t>Mérida Pérez</t>
  </si>
  <si>
    <t>Vincenzo Daniele</t>
  </si>
  <si>
    <t>Miraglia Lagrutta</t>
  </si>
  <si>
    <t>Samuel</t>
  </si>
  <si>
    <t>Moreno</t>
  </si>
  <si>
    <t>Isabella</t>
  </si>
  <si>
    <t>Pereira</t>
  </si>
  <si>
    <t>Vincent</t>
  </si>
  <si>
    <t>Pérez</t>
  </si>
  <si>
    <t>Andrés Ignacio</t>
  </si>
  <si>
    <t>Pérez Puelles De Faria</t>
  </si>
  <si>
    <t>Arianne</t>
  </si>
  <si>
    <t>Perret Gentil</t>
  </si>
  <si>
    <t>Guillermo Enrique</t>
  </si>
  <si>
    <t>Pinzón Quero</t>
  </si>
  <si>
    <t>Víctor Ernesto</t>
  </si>
  <si>
    <t>Pointud Torres</t>
  </si>
  <si>
    <t>Christian</t>
  </si>
  <si>
    <t>Ramos</t>
  </si>
  <si>
    <t xml:space="preserve">martes </t>
  </si>
  <si>
    <t>jueves</t>
  </si>
  <si>
    <t>m</t>
  </si>
  <si>
    <t>j</t>
  </si>
  <si>
    <t>,m</t>
  </si>
  <si>
    <t>Computación Emergente</t>
  </si>
  <si>
    <t>2526-1</t>
  </si>
  <si>
    <t>carnet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</si>
</sst>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 mmm"/>
  </numFmts>
  <fonts count="16">
    <font>
      <sz val="10"/>
      <color rgb="FF000000"/>
      <name val="Arial"/>
      <scheme val="minor"/>
    </font>
    <font>
      <b/>
      <sz val="11"/>
      <color theme="1"/>
      <name val="&quot;Century Gothic&quot;"/>
    </font>
    <font>
      <b/>
      <sz val="11"/>
      <color rgb="FFFF0000"/>
      <name val="&quot;Century Gothic&quot;"/>
    </font>
    <font>
      <sz val="10"/>
      <color theme="1"/>
      <name val="Arial"/>
      <family val="2"/>
      <scheme val="minor"/>
    </font>
    <font>
      <b/>
      <sz val="11"/>
      <color rgb="FFFFFFFF"/>
      <name val="&quot;Century Gothic&quot;"/>
    </font>
    <font>
      <b/>
      <sz val="10"/>
      <color rgb="FFFFFFFF"/>
      <name val="Arial"/>
      <family val="2"/>
      <scheme val="minor"/>
    </font>
    <font>
      <u/>
      <sz val="11"/>
      <color rgb="FF0000FF"/>
      <name val="&quot;Century Gothic&quot;"/>
    </font>
    <font>
      <sz val="11"/>
      <color rgb="FF1D2125"/>
      <name val="&quot;Century Gothic&quot;"/>
    </font>
    <font>
      <b/>
      <u/>
      <sz val="11"/>
      <color rgb="FF0000FF"/>
      <name val="&quot;Century Gothic&quot;"/>
    </font>
    <font>
      <u/>
      <sz val="11"/>
      <color rgb="FF1155CC"/>
      <name val="Arial"/>
      <family val="2"/>
      <scheme val="minor"/>
    </font>
    <font>
      <b/>
      <u/>
      <sz val="11"/>
      <color rgb="FF1155CC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11"/>
      <color rgb="FF000000"/>
      <name val="&quot;Century Gothic&quot;"/>
    </font>
    <font>
      <b/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E8E7FC"/>
        <bgColor rgb="FFE8E7FC"/>
      </patternFill>
    </fill>
  </fills>
  <borders count="3">
    <border>
      <left/>
      <right/>
      <top/>
      <bottom/>
      <diagonal/>
    </border>
    <border>
      <left/>
      <right/>
      <top style="thin">
        <color rgb="FFDEE2E6"/>
      </top>
      <bottom style="medium">
        <color rgb="FFDEE2E6"/>
      </bottom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  <xf numFmtId="16" fontId="4" fillId="0" borderId="1" xfId="0" applyNumberFormat="1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2" fontId="3" fillId="0" borderId="0" xfId="0" applyNumberFormat="1" applyFont="1"/>
    <xf numFmtId="0" fontId="8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left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0" borderId="0" xfId="0" applyFont="1"/>
    <xf numFmtId="164" fontId="14" fillId="0" borderId="0" xfId="0" applyNumberFormat="1" applyFont="1" applyAlignment="1">
      <alignment horizontal="center"/>
    </xf>
    <xf numFmtId="9" fontId="3" fillId="4" borderId="0" xfId="0" applyNumberFormat="1" applyFont="1" applyFill="1"/>
    <xf numFmtId="9" fontId="3" fillId="2" borderId="0" xfId="0" applyNumberFormat="1" applyFont="1" applyFill="1"/>
    <xf numFmtId="2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7" fillId="4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</dxfs>
  <tableStyles count="2">
    <tableStyle name="Intervencione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Lectura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1" displayName="Table_1" ref="A2:S30" headerRowCount="0">
  <tableColumns count="19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</tableColumns>
  <tableStyleInfo name="Intervenciones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681C32-81E2-544D-B659-9E36FF728BA5}">
  <we:reference id="11d7cf85-ae5a-43b8-bc58-1e1a151cce24" version="1.0.0.1" store="EXCatalog" storeType="EXCatalog"/>
  <we:alternateReferences>
    <we:reference id="WA200010725" version="1.0.0.1" store="es-MX" storeType="OMEX"/>
  </we:alternateReferences>
  <we:properties>
    <we:property name="claude.fileId" value="&quot;0f138dd1-1353-459b-b4cb-bd2f0b63cff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lasvirtuales.unimet.edu.ve/user/view.php?id=1275&amp;course=2710" TargetMode="External"/><Relationship Id="rId13" Type="http://schemas.openxmlformats.org/officeDocument/2006/relationships/hyperlink" Target="https://aulasvirtuales.unimet.edu.ve/user/view.php?id=7938&amp;course=2710" TargetMode="External"/><Relationship Id="rId18" Type="http://schemas.openxmlformats.org/officeDocument/2006/relationships/hyperlink" Target="https://aulasvirtuales.unimet.edu.ve/user/view.php?id=7425&amp;course=2710" TargetMode="External"/><Relationship Id="rId26" Type="http://schemas.openxmlformats.org/officeDocument/2006/relationships/hyperlink" Target="https://aulasvirtuales.unimet.edu.ve/user/view.php?id=3188&amp;course=2710" TargetMode="External"/><Relationship Id="rId3" Type="http://schemas.openxmlformats.org/officeDocument/2006/relationships/hyperlink" Target="https://aulasvirtuales.unimet.edu.ve/user/view.php?id=1527&amp;course=2710" TargetMode="External"/><Relationship Id="rId21" Type="http://schemas.openxmlformats.org/officeDocument/2006/relationships/hyperlink" Target="https://aulasvirtuales.unimet.edu.ve/user/view.php?id=3964&amp;course=2710" TargetMode="External"/><Relationship Id="rId7" Type="http://schemas.openxmlformats.org/officeDocument/2006/relationships/hyperlink" Target="https://aulasvirtuales.unimet.edu.ve/user/view.php?id=5504&amp;course=2710" TargetMode="External"/><Relationship Id="rId12" Type="http://schemas.openxmlformats.org/officeDocument/2006/relationships/hyperlink" Target="https://aulasvirtuales.unimet.edu.ve/user/view.php?id=10191&amp;course=2710" TargetMode="External"/><Relationship Id="rId17" Type="http://schemas.openxmlformats.org/officeDocument/2006/relationships/hyperlink" Target="https://aulasvirtuales.unimet.edu.ve/user/view.php?id=9172&amp;course=2710" TargetMode="External"/><Relationship Id="rId25" Type="http://schemas.openxmlformats.org/officeDocument/2006/relationships/hyperlink" Target="https://aulasvirtuales.unimet.edu.ve/user/view.php?id=4336&amp;course=2710" TargetMode="External"/><Relationship Id="rId2" Type="http://schemas.openxmlformats.org/officeDocument/2006/relationships/hyperlink" Target="https://aulasvirtuales.unimet.edu.ve/user/view.php?id=10041&amp;course=2710" TargetMode="External"/><Relationship Id="rId16" Type="http://schemas.openxmlformats.org/officeDocument/2006/relationships/hyperlink" Target="https://aulasvirtuales.unimet.edu.ve/user/view.php?id=10298&amp;course=2710" TargetMode="External"/><Relationship Id="rId20" Type="http://schemas.openxmlformats.org/officeDocument/2006/relationships/hyperlink" Target="https://aulasvirtuales.unimet.edu.ve/user/view.php?id=8697&amp;course=2710" TargetMode="External"/><Relationship Id="rId29" Type="http://schemas.openxmlformats.org/officeDocument/2006/relationships/table" Target="../tables/table1.xml"/><Relationship Id="rId1" Type="http://schemas.openxmlformats.org/officeDocument/2006/relationships/hyperlink" Target="https://aulasvirtuales.unimet.edu.ve/user/view.php?id=2392&amp;course=2710" TargetMode="External"/><Relationship Id="rId6" Type="http://schemas.openxmlformats.org/officeDocument/2006/relationships/hyperlink" Target="https://aulasvirtuales.unimet.edu.ve/user/view.php?id=7104&amp;course=2710" TargetMode="External"/><Relationship Id="rId11" Type="http://schemas.openxmlformats.org/officeDocument/2006/relationships/hyperlink" Target="https://aulasvirtuales.unimet.edu.ve/user/view.php?id=1281&amp;course=2710" TargetMode="External"/><Relationship Id="rId24" Type="http://schemas.openxmlformats.org/officeDocument/2006/relationships/hyperlink" Target="https://aulasvirtuales.unimet.edu.ve/user/view.php?id=4483&amp;course=2710" TargetMode="External"/><Relationship Id="rId5" Type="http://schemas.openxmlformats.org/officeDocument/2006/relationships/hyperlink" Target="https://aulasvirtuales.unimet.edu.ve/user/view.php?id=8729&amp;course=2710" TargetMode="External"/><Relationship Id="rId15" Type="http://schemas.openxmlformats.org/officeDocument/2006/relationships/hyperlink" Target="https://aulasvirtuales.unimet.edu.ve/user/view.php?id=3052&amp;course=2710" TargetMode="External"/><Relationship Id="rId23" Type="http://schemas.openxmlformats.org/officeDocument/2006/relationships/hyperlink" Target="https://aulasvirtuales.unimet.edu.ve/user/view.php?id=19595&amp;course=2710" TargetMode="External"/><Relationship Id="rId28" Type="http://schemas.openxmlformats.org/officeDocument/2006/relationships/hyperlink" Target="https://aulasvirtuales.unimet.edu.ve/user/view.php?id=18737&amp;course=2710" TargetMode="External"/><Relationship Id="rId10" Type="http://schemas.openxmlformats.org/officeDocument/2006/relationships/hyperlink" Target="https://aulasvirtuales.unimet.edu.ve/user/view.php?id=3705&amp;course=2710" TargetMode="External"/><Relationship Id="rId19" Type="http://schemas.openxmlformats.org/officeDocument/2006/relationships/hyperlink" Target="https://aulasvirtuales.unimet.edu.ve/user/view.php?id=8365&amp;course=2710" TargetMode="External"/><Relationship Id="rId4" Type="http://schemas.openxmlformats.org/officeDocument/2006/relationships/hyperlink" Target="https://aulasvirtuales.unimet.edu.ve/user/view.php?id=11443&amp;course=2710" TargetMode="External"/><Relationship Id="rId9" Type="http://schemas.openxmlformats.org/officeDocument/2006/relationships/hyperlink" Target="https://aulasvirtuales.unimet.edu.ve/user/view.php?id=9803&amp;course=2710" TargetMode="External"/><Relationship Id="rId14" Type="http://schemas.openxmlformats.org/officeDocument/2006/relationships/hyperlink" Target="https://aulasvirtuales.unimet.edu.ve/user/view.php?id=7568&amp;course=2710" TargetMode="External"/><Relationship Id="rId22" Type="http://schemas.openxmlformats.org/officeDocument/2006/relationships/hyperlink" Target="https://aulasvirtuales.unimet.edu.ve/user/view.php?id=7046&amp;course=2710" TargetMode="External"/><Relationship Id="rId27" Type="http://schemas.openxmlformats.org/officeDocument/2006/relationships/hyperlink" Target="https://aulasvirtuales.unimet.edu.ve/user/view.php?id=4444&amp;course=2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3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3" sqref="G33"/>
    </sheetView>
  </sheetViews>
  <sheetFormatPr baseColWidth="10" defaultColWidth="12.6640625" defaultRowHeight="15.75" customHeight="1"/>
  <cols>
    <col min="1" max="1" width="35.1640625" customWidth="1"/>
    <col min="2" max="2" width="9.1640625" customWidth="1"/>
    <col min="3" max="13" width="7.1640625" customWidth="1"/>
    <col min="14" max="14" width="9.83203125" customWidth="1"/>
    <col min="15" max="16" width="7.1640625" customWidth="1"/>
    <col min="17" max="17" width="6.6640625" customWidth="1"/>
    <col min="18" max="18" width="12" customWidth="1"/>
  </cols>
  <sheetData>
    <row r="1" spans="1:19" ht="15">
      <c r="B1" s="1"/>
      <c r="C1" s="25" t="s">
        <v>0</v>
      </c>
      <c r="D1" s="24"/>
      <c r="E1" s="25" t="s">
        <v>1</v>
      </c>
      <c r="F1" s="24"/>
      <c r="G1" s="25" t="s">
        <v>2</v>
      </c>
      <c r="H1" s="24"/>
      <c r="I1" s="1" t="s">
        <v>3</v>
      </c>
      <c r="J1" s="1" t="s">
        <v>4</v>
      </c>
      <c r="K1" s="1" t="s">
        <v>5</v>
      </c>
      <c r="L1" s="25" t="s">
        <v>6</v>
      </c>
      <c r="M1" s="24"/>
      <c r="N1" s="1" t="s">
        <v>7</v>
      </c>
      <c r="O1" s="1" t="s">
        <v>8</v>
      </c>
      <c r="P1" s="1" t="s">
        <v>9</v>
      </c>
      <c r="Q1" s="2" t="s">
        <v>10</v>
      </c>
    </row>
    <row r="2" spans="1:19" ht="15">
      <c r="A2" s="3" t="s">
        <v>11</v>
      </c>
      <c r="B2" s="3" t="s">
        <v>12</v>
      </c>
      <c r="C2" s="4">
        <v>45909</v>
      </c>
      <c r="D2" s="4">
        <v>45911</v>
      </c>
      <c r="E2" s="4">
        <v>45916</v>
      </c>
      <c r="F2" s="4">
        <v>45918</v>
      </c>
      <c r="G2" s="4">
        <v>45923</v>
      </c>
      <c r="H2" s="4">
        <v>45925</v>
      </c>
      <c r="I2" s="4">
        <v>45930</v>
      </c>
      <c r="J2" s="4">
        <v>45939</v>
      </c>
      <c r="K2" s="4">
        <v>45944</v>
      </c>
      <c r="L2" s="4">
        <v>45951</v>
      </c>
      <c r="M2" s="4">
        <v>45953</v>
      </c>
      <c r="N2" s="5" t="s">
        <v>120</v>
      </c>
      <c r="O2" s="5" t="s">
        <v>121</v>
      </c>
      <c r="P2" s="5" t="s">
        <v>120</v>
      </c>
      <c r="Q2" s="20" t="s">
        <v>122</v>
      </c>
      <c r="R2" s="6" t="s">
        <v>13</v>
      </c>
      <c r="S2" s="6" t="s">
        <v>14</v>
      </c>
    </row>
    <row r="3" spans="1:19" ht="15.75" customHeight="1">
      <c r="A3" s="7" t="s">
        <v>15</v>
      </c>
      <c r="B3" s="8">
        <v>26739759</v>
      </c>
      <c r="C3" s="9"/>
      <c r="D3" s="9">
        <v>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  <c r="R3" s="11">
        <f>SUM(C3:Q3)</f>
        <v>1</v>
      </c>
      <c r="S3" s="11">
        <f t="shared" ref="S3:S30" si="0">IF(R3=0,"",R3*5)</f>
        <v>5</v>
      </c>
    </row>
    <row r="4" spans="1:19" ht="15">
      <c r="A4" s="12" t="s">
        <v>16</v>
      </c>
      <c r="B4" s="8">
        <v>30612950</v>
      </c>
      <c r="C4" s="9"/>
      <c r="D4" s="9"/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11">
        <f t="shared" ref="R4:R30" si="1">SUM(C4:Q4)</f>
        <v>13</v>
      </c>
      <c r="S4" s="11">
        <f t="shared" si="0"/>
        <v>65</v>
      </c>
    </row>
    <row r="5" spans="1:19" ht="15.75" customHeight="1">
      <c r="A5" s="7" t="s">
        <v>17</v>
      </c>
      <c r="B5" s="8">
        <v>25947729</v>
      </c>
      <c r="C5" s="9"/>
      <c r="D5" s="9"/>
      <c r="E5" s="9"/>
      <c r="F5" s="9"/>
      <c r="G5" s="9"/>
      <c r="H5" s="9">
        <v>1</v>
      </c>
      <c r="I5" s="9"/>
      <c r="J5" s="9"/>
      <c r="K5" s="9"/>
      <c r="L5" s="9"/>
      <c r="M5" s="9"/>
      <c r="N5" s="9"/>
      <c r="O5" s="9"/>
      <c r="P5" s="9"/>
      <c r="Q5" s="10"/>
      <c r="R5" s="11">
        <f t="shared" si="1"/>
        <v>1</v>
      </c>
      <c r="S5" s="11">
        <f t="shared" si="0"/>
        <v>5</v>
      </c>
    </row>
    <row r="6" spans="1:19" ht="15.75" customHeight="1">
      <c r="A6" s="7" t="s">
        <v>18</v>
      </c>
      <c r="B6" s="8">
        <v>30124314</v>
      </c>
      <c r="C6" s="9"/>
      <c r="D6" s="9"/>
      <c r="E6" s="9">
        <v>1</v>
      </c>
      <c r="F6" s="9"/>
      <c r="G6" s="9"/>
      <c r="H6" s="9"/>
      <c r="I6" s="9"/>
      <c r="J6" s="9">
        <v>2</v>
      </c>
      <c r="K6" s="9"/>
      <c r="L6" s="9"/>
      <c r="M6" s="9"/>
      <c r="N6" s="9"/>
      <c r="O6" s="9"/>
      <c r="P6" s="9"/>
      <c r="Q6" s="10"/>
      <c r="R6" s="11">
        <f t="shared" si="1"/>
        <v>3</v>
      </c>
      <c r="S6" s="11">
        <f t="shared" si="0"/>
        <v>15</v>
      </c>
    </row>
    <row r="7" spans="1:19" ht="15">
      <c r="A7" s="12" t="s">
        <v>19</v>
      </c>
      <c r="B7" s="8">
        <v>30673633</v>
      </c>
      <c r="C7" s="9"/>
      <c r="D7" s="9">
        <v>1</v>
      </c>
      <c r="E7" s="9"/>
      <c r="F7" s="9">
        <v>1</v>
      </c>
      <c r="G7" s="9">
        <v>2</v>
      </c>
      <c r="H7" s="9">
        <v>1</v>
      </c>
      <c r="I7" s="9"/>
      <c r="J7" s="9"/>
      <c r="K7" s="9">
        <v>1</v>
      </c>
      <c r="L7" s="9"/>
      <c r="M7" s="9">
        <v>1</v>
      </c>
      <c r="N7" s="9"/>
      <c r="O7" s="9">
        <v>1</v>
      </c>
      <c r="P7" s="9"/>
      <c r="Q7" s="10"/>
      <c r="R7" s="11">
        <f t="shared" si="1"/>
        <v>8</v>
      </c>
      <c r="S7" s="11">
        <f t="shared" si="0"/>
        <v>40</v>
      </c>
    </row>
    <row r="8" spans="1:19" ht="15">
      <c r="A8" s="12" t="s">
        <v>20</v>
      </c>
      <c r="B8" s="8">
        <v>30346847</v>
      </c>
      <c r="C8" s="9"/>
      <c r="D8" s="9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  <c r="R8" s="11">
        <f t="shared" si="1"/>
        <v>1</v>
      </c>
      <c r="S8" s="11">
        <f t="shared" si="0"/>
        <v>5</v>
      </c>
    </row>
    <row r="9" spans="1:19" ht="15">
      <c r="A9" s="12" t="s">
        <v>21</v>
      </c>
      <c r="B9" s="8">
        <v>27027053</v>
      </c>
      <c r="C9" s="9"/>
      <c r="D9" s="9"/>
      <c r="E9" s="9"/>
      <c r="F9" s="9"/>
      <c r="G9" s="9"/>
      <c r="H9" s="9">
        <v>1</v>
      </c>
      <c r="I9" s="9">
        <v>1</v>
      </c>
      <c r="J9" s="9"/>
      <c r="K9" s="9">
        <v>1</v>
      </c>
      <c r="L9" s="9">
        <v>1</v>
      </c>
      <c r="M9" s="9"/>
      <c r="N9" s="9"/>
      <c r="O9" s="9">
        <v>1</v>
      </c>
      <c r="P9" s="9"/>
      <c r="Q9" s="10"/>
      <c r="R9" s="11">
        <f t="shared" si="1"/>
        <v>5</v>
      </c>
      <c r="S9" s="11">
        <f t="shared" si="0"/>
        <v>25</v>
      </c>
    </row>
    <row r="10" spans="1:19" ht="15">
      <c r="A10" s="12" t="s">
        <v>22</v>
      </c>
      <c r="B10" s="8">
        <v>30085424</v>
      </c>
      <c r="C10" s="9"/>
      <c r="D10" s="9"/>
      <c r="E10" s="9"/>
      <c r="F10" s="9"/>
      <c r="G10" s="9"/>
      <c r="H10" s="9">
        <v>2</v>
      </c>
      <c r="I10" s="9">
        <v>1</v>
      </c>
      <c r="J10" s="9"/>
      <c r="K10" s="9"/>
      <c r="L10" s="9">
        <v>1</v>
      </c>
      <c r="M10" s="9"/>
      <c r="N10" s="9"/>
      <c r="O10" s="9"/>
      <c r="P10" s="9"/>
      <c r="Q10" s="10"/>
      <c r="R10" s="11">
        <f t="shared" si="1"/>
        <v>4</v>
      </c>
      <c r="S10" s="11">
        <f t="shared" si="0"/>
        <v>20</v>
      </c>
    </row>
    <row r="11" spans="1:19" ht="15">
      <c r="A11" s="12" t="s">
        <v>23</v>
      </c>
      <c r="B11" s="8">
        <v>30124807</v>
      </c>
      <c r="C11" s="9"/>
      <c r="D11" s="9">
        <v>1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2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11">
        <f t="shared" si="1"/>
        <v>15</v>
      </c>
      <c r="S11" s="11">
        <f t="shared" si="0"/>
        <v>75</v>
      </c>
    </row>
    <row r="12" spans="1:19" ht="15.75" customHeight="1">
      <c r="A12" s="7" t="s">
        <v>24</v>
      </c>
      <c r="B12" s="8">
        <v>29625816</v>
      </c>
      <c r="C12" s="9"/>
      <c r="D12" s="9"/>
      <c r="E12" s="9"/>
      <c r="F12" s="9"/>
      <c r="G12" s="9"/>
      <c r="H12" s="9"/>
      <c r="I12" s="9"/>
      <c r="J12" s="9"/>
      <c r="K12" s="9">
        <v>1</v>
      </c>
      <c r="L12" s="9"/>
      <c r="M12" s="9"/>
      <c r="N12" s="9"/>
      <c r="O12" s="9"/>
      <c r="P12" s="9"/>
      <c r="Q12" s="10"/>
      <c r="R12" s="11">
        <f t="shared" si="1"/>
        <v>1</v>
      </c>
      <c r="S12" s="11">
        <f t="shared" si="0"/>
        <v>5</v>
      </c>
    </row>
    <row r="13" spans="1:19" ht="15">
      <c r="A13" s="12" t="s">
        <v>25</v>
      </c>
      <c r="B13" s="8">
        <v>28058651</v>
      </c>
      <c r="C13" s="9">
        <v>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10"/>
      <c r="R13" s="11">
        <f t="shared" si="1"/>
        <v>1</v>
      </c>
      <c r="S13" s="11">
        <f t="shared" si="0"/>
        <v>5</v>
      </c>
    </row>
    <row r="14" spans="1:19" ht="15">
      <c r="A14" s="12" t="s">
        <v>26</v>
      </c>
      <c r="B14" s="8">
        <v>30358221</v>
      </c>
      <c r="C14" s="9"/>
      <c r="D14" s="9"/>
      <c r="E14" s="9"/>
      <c r="F14" s="9">
        <v>1</v>
      </c>
      <c r="G14" s="9">
        <v>1</v>
      </c>
      <c r="H14" s="9"/>
      <c r="I14" s="9">
        <v>1</v>
      </c>
      <c r="J14" s="9"/>
      <c r="K14" s="9"/>
      <c r="L14" s="9"/>
      <c r="M14" s="9">
        <v>1</v>
      </c>
      <c r="N14" s="9"/>
      <c r="O14" s="9"/>
      <c r="P14" s="9"/>
      <c r="Q14" s="10"/>
      <c r="R14" s="11">
        <f t="shared" si="1"/>
        <v>4</v>
      </c>
      <c r="S14" s="11">
        <f t="shared" si="0"/>
        <v>20</v>
      </c>
    </row>
    <row r="15" spans="1:19" ht="15">
      <c r="A15" s="12" t="s">
        <v>27</v>
      </c>
      <c r="B15" s="8">
        <v>30932824</v>
      </c>
      <c r="C15" s="9"/>
      <c r="D15" s="9">
        <v>1</v>
      </c>
      <c r="E15" s="9">
        <v>1</v>
      </c>
      <c r="F15" s="9"/>
      <c r="G15" s="9"/>
      <c r="H15" s="9">
        <v>1</v>
      </c>
      <c r="I15" s="9">
        <v>1</v>
      </c>
      <c r="J15" s="9">
        <v>2</v>
      </c>
      <c r="K15" s="9">
        <v>1</v>
      </c>
      <c r="L15" s="9"/>
      <c r="M15" s="9"/>
      <c r="N15" s="9">
        <v>1</v>
      </c>
      <c r="O15" s="9"/>
      <c r="P15" s="9"/>
      <c r="Q15" s="10"/>
      <c r="R15" s="11">
        <f t="shared" si="1"/>
        <v>8</v>
      </c>
      <c r="S15" s="11">
        <f t="shared" si="0"/>
        <v>40</v>
      </c>
    </row>
    <row r="16" spans="1:19" ht="15">
      <c r="A16" s="12" t="s">
        <v>28</v>
      </c>
      <c r="B16" s="8">
        <v>30687748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0"/>
      <c r="R16" s="11">
        <f t="shared" si="1"/>
        <v>0</v>
      </c>
      <c r="S16" s="11" t="str">
        <f t="shared" si="0"/>
        <v/>
      </c>
    </row>
    <row r="17" spans="1:19" ht="15.75" customHeight="1">
      <c r="A17" s="7" t="s">
        <v>29</v>
      </c>
      <c r="B17" s="8">
        <v>29577475</v>
      </c>
      <c r="C17" s="9"/>
      <c r="D17" s="9"/>
      <c r="E17" s="9">
        <v>1</v>
      </c>
      <c r="F17" s="9">
        <v>1</v>
      </c>
      <c r="G17" s="9">
        <v>1</v>
      </c>
      <c r="H17" s="9">
        <v>2</v>
      </c>
      <c r="I17" s="9"/>
      <c r="J17" s="9"/>
      <c r="K17" s="9"/>
      <c r="L17" s="9"/>
      <c r="M17" s="9"/>
      <c r="N17" s="9"/>
      <c r="O17" s="9"/>
      <c r="P17" s="9"/>
      <c r="Q17" s="10"/>
      <c r="R17" s="11">
        <f t="shared" si="1"/>
        <v>5</v>
      </c>
      <c r="S17" s="11">
        <f t="shared" si="0"/>
        <v>25</v>
      </c>
    </row>
    <row r="18" spans="1:19" ht="15.75" customHeight="1">
      <c r="A18" s="7" t="s">
        <v>30</v>
      </c>
      <c r="B18" s="8">
        <v>30821945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10"/>
      <c r="R18" s="11">
        <f t="shared" si="1"/>
        <v>0</v>
      </c>
      <c r="S18" s="11" t="str">
        <f t="shared" si="0"/>
        <v/>
      </c>
    </row>
    <row r="19" spans="1:19" ht="15">
      <c r="A19" s="12" t="s">
        <v>31</v>
      </c>
      <c r="B19" s="8">
        <v>24843496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10"/>
      <c r="R19" s="11">
        <f t="shared" si="1"/>
        <v>0</v>
      </c>
      <c r="S19" s="11" t="str">
        <f t="shared" si="0"/>
        <v/>
      </c>
    </row>
    <row r="20" spans="1:19" ht="15.75" customHeight="1">
      <c r="A20" s="7" t="s">
        <v>32</v>
      </c>
      <c r="B20" s="8">
        <v>30497106</v>
      </c>
      <c r="C20" s="9"/>
      <c r="D20" s="9"/>
      <c r="E20" s="9"/>
      <c r="F20" s="9"/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3</v>
      </c>
      <c r="O20" s="9">
        <v>1</v>
      </c>
      <c r="P20" s="9">
        <v>1</v>
      </c>
      <c r="Q20" s="9">
        <v>1</v>
      </c>
      <c r="R20" s="11">
        <f t="shared" si="1"/>
        <v>13</v>
      </c>
      <c r="S20" s="11">
        <f t="shared" si="0"/>
        <v>65</v>
      </c>
    </row>
    <row r="21" spans="1:19" ht="15">
      <c r="A21" s="12" t="s">
        <v>33</v>
      </c>
      <c r="B21" s="8">
        <v>29948276</v>
      </c>
      <c r="C21" s="9"/>
      <c r="D21" s="9"/>
      <c r="E21" s="9"/>
      <c r="F21" s="9"/>
      <c r="G21" s="9"/>
      <c r="H21" s="9"/>
      <c r="I21" s="9"/>
      <c r="J21" s="9"/>
      <c r="K21" s="9"/>
      <c r="L21" s="9">
        <v>1</v>
      </c>
      <c r="M21" s="9"/>
      <c r="N21" s="9"/>
      <c r="O21" s="9">
        <v>1</v>
      </c>
      <c r="P21" s="9"/>
      <c r="Q21" s="10"/>
      <c r="R21" s="11">
        <f t="shared" si="1"/>
        <v>2</v>
      </c>
      <c r="S21" s="11">
        <f t="shared" si="0"/>
        <v>10</v>
      </c>
    </row>
    <row r="22" spans="1:19" ht="15.75" customHeight="1">
      <c r="A22" s="7" t="s">
        <v>34</v>
      </c>
      <c r="B22" s="8">
        <v>30612888</v>
      </c>
      <c r="C22" s="9"/>
      <c r="D22" s="9"/>
      <c r="E22" s="9">
        <v>1</v>
      </c>
      <c r="F22" s="9"/>
      <c r="G22" s="9">
        <v>2</v>
      </c>
      <c r="H22" s="9">
        <v>1</v>
      </c>
      <c r="I22" s="9">
        <v>1</v>
      </c>
      <c r="J22" s="9">
        <v>2</v>
      </c>
      <c r="K22" s="9"/>
      <c r="L22" s="9">
        <v>1</v>
      </c>
      <c r="M22" s="9">
        <v>1</v>
      </c>
      <c r="N22" s="9">
        <v>1</v>
      </c>
      <c r="O22" s="9">
        <v>1</v>
      </c>
      <c r="P22" s="9">
        <v>1</v>
      </c>
      <c r="Q22" s="9">
        <v>1</v>
      </c>
      <c r="R22" s="11">
        <f t="shared" si="1"/>
        <v>13</v>
      </c>
      <c r="S22" s="11">
        <f t="shared" si="0"/>
        <v>65</v>
      </c>
    </row>
    <row r="23" spans="1:19" ht="15">
      <c r="A23" s="12" t="s">
        <v>35</v>
      </c>
      <c r="B23" s="8">
        <v>29533663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0"/>
      <c r="R23" s="11">
        <f t="shared" si="1"/>
        <v>0</v>
      </c>
      <c r="S23" s="11" t="str">
        <f t="shared" si="0"/>
        <v/>
      </c>
    </row>
    <row r="24" spans="1:19" ht="15.75" customHeight="1">
      <c r="A24" s="7" t="s">
        <v>36</v>
      </c>
      <c r="B24" s="8">
        <v>30142697</v>
      </c>
      <c r="C24" s="9"/>
      <c r="D24" s="9"/>
      <c r="E24" s="9"/>
      <c r="F24" s="9"/>
      <c r="G24" s="9"/>
      <c r="H24" s="9">
        <v>1</v>
      </c>
      <c r="I24" s="9"/>
      <c r="J24" s="9"/>
      <c r="K24" s="9"/>
      <c r="L24" s="9"/>
      <c r="M24" s="9"/>
      <c r="N24" s="9"/>
      <c r="O24" s="9"/>
      <c r="P24" s="9"/>
      <c r="Q24" s="10"/>
      <c r="R24" s="11">
        <f t="shared" si="1"/>
        <v>1</v>
      </c>
      <c r="S24" s="11">
        <f t="shared" si="0"/>
        <v>5</v>
      </c>
    </row>
    <row r="25" spans="1:19" ht="15.75" customHeight="1">
      <c r="A25" s="7" t="s">
        <v>37</v>
      </c>
      <c r="B25" s="8">
        <v>19820976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0"/>
      <c r="R25" s="11">
        <f t="shared" si="1"/>
        <v>0</v>
      </c>
      <c r="S25" s="11" t="str">
        <f t="shared" si="0"/>
        <v/>
      </c>
    </row>
    <row r="26" spans="1:19" ht="15">
      <c r="A26" s="12" t="s">
        <v>38</v>
      </c>
      <c r="B26" s="8">
        <v>30142131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0"/>
      <c r="R26" s="11">
        <f t="shared" si="1"/>
        <v>0</v>
      </c>
      <c r="S26" s="11" t="str">
        <f t="shared" si="0"/>
        <v/>
      </c>
    </row>
    <row r="27" spans="1:19" ht="15">
      <c r="A27" s="12" t="s">
        <v>39</v>
      </c>
      <c r="B27" s="8">
        <v>29965689</v>
      </c>
      <c r="C27" s="9"/>
      <c r="D27" s="9"/>
      <c r="E27" s="9"/>
      <c r="F27" s="9"/>
      <c r="G27" s="9"/>
      <c r="H27" s="9">
        <v>1</v>
      </c>
      <c r="I27" s="9"/>
      <c r="J27" s="9"/>
      <c r="K27" s="9"/>
      <c r="L27" s="9"/>
      <c r="M27" s="9"/>
      <c r="N27" s="9"/>
      <c r="O27" s="9"/>
      <c r="P27" s="9"/>
      <c r="Q27" s="10"/>
      <c r="R27" s="11">
        <f t="shared" si="1"/>
        <v>1</v>
      </c>
      <c r="S27" s="11">
        <f t="shared" si="0"/>
        <v>5</v>
      </c>
    </row>
    <row r="28" spans="1:19" ht="15">
      <c r="A28" s="12" t="s">
        <v>40</v>
      </c>
      <c r="B28" s="8">
        <v>27790060</v>
      </c>
      <c r="C28" s="9"/>
      <c r="D28" s="9"/>
      <c r="E28" s="9"/>
      <c r="F28" s="9"/>
      <c r="G28" s="9">
        <v>1</v>
      </c>
      <c r="H28" s="9"/>
      <c r="I28" s="9"/>
      <c r="J28" s="9"/>
      <c r="K28" s="9"/>
      <c r="L28" s="9"/>
      <c r="M28" s="9"/>
      <c r="N28" s="9"/>
      <c r="O28" s="9"/>
      <c r="P28" s="9"/>
      <c r="Q28" s="10"/>
      <c r="R28" s="11">
        <f t="shared" si="1"/>
        <v>1</v>
      </c>
      <c r="S28" s="11">
        <f t="shared" si="0"/>
        <v>5</v>
      </c>
    </row>
    <row r="29" spans="1:19" ht="15.75" customHeight="1">
      <c r="A29" s="7" t="s">
        <v>41</v>
      </c>
      <c r="B29" s="8">
        <v>30124022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11">
        <f t="shared" si="1"/>
        <v>0</v>
      </c>
      <c r="S29" s="11" t="str">
        <f t="shared" si="0"/>
        <v/>
      </c>
    </row>
    <row r="30" spans="1:19" ht="15.75" customHeight="1">
      <c r="A30" s="7" t="s">
        <v>42</v>
      </c>
      <c r="B30" s="8">
        <v>28317519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11">
        <f t="shared" si="1"/>
        <v>0</v>
      </c>
      <c r="S30" s="11" t="str">
        <f t="shared" si="0"/>
        <v/>
      </c>
    </row>
    <row r="31" spans="1:19" ht="15.75" customHeight="1">
      <c r="R31" s="23"/>
    </row>
  </sheetData>
  <mergeCells count="4">
    <mergeCell ref="C1:D1"/>
    <mergeCell ref="E1:F1"/>
    <mergeCell ref="G1:H1"/>
    <mergeCell ref="L1:M1"/>
  </mergeCells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19" r:id="rId17" xr:uid="{00000000-0004-0000-0100-000010000000}"/>
    <hyperlink ref="A20" r:id="rId18" xr:uid="{00000000-0004-0000-0100-000011000000}"/>
    <hyperlink ref="A21" r:id="rId19" xr:uid="{00000000-0004-0000-0100-000012000000}"/>
    <hyperlink ref="A22" r:id="rId20" xr:uid="{00000000-0004-0000-0100-000013000000}"/>
    <hyperlink ref="A23" r:id="rId21" xr:uid="{00000000-0004-0000-0100-000014000000}"/>
    <hyperlink ref="A24" r:id="rId22" xr:uid="{00000000-0004-0000-0100-000015000000}"/>
    <hyperlink ref="A25" r:id="rId23" xr:uid="{00000000-0004-0000-0100-000016000000}"/>
    <hyperlink ref="A26" r:id="rId24" xr:uid="{00000000-0004-0000-0100-000017000000}"/>
    <hyperlink ref="A27" r:id="rId25" xr:uid="{00000000-0004-0000-0100-000018000000}"/>
    <hyperlink ref="A28" r:id="rId26" xr:uid="{00000000-0004-0000-0100-000019000000}"/>
    <hyperlink ref="A29" r:id="rId27" xr:uid="{00000000-0004-0000-0100-00001A000000}"/>
    <hyperlink ref="A30" r:id="rId28" xr:uid="{00000000-0004-0000-0100-00001B000000}"/>
  </hyperlinks>
  <pageMargins left="0.7" right="0.7" top="0.75" bottom="0.75" header="0.3" footer="0.3"/>
  <tableParts count="1"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4"/>
  <sheetViews>
    <sheetView tabSelected="1" workbookViewId="0">
      <selection activeCell="E23" sqref="E23"/>
    </sheetView>
  </sheetViews>
  <sheetFormatPr baseColWidth="10" defaultColWidth="8.83203125" defaultRowHeight="13"/>
  <cols>
    <col min="1" max="5" width="16" customWidth="1"/>
    <col min="6" max="29" width="9" customWidth="1"/>
  </cols>
  <sheetData>
    <row r="1" spans="1:30">
      <c r="A1" t="s">
        <v>43</v>
      </c>
      <c r="B1" s="19" t="s">
        <v>123</v>
      </c>
    </row>
    <row r="2" spans="1:30">
      <c r="A2" t="s">
        <v>44</v>
      </c>
      <c r="B2" s="19" t="s">
        <v>124</v>
      </c>
    </row>
    <row r="3" spans="1:30">
      <c r="A3" t="s">
        <v>45</v>
      </c>
      <c r="B3">
        <v>1</v>
      </c>
    </row>
    <row r="5" spans="1:30">
      <c r="A5" s="24" t="s">
        <v>46</v>
      </c>
      <c r="B5" s="24" t="s">
        <v>47</v>
      </c>
      <c r="C5" s="24" t="s">
        <v>48</v>
      </c>
      <c r="D5" s="24" t="s">
        <v>49</v>
      </c>
      <c r="E5" s="29" t="s">
        <v>125</v>
      </c>
      <c r="F5" s="24" t="s">
        <v>50</v>
      </c>
      <c r="G5" s="24"/>
      <c r="H5" s="24" t="s">
        <v>51</v>
      </c>
      <c r="I5" s="24"/>
      <c r="J5" s="24" t="s">
        <v>52</v>
      </c>
      <c r="K5" s="24"/>
      <c r="L5" s="24" t="s">
        <v>53</v>
      </c>
      <c r="M5" s="24"/>
      <c r="N5" s="24" t="s">
        <v>54</v>
      </c>
      <c r="O5" s="24"/>
      <c r="P5" s="24" t="s">
        <v>55</v>
      </c>
      <c r="Q5" s="24"/>
      <c r="R5" s="24" t="s">
        <v>56</v>
      </c>
      <c r="S5" s="24"/>
      <c r="T5" s="24" t="s">
        <v>57</v>
      </c>
      <c r="U5" s="24"/>
      <c r="V5" s="24" t="s">
        <v>58</v>
      </c>
      <c r="W5" s="24"/>
      <c r="X5" s="24" t="s">
        <v>59</v>
      </c>
      <c r="Y5" s="24"/>
      <c r="Z5" s="24" t="s">
        <v>60</v>
      </c>
      <c r="AA5" s="24"/>
      <c r="AB5" s="24" t="s">
        <v>61</v>
      </c>
      <c r="AC5" s="24"/>
    </row>
    <row r="6" spans="1:30">
      <c r="A6" s="24"/>
      <c r="B6" s="24"/>
      <c r="C6" s="24"/>
      <c r="D6" s="24"/>
      <c r="E6" s="28"/>
      <c r="F6" s="19" t="s">
        <v>118</v>
      </c>
      <c r="G6" s="19" t="s">
        <v>119</v>
      </c>
      <c r="H6" s="19" t="s">
        <v>118</v>
      </c>
      <c r="I6" s="19" t="s">
        <v>119</v>
      </c>
      <c r="J6" s="19" t="s">
        <v>118</v>
      </c>
      <c r="K6" s="19" t="s">
        <v>119</v>
      </c>
      <c r="L6" s="19" t="s">
        <v>118</v>
      </c>
      <c r="M6" s="19" t="s">
        <v>119</v>
      </c>
      <c r="N6" s="19" t="s">
        <v>118</v>
      </c>
      <c r="O6" s="19" t="s">
        <v>119</v>
      </c>
      <c r="P6" s="19" t="s">
        <v>118</v>
      </c>
      <c r="Q6" s="19" t="s">
        <v>119</v>
      </c>
      <c r="R6" s="19" t="s">
        <v>118</v>
      </c>
      <c r="S6" s="19" t="s">
        <v>119</v>
      </c>
      <c r="T6" s="19" t="s">
        <v>118</v>
      </c>
      <c r="U6" s="19" t="s">
        <v>119</v>
      </c>
      <c r="V6" s="19" t="s">
        <v>118</v>
      </c>
      <c r="W6" s="19" t="s">
        <v>119</v>
      </c>
      <c r="X6" s="19" t="s">
        <v>118</v>
      </c>
      <c r="Y6" s="19" t="s">
        <v>119</v>
      </c>
      <c r="Z6" s="19" t="s">
        <v>118</v>
      </c>
      <c r="AA6" s="19" t="s">
        <v>119</v>
      </c>
      <c r="AB6" s="19" t="s">
        <v>118</v>
      </c>
      <c r="AC6" s="19" t="s">
        <v>119</v>
      </c>
      <c r="AD6" s="19"/>
    </row>
    <row r="7" spans="1:30" ht="14">
      <c r="A7">
        <v>1</v>
      </c>
      <c r="B7" s="15" t="s">
        <v>62</v>
      </c>
      <c r="C7" t="s">
        <v>63</v>
      </c>
      <c r="D7" s="13">
        <v>26739759</v>
      </c>
      <c r="E7" s="26" t="inlineStr">
        <is>
          <t>20201130042</t>
        </is>
      </c>
      <c r="F7" s="17"/>
      <c r="G7" s="17">
        <v>1</v>
      </c>
      <c r="H7" s="17"/>
      <c r="I7" s="17"/>
      <c r="J7" s="17"/>
      <c r="K7" s="17"/>
      <c r="L7" s="17"/>
      <c r="O7" s="17"/>
      <c r="P7" s="17"/>
      <c r="R7" s="17"/>
      <c r="S7" s="17"/>
      <c r="T7" s="17"/>
      <c r="W7" s="17"/>
      <c r="X7" s="17"/>
      <c r="Z7" s="21"/>
    </row>
    <row r="8" spans="1:30" ht="14">
      <c r="A8">
        <v>2</v>
      </c>
      <c r="B8" s="16" t="s">
        <v>64</v>
      </c>
      <c r="C8" t="s">
        <v>65</v>
      </c>
      <c r="D8" s="14">
        <v>30612950</v>
      </c>
      <c r="E8" s="27" t="inlineStr">
        <is>
          <t>20231110803</t>
        </is>
      </c>
      <c r="F8" s="18"/>
      <c r="G8" s="18"/>
      <c r="H8" s="18">
        <v>1</v>
      </c>
      <c r="I8" s="18">
        <v>1</v>
      </c>
      <c r="J8" s="18">
        <v>1</v>
      </c>
      <c r="K8" s="18">
        <v>1</v>
      </c>
      <c r="L8" s="18">
        <v>1</v>
      </c>
      <c r="O8" s="18">
        <v>1</v>
      </c>
      <c r="P8" s="18">
        <v>1</v>
      </c>
      <c r="R8" s="18">
        <v>1</v>
      </c>
      <c r="S8" s="18">
        <v>1</v>
      </c>
      <c r="T8" s="18">
        <v>1</v>
      </c>
      <c r="W8" s="18">
        <v>1</v>
      </c>
      <c r="X8" s="18">
        <v>1</v>
      </c>
      <c r="Z8" s="18">
        <v>1</v>
      </c>
    </row>
    <row r="9" spans="1:30" ht="14">
      <c r="A9">
        <v>3</v>
      </c>
      <c r="B9" s="15" t="s">
        <v>66</v>
      </c>
      <c r="C9" t="s">
        <v>67</v>
      </c>
      <c r="D9" s="13">
        <v>25947729</v>
      </c>
      <c r="E9" s="26" t="inlineStr">
        <is>
          <t>20171111081</t>
        </is>
      </c>
      <c r="F9" s="17"/>
      <c r="G9" s="17"/>
      <c r="H9" s="17"/>
      <c r="I9" s="17"/>
      <c r="J9" s="17"/>
      <c r="K9" s="17">
        <v>1</v>
      </c>
      <c r="L9" s="17"/>
      <c r="O9" s="17"/>
      <c r="P9" s="17"/>
      <c r="R9" s="17"/>
      <c r="S9" s="17"/>
      <c r="T9" s="17"/>
      <c r="W9" s="17"/>
      <c r="X9" s="17"/>
      <c r="Z9" s="21"/>
    </row>
    <row r="10" spans="1:30" ht="14">
      <c r="A10">
        <v>4</v>
      </c>
      <c r="B10" s="16" t="s">
        <v>68</v>
      </c>
      <c r="C10" t="s">
        <v>69</v>
      </c>
      <c r="D10" s="14">
        <v>30124314</v>
      </c>
      <c r="E10" s="27" t="inlineStr">
        <is>
          <t>20211110346</t>
        </is>
      </c>
      <c r="F10" s="18"/>
      <c r="G10" s="18"/>
      <c r="H10" s="18">
        <v>1</v>
      </c>
      <c r="I10" s="18"/>
      <c r="J10" s="18"/>
      <c r="K10" s="18"/>
      <c r="L10" s="18"/>
      <c r="O10" s="18">
        <v>2</v>
      </c>
      <c r="P10" s="18"/>
      <c r="R10" s="18"/>
      <c r="S10" s="18"/>
      <c r="T10" s="18"/>
      <c r="W10" s="18"/>
      <c r="X10" s="18"/>
      <c r="Z10" s="22"/>
    </row>
    <row r="11" spans="1:30" ht="14">
      <c r="A11">
        <v>5</v>
      </c>
      <c r="B11" s="15" t="s">
        <v>70</v>
      </c>
      <c r="C11" t="s">
        <v>71</v>
      </c>
      <c r="D11" s="13">
        <v>30673633</v>
      </c>
      <c r="E11" s="26" t="inlineStr">
        <is>
          <t>20231110176</t>
        </is>
      </c>
      <c r="F11" s="17"/>
      <c r="G11" s="17">
        <v>1</v>
      </c>
      <c r="H11" s="17"/>
      <c r="I11" s="17">
        <v>1</v>
      </c>
      <c r="J11" s="17">
        <v>2</v>
      </c>
      <c r="K11" s="17">
        <v>1</v>
      </c>
      <c r="L11" s="17"/>
      <c r="O11" s="17"/>
      <c r="P11" s="17">
        <v>1</v>
      </c>
      <c r="R11" s="17"/>
      <c r="S11" s="17">
        <v>1</v>
      </c>
      <c r="T11" s="17"/>
      <c r="W11" s="17">
        <v>1</v>
      </c>
      <c r="X11" s="17"/>
      <c r="Z11" s="21"/>
    </row>
    <row r="12" spans="1:30" ht="14">
      <c r="A12">
        <v>6</v>
      </c>
      <c r="B12" s="16" t="s">
        <v>72</v>
      </c>
      <c r="C12" t="s">
        <v>73</v>
      </c>
      <c r="D12" s="14">
        <v>30346847</v>
      </c>
      <c r="E12" s="27" t="inlineStr">
        <is>
          <t>20221110200</t>
        </is>
      </c>
      <c r="F12" s="18"/>
      <c r="G12" s="18">
        <v>1</v>
      </c>
      <c r="H12" s="18"/>
      <c r="I12" s="18"/>
      <c r="J12" s="18"/>
      <c r="K12" s="18"/>
      <c r="L12" s="18"/>
      <c r="O12" s="18"/>
      <c r="P12" s="18"/>
      <c r="R12" s="18"/>
      <c r="S12" s="18"/>
      <c r="T12" s="18"/>
      <c r="W12" s="18"/>
      <c r="X12" s="18"/>
      <c r="Z12" s="22"/>
    </row>
    <row r="13" spans="1:30" ht="14">
      <c r="A13">
        <v>7</v>
      </c>
      <c r="B13" s="15" t="s">
        <v>74</v>
      </c>
      <c r="C13" t="s">
        <v>75</v>
      </c>
      <c r="D13" s="13">
        <v>27027053</v>
      </c>
      <c r="E13" s="26" t="inlineStr">
        <is>
          <t>20181110134</t>
        </is>
      </c>
      <c r="F13" s="17"/>
      <c r="G13" s="17"/>
      <c r="H13" s="17"/>
      <c r="I13" s="17"/>
      <c r="J13" s="17"/>
      <c r="K13" s="17">
        <v>1</v>
      </c>
      <c r="L13" s="17">
        <v>1</v>
      </c>
      <c r="O13" s="17"/>
      <c r="P13" s="17">
        <v>1</v>
      </c>
      <c r="R13" s="17">
        <v>1</v>
      </c>
      <c r="S13" s="17"/>
      <c r="T13" s="17"/>
      <c r="W13" s="17">
        <v>1</v>
      </c>
      <c r="X13" s="17"/>
      <c r="Z13" s="21"/>
    </row>
    <row r="14" spans="1:30" ht="14">
      <c r="A14">
        <v>8</v>
      </c>
      <c r="B14" s="16" t="s">
        <v>76</v>
      </c>
      <c r="C14" t="s">
        <v>77</v>
      </c>
      <c r="D14" s="14">
        <v>30085424</v>
      </c>
      <c r="E14" s="27" t="inlineStr">
        <is>
          <t>20211110365</t>
        </is>
      </c>
      <c r="F14" s="18"/>
      <c r="G14" s="18"/>
      <c r="H14" s="18"/>
      <c r="I14" s="18"/>
      <c r="J14" s="18"/>
      <c r="K14" s="18">
        <v>2</v>
      </c>
      <c r="L14" s="18">
        <v>1</v>
      </c>
      <c r="O14" s="18"/>
      <c r="P14" s="18"/>
      <c r="R14" s="18">
        <v>1</v>
      </c>
      <c r="S14" s="18"/>
      <c r="T14" s="18"/>
      <c r="W14" s="18"/>
      <c r="X14" s="18"/>
      <c r="Z14" s="22"/>
    </row>
    <row r="15" spans="1:30" ht="14">
      <c r="A15">
        <v>9</v>
      </c>
      <c r="B15" s="15" t="s">
        <v>78</v>
      </c>
      <c r="C15" t="s">
        <v>79</v>
      </c>
      <c r="D15" s="13">
        <v>30124807</v>
      </c>
      <c r="E15" s="26" t="inlineStr">
        <is>
          <t>20231110194</t>
        </is>
      </c>
      <c r="F15" s="17"/>
      <c r="G15" s="17">
        <v>1</v>
      </c>
      <c r="H15" s="17">
        <v>1</v>
      </c>
      <c r="I15" s="17">
        <v>1</v>
      </c>
      <c r="J15" s="17">
        <v>1</v>
      </c>
      <c r="K15" s="17">
        <v>1</v>
      </c>
      <c r="L15" s="17">
        <v>1</v>
      </c>
      <c r="O15" s="17">
        <v>2</v>
      </c>
      <c r="P15" s="17">
        <v>1</v>
      </c>
      <c r="R15" s="17">
        <v>1</v>
      </c>
      <c r="S15" s="17">
        <v>1</v>
      </c>
      <c r="T15" s="17">
        <v>1</v>
      </c>
      <c r="W15" s="17">
        <v>1</v>
      </c>
      <c r="X15" s="17">
        <v>1</v>
      </c>
      <c r="Z15" s="17">
        <v>1</v>
      </c>
    </row>
    <row r="16" spans="1:30" ht="14">
      <c r="A16">
        <v>10</v>
      </c>
      <c r="B16" s="16" t="s">
        <v>80</v>
      </c>
      <c r="C16" t="s">
        <v>81</v>
      </c>
      <c r="D16" s="14">
        <v>29625816</v>
      </c>
      <c r="E16" s="27" t="inlineStr">
        <is>
          <t>20211110620</t>
        </is>
      </c>
      <c r="F16" s="18"/>
      <c r="G16" s="18"/>
      <c r="H16" s="18"/>
      <c r="I16" s="18"/>
      <c r="J16" s="18"/>
      <c r="K16" s="18"/>
      <c r="L16" s="18"/>
      <c r="O16" s="18"/>
      <c r="P16" s="18">
        <v>1</v>
      </c>
      <c r="R16" s="18"/>
      <c r="S16" s="18"/>
      <c r="T16" s="18"/>
      <c r="W16" s="18"/>
      <c r="X16" s="18"/>
      <c r="Z16" s="22"/>
    </row>
    <row r="17" spans="1:26" ht="14">
      <c r="A17">
        <v>11</v>
      </c>
      <c r="B17" s="15" t="s">
        <v>82</v>
      </c>
      <c r="C17" t="s">
        <v>83</v>
      </c>
      <c r="D17" s="13">
        <v>28058651</v>
      </c>
      <c r="E17" s="26" t="inlineStr">
        <is>
          <t>20211110025</t>
        </is>
      </c>
      <c r="F17" s="17">
        <v>1</v>
      </c>
      <c r="G17" s="17"/>
      <c r="H17" s="17"/>
      <c r="I17" s="17"/>
      <c r="J17" s="17"/>
      <c r="K17" s="17"/>
      <c r="L17" s="17"/>
      <c r="O17" s="17"/>
      <c r="P17" s="17"/>
      <c r="R17" s="17"/>
      <c r="S17" s="17"/>
      <c r="T17" s="17"/>
      <c r="W17" s="17"/>
      <c r="X17" s="17"/>
      <c r="Z17" s="21"/>
    </row>
    <row r="18" spans="1:26" ht="14">
      <c r="A18">
        <v>12</v>
      </c>
      <c r="B18" s="16" t="s">
        <v>84</v>
      </c>
      <c r="C18" t="s">
        <v>85</v>
      </c>
      <c r="D18" s="14">
        <v>30358221</v>
      </c>
      <c r="E18" s="27" t="inlineStr">
        <is>
          <t>20231110030</t>
        </is>
      </c>
      <c r="F18" s="18"/>
      <c r="G18" s="18"/>
      <c r="H18" s="18"/>
      <c r="I18" s="18">
        <v>1</v>
      </c>
      <c r="J18" s="18">
        <v>1</v>
      </c>
      <c r="K18" s="18"/>
      <c r="L18" s="18">
        <v>1</v>
      </c>
      <c r="O18" s="18"/>
      <c r="P18" s="18"/>
      <c r="R18" s="18"/>
      <c r="S18" s="18">
        <v>1</v>
      </c>
      <c r="T18" s="18"/>
      <c r="W18" s="18"/>
      <c r="X18" s="18"/>
      <c r="Z18" s="22"/>
    </row>
    <row r="19" spans="1:26" ht="14">
      <c r="A19">
        <v>13</v>
      </c>
      <c r="B19" s="15" t="s">
        <v>86</v>
      </c>
      <c r="C19" t="s">
        <v>87</v>
      </c>
      <c r="D19" s="13">
        <v>30932824</v>
      </c>
      <c r="E19" s="26" t="inlineStr">
        <is>
          <t>20231110616</t>
        </is>
      </c>
      <c r="F19" s="17"/>
      <c r="G19" s="17">
        <v>1</v>
      </c>
      <c r="H19" s="17">
        <v>1</v>
      </c>
      <c r="I19" s="17"/>
      <c r="J19" s="17"/>
      <c r="K19" s="17">
        <v>1</v>
      </c>
      <c r="L19" s="17">
        <v>1</v>
      </c>
      <c r="O19" s="17">
        <v>2</v>
      </c>
      <c r="P19" s="17">
        <v>1</v>
      </c>
      <c r="R19" s="17"/>
      <c r="S19" s="17"/>
      <c r="T19" s="17">
        <v>1</v>
      </c>
      <c r="W19" s="17"/>
      <c r="X19" s="17"/>
      <c r="Z19" s="21"/>
    </row>
    <row r="20" spans="1:26" ht="14">
      <c r="A20">
        <v>14</v>
      </c>
      <c r="B20" s="16" t="s">
        <v>88</v>
      </c>
      <c r="C20" t="s">
        <v>89</v>
      </c>
      <c r="D20" s="14">
        <v>30687748</v>
      </c>
      <c r="E20" s="27" t="inlineStr">
        <is>
          <t>20221110413</t>
        </is>
      </c>
      <c r="F20" s="18"/>
      <c r="G20" s="18"/>
      <c r="H20" s="18"/>
      <c r="I20" s="18"/>
      <c r="J20" s="18"/>
      <c r="K20" s="18"/>
      <c r="L20" s="18"/>
      <c r="O20" s="18"/>
      <c r="P20" s="18"/>
      <c r="R20" s="18"/>
      <c r="S20" s="18"/>
      <c r="T20" s="18"/>
      <c r="W20" s="18"/>
      <c r="X20" s="18"/>
      <c r="Z20" s="22"/>
    </row>
    <row r="21" spans="1:26" ht="14">
      <c r="A21">
        <v>15</v>
      </c>
      <c r="B21" s="15" t="s">
        <v>90</v>
      </c>
      <c r="C21" t="s">
        <v>91</v>
      </c>
      <c r="D21" s="13">
        <v>29577475</v>
      </c>
      <c r="E21" s="26" t="inlineStr">
        <is>
          <t>20211110857</t>
        </is>
      </c>
      <c r="F21" s="17"/>
      <c r="G21" s="17"/>
      <c r="H21" s="17">
        <v>1</v>
      </c>
      <c r="I21" s="17">
        <v>1</v>
      </c>
      <c r="J21" s="17">
        <v>1</v>
      </c>
      <c r="K21" s="17">
        <v>2</v>
      </c>
      <c r="L21" s="17"/>
      <c r="O21" s="17"/>
      <c r="P21" s="17"/>
      <c r="R21" s="17"/>
      <c r="S21" s="17"/>
      <c r="T21" s="17"/>
      <c r="W21" s="17"/>
      <c r="X21" s="17"/>
      <c r="Z21" s="21"/>
    </row>
    <row r="22" spans="1:26" ht="14">
      <c r="A22">
        <v>16</v>
      </c>
      <c r="B22" s="16" t="s">
        <v>92</v>
      </c>
      <c r="C22" t="s">
        <v>93</v>
      </c>
      <c r="D22" s="14">
        <v>30821945</v>
      </c>
      <c r="E22" s="27" t="inlineStr">
        <is>
          <t>20231110297</t>
        </is>
      </c>
      <c r="F22" s="18"/>
      <c r="G22" s="18"/>
      <c r="H22" s="18"/>
      <c r="I22" s="18"/>
      <c r="J22" s="18"/>
      <c r="K22" s="18"/>
      <c r="L22" s="18"/>
      <c r="O22" s="18"/>
      <c r="P22" s="18"/>
      <c r="R22" s="18"/>
      <c r="S22" s="18"/>
      <c r="T22" s="18"/>
      <c r="W22" s="18"/>
      <c r="X22" s="18"/>
      <c r="Z22" s="22"/>
    </row>
    <row r="23" spans="1:26" ht="14">
      <c r="A23">
        <v>17</v>
      </c>
      <c r="B23" s="15" t="s">
        <v>94</v>
      </c>
      <c r="C23" t="s">
        <v>95</v>
      </c>
      <c r="D23" s="13">
        <v>24843496</v>
      </c>
      <c r="E23" s="26" t="inlineStr">
        <is>
          <t>20221120086</t>
        </is>
      </c>
      <c r="F23" s="17"/>
      <c r="G23" s="17"/>
      <c r="H23" s="17"/>
      <c r="I23" s="17"/>
      <c r="J23" s="17"/>
      <c r="K23" s="17"/>
      <c r="L23" s="17"/>
      <c r="O23" s="17"/>
      <c r="P23" s="17"/>
      <c r="R23" s="17"/>
      <c r="S23" s="17"/>
      <c r="T23" s="17"/>
      <c r="W23" s="17"/>
      <c r="X23" s="17"/>
      <c r="Z23" s="21"/>
    </row>
    <row r="24" spans="1:26" ht="14">
      <c r="A24">
        <v>18</v>
      </c>
      <c r="B24" s="16" t="s">
        <v>96</v>
      </c>
      <c r="C24" t="s">
        <v>97</v>
      </c>
      <c r="D24" s="14">
        <v>30497106</v>
      </c>
      <c r="E24" s="27" t="inlineStr">
        <is>
          <t>20231110512</t>
        </is>
      </c>
      <c r="F24" s="18"/>
      <c r="G24" s="18"/>
      <c r="H24" s="18"/>
      <c r="I24" s="18"/>
      <c r="J24" s="18">
        <v>1</v>
      </c>
      <c r="K24" s="18">
        <v>1</v>
      </c>
      <c r="L24" s="18">
        <v>1</v>
      </c>
      <c r="O24" s="18">
        <v>1</v>
      </c>
      <c r="P24" s="18">
        <v>1</v>
      </c>
      <c r="R24" s="18">
        <v>1</v>
      </c>
      <c r="S24" s="18">
        <v>1</v>
      </c>
      <c r="T24" s="18">
        <v>3</v>
      </c>
      <c r="W24" s="18">
        <v>1</v>
      </c>
      <c r="X24" s="18">
        <v>1</v>
      </c>
      <c r="Z24" s="18">
        <v>1</v>
      </c>
    </row>
    <row r="25" spans="1:26" ht="14">
      <c r="A25">
        <v>19</v>
      </c>
      <c r="B25" s="15" t="s">
        <v>98</v>
      </c>
      <c r="C25" t="s">
        <v>99</v>
      </c>
      <c r="D25" s="13">
        <v>29948276</v>
      </c>
      <c r="E25" s="26" t="inlineStr">
        <is>
          <t>20221130009</t>
        </is>
      </c>
      <c r="F25" s="17"/>
      <c r="G25" s="17"/>
      <c r="H25" s="17"/>
      <c r="I25" s="17"/>
      <c r="J25" s="17"/>
      <c r="K25" s="17"/>
      <c r="L25" s="17"/>
      <c r="O25" s="17"/>
      <c r="P25" s="17"/>
      <c r="R25" s="17">
        <v>1</v>
      </c>
      <c r="S25" s="17"/>
      <c r="T25" s="17"/>
      <c r="W25" s="17">
        <v>1</v>
      </c>
      <c r="X25" s="17"/>
      <c r="Z25" s="21"/>
    </row>
    <row r="26" spans="1:26" ht="14">
      <c r="A26">
        <v>20</v>
      </c>
      <c r="B26" s="16" t="s">
        <v>100</v>
      </c>
      <c r="C26" t="s">
        <v>101</v>
      </c>
      <c r="D26" s="14">
        <v>30612888</v>
      </c>
      <c r="E26" s="27" t="inlineStr">
        <is>
          <t>20231110449</t>
        </is>
      </c>
      <c r="F26" s="18"/>
      <c r="G26" s="18"/>
      <c r="H26" s="18">
        <v>1</v>
      </c>
      <c r="I26" s="18"/>
      <c r="J26" s="18">
        <v>2</v>
      </c>
      <c r="K26" s="18">
        <v>1</v>
      </c>
      <c r="L26" s="18">
        <v>1</v>
      </c>
      <c r="O26" s="18">
        <v>2</v>
      </c>
      <c r="P26" s="18"/>
      <c r="R26" s="18">
        <v>1</v>
      </c>
      <c r="S26" s="18">
        <v>1</v>
      </c>
      <c r="T26" s="18">
        <v>1</v>
      </c>
      <c r="W26" s="18">
        <v>1</v>
      </c>
      <c r="X26" s="18">
        <v>1</v>
      </c>
      <c r="Z26" s="18">
        <v>1</v>
      </c>
    </row>
    <row r="27" spans="1:26" ht="14">
      <c r="A27">
        <v>21</v>
      </c>
      <c r="B27" s="15" t="s">
        <v>102</v>
      </c>
      <c r="C27" t="s">
        <v>103</v>
      </c>
      <c r="D27" s="13">
        <v>29533663</v>
      </c>
      <c r="E27" s="26" t="inlineStr">
        <is>
          <t>20201130038</t>
        </is>
      </c>
      <c r="F27" s="17"/>
      <c r="G27" s="17"/>
      <c r="H27" s="17"/>
      <c r="I27" s="17"/>
      <c r="J27" s="17"/>
      <c r="K27" s="17"/>
      <c r="L27" s="17"/>
      <c r="O27" s="17"/>
      <c r="P27" s="17"/>
      <c r="R27" s="17"/>
      <c r="S27" s="17"/>
      <c r="T27" s="17"/>
      <c r="W27" s="17"/>
      <c r="X27" s="17"/>
      <c r="Z27" s="21"/>
    </row>
    <row r="28" spans="1:26" ht="14">
      <c r="A28">
        <v>22</v>
      </c>
      <c r="B28" s="16" t="s">
        <v>104</v>
      </c>
      <c r="C28" t="s">
        <v>105</v>
      </c>
      <c r="D28" s="14">
        <v>30142697</v>
      </c>
      <c r="E28" s="27" t="inlineStr">
        <is>
          <t>20221110475</t>
        </is>
      </c>
      <c r="F28" s="18"/>
      <c r="G28" s="18"/>
      <c r="H28" s="18"/>
      <c r="I28" s="18"/>
      <c r="J28" s="18"/>
      <c r="K28" s="18">
        <v>1</v>
      </c>
      <c r="L28" s="18"/>
      <c r="O28" s="18"/>
      <c r="P28" s="18"/>
      <c r="R28" s="18"/>
      <c r="S28" s="18"/>
      <c r="T28" s="18"/>
      <c r="W28" s="18"/>
      <c r="X28" s="18"/>
      <c r="Z28" s="22"/>
    </row>
    <row r="29" spans="1:26" ht="14">
      <c r="A29">
        <v>23</v>
      </c>
      <c r="B29" s="15" t="s">
        <v>106</v>
      </c>
      <c r="C29" t="s">
        <v>107</v>
      </c>
      <c r="D29" s="13">
        <v>19820976</v>
      </c>
      <c r="E29" s="26" t="inlineStr">
        <is>
          <t>200865920</t>
        </is>
      </c>
      <c r="F29" s="17"/>
      <c r="G29" s="17"/>
      <c r="H29" s="17"/>
      <c r="I29" s="17"/>
      <c r="J29" s="17"/>
      <c r="K29" s="17"/>
      <c r="L29" s="17"/>
      <c r="O29" s="17"/>
      <c r="P29" s="17"/>
      <c r="R29" s="17"/>
      <c r="S29" s="17"/>
      <c r="T29" s="17"/>
      <c r="W29" s="17"/>
      <c r="X29" s="17"/>
      <c r="Z29" s="21"/>
    </row>
    <row r="30" spans="1:26" ht="14">
      <c r="A30">
        <v>24</v>
      </c>
      <c r="B30" s="16" t="s">
        <v>108</v>
      </c>
      <c r="C30" t="s">
        <v>109</v>
      </c>
      <c r="D30" s="14">
        <v>30142131</v>
      </c>
      <c r="E30" s="27" t="inlineStr">
        <is>
          <t>20221110193</t>
        </is>
      </c>
      <c r="F30" s="18"/>
      <c r="G30" s="18"/>
      <c r="H30" s="18"/>
      <c r="I30" s="18"/>
      <c r="J30" s="18"/>
      <c r="K30" s="18"/>
      <c r="L30" s="18"/>
      <c r="O30" s="18"/>
      <c r="P30" s="18"/>
      <c r="R30" s="18"/>
      <c r="S30" s="18"/>
      <c r="T30" s="18"/>
      <c r="W30" s="18"/>
      <c r="X30" s="18"/>
      <c r="Z30" s="22"/>
    </row>
    <row r="31" spans="1:26" ht="14">
      <c r="A31">
        <v>25</v>
      </c>
      <c r="B31" s="15" t="s">
        <v>110</v>
      </c>
      <c r="C31" t="s">
        <v>111</v>
      </c>
      <c r="D31" s="13">
        <v>29965689</v>
      </c>
      <c r="E31" s="26" t="inlineStr">
        <is>
          <t>20221110437</t>
        </is>
      </c>
      <c r="F31" s="17"/>
      <c r="G31" s="17"/>
      <c r="H31" s="17"/>
      <c r="I31" s="17"/>
      <c r="J31" s="17"/>
      <c r="K31" s="17">
        <v>1</v>
      </c>
      <c r="L31" s="17"/>
      <c r="O31" s="17"/>
      <c r="P31" s="17"/>
      <c r="R31" s="17"/>
      <c r="S31" s="17"/>
      <c r="T31" s="17"/>
      <c r="W31" s="17"/>
      <c r="X31" s="17"/>
      <c r="Z31" s="21"/>
    </row>
    <row r="32" spans="1:26" ht="14">
      <c r="A32">
        <v>26</v>
      </c>
      <c r="B32" s="16" t="s">
        <v>112</v>
      </c>
      <c r="C32" t="s">
        <v>113</v>
      </c>
      <c r="D32" s="14">
        <v>27790060</v>
      </c>
      <c r="E32" s="27" t="inlineStr">
        <is>
          <t>20191110205</t>
        </is>
      </c>
      <c r="F32" s="18"/>
      <c r="G32" s="18"/>
      <c r="H32" s="18"/>
      <c r="I32" s="18"/>
      <c r="J32" s="18">
        <v>1</v>
      </c>
      <c r="K32" s="18"/>
      <c r="L32" s="18"/>
      <c r="O32" s="18"/>
      <c r="P32" s="18"/>
      <c r="R32" s="18"/>
      <c r="S32" s="18"/>
      <c r="T32" s="18"/>
      <c r="W32" s="18"/>
      <c r="X32" s="18"/>
      <c r="Z32" s="22"/>
    </row>
    <row r="33" spans="1:26" ht="14">
      <c r="A33">
        <v>27</v>
      </c>
      <c r="B33" s="15" t="s">
        <v>114</v>
      </c>
      <c r="C33" t="s">
        <v>115</v>
      </c>
      <c r="D33" s="13">
        <v>30124022</v>
      </c>
      <c r="E33" s="26" t="inlineStr">
        <is>
          <t>20221110061</t>
        </is>
      </c>
      <c r="F33" s="17"/>
      <c r="G33" s="17"/>
      <c r="H33" s="17"/>
      <c r="I33" s="17"/>
      <c r="J33" s="17"/>
      <c r="K33" s="17"/>
      <c r="L33" s="17"/>
      <c r="O33" s="17"/>
      <c r="P33" s="17"/>
      <c r="R33" s="17"/>
      <c r="S33" s="17"/>
      <c r="T33" s="17"/>
      <c r="W33" s="17"/>
      <c r="X33" s="17"/>
      <c r="Z33" s="21"/>
    </row>
    <row r="34" spans="1:26" ht="14">
      <c r="A34">
        <v>28</v>
      </c>
      <c r="B34" s="16" t="s">
        <v>116</v>
      </c>
      <c r="C34" t="s">
        <v>117</v>
      </c>
      <c r="D34" s="14">
        <v>28317519</v>
      </c>
      <c r="E34" s="27" t="inlineStr">
        <is>
          <t>20191110269</t>
        </is>
      </c>
      <c r="F34" s="18"/>
      <c r="G34" s="18"/>
      <c r="H34" s="18"/>
      <c r="I34" s="18"/>
      <c r="J34" s="18"/>
      <c r="K34" s="18"/>
      <c r="L34" s="18"/>
      <c r="O34" s="18"/>
      <c r="P34" s="18"/>
      <c r="R34" s="18"/>
      <c r="S34" s="18"/>
      <c r="T34" s="18"/>
      <c r="W34" s="18"/>
      <c r="X34" s="18"/>
      <c r="Z34" s="22"/>
    </row>
  </sheetData>
  <mergeCells count="17">
    <mergeCell ref="AB5:AC5"/>
    <mergeCell ref="R5:S5"/>
    <mergeCell ref="T5:U5"/>
    <mergeCell ref="V5:W5"/>
    <mergeCell ref="X5:Y5"/>
    <mergeCell ref="Z5:AA5"/>
    <mergeCell ref="H5:I5"/>
    <mergeCell ref="J5:K5"/>
    <mergeCell ref="L5:M5"/>
    <mergeCell ref="N5:O5"/>
    <mergeCell ref="P5:Q5"/>
    <mergeCell ref="A5:A6"/>
    <mergeCell ref="B5:B6"/>
    <mergeCell ref="C5:C6"/>
    <mergeCell ref="D5:D6"/>
    <mergeCell ref="F5:G5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2" customWidth="1"/>
    <col min="3" max="3" width="8" customWidth="1"/>
    <col min="4" max="4" width="16" customWidth="1"/>
  </cols>
  <sheetData>
    <row r="1">
      <c r="A1" t="inlineStr">
        <is>
          <t xml:space="preserve">semana</t>
        </is>
      </c>
      <c r="B1" t="inlineStr">
        <is>
          <t xml:space="preserve">dia_sesion</t>
        </is>
      </c>
      <c r="C1" t="inlineStr">
        <is>
          <t xml:space="preserve">tema</t>
        </is>
      </c>
      <c r="D1" t="inlineStr">
        <is>
          <t xml:space="preserve">tipo_sesion</t>
        </is>
      </c>
    </row>
    <row r="2">
      <c r="A2">
        <v>1</v>
      </c>
      <c r="B2">
        <v>1</v>
      </c>
      <c r="C2">
        <v>1</v>
      </c>
    </row>
    <row r="3">
      <c r="A3">
        <v>1</v>
      </c>
      <c r="B3">
        <v>2</v>
      </c>
      <c r="C3">
        <v>2</v>
      </c>
    </row>
    <row r="4">
      <c r="A4">
        <v>2</v>
      </c>
      <c r="B4">
        <v>1</v>
      </c>
      <c r="C4">
        <v>3</v>
      </c>
    </row>
    <row r="5">
      <c r="A5">
        <v>2</v>
      </c>
      <c r="B5">
        <v>2</v>
      </c>
      <c r="C5">
        <v>8</v>
      </c>
    </row>
    <row r="6">
      <c r="A6">
        <v>3</v>
      </c>
      <c r="B6">
        <v>1</v>
      </c>
      <c r="C6">
        <v>3</v>
      </c>
    </row>
    <row r="7">
      <c r="A7">
        <v>3</v>
      </c>
      <c r="B7">
        <v>2</v>
      </c>
      <c r="C7">
        <v>3</v>
      </c>
    </row>
    <row r="8">
      <c r="A8">
        <v>4</v>
      </c>
      <c r="B8">
        <v>1</v>
      </c>
      <c r="C8">
        <v>3</v>
      </c>
    </row>
    <row r="9">
      <c r="A9">
        <v>4</v>
      </c>
      <c r="B9">
        <v>2</v>
      </c>
      <c r="C9">
        <v>0</v>
      </c>
      <c r="D9" t="inlineStr">
        <is>
          <t xml:space="preserve">evaluacion</t>
        </is>
      </c>
    </row>
    <row r="10">
      <c r="A10">
        <v>5</v>
      </c>
      <c r="B10">
        <v>1</v>
      </c>
      <c r="C10">
        <v>0</v>
      </c>
      <c r="D10" t="inlineStr">
        <is>
          <t xml:space="preserve">evaluacion</t>
        </is>
      </c>
    </row>
    <row r="11">
      <c r="A11">
        <v>5</v>
      </c>
      <c r="B11">
        <v>2</v>
      </c>
      <c r="C11">
        <v>6</v>
      </c>
    </row>
    <row r="12">
      <c r="A12">
        <v>6</v>
      </c>
      <c r="B12">
        <v>1</v>
      </c>
      <c r="C12">
        <v>6</v>
      </c>
    </row>
    <row r="13">
      <c r="A13">
        <v>6</v>
      </c>
      <c r="B13">
        <v>2</v>
      </c>
      <c r="C13">
        <v>0</v>
      </c>
      <c r="D13" t="inlineStr">
        <is>
          <t xml:space="preserve">evaluacion</t>
        </is>
      </c>
    </row>
    <row r="14">
      <c r="A14">
        <v>7</v>
      </c>
      <c r="B14">
        <v>1</v>
      </c>
      <c r="C14">
        <v>6</v>
      </c>
    </row>
    <row r="15">
      <c r="A15">
        <v>7</v>
      </c>
      <c r="B15">
        <v>2</v>
      </c>
      <c r="C15">
        <v>6</v>
      </c>
    </row>
    <row r="16">
      <c r="A16">
        <v>8</v>
      </c>
      <c r="B16">
        <v>1</v>
      </c>
      <c r="C16">
        <v>9</v>
      </c>
    </row>
    <row r="17">
      <c r="A17">
        <v>8</v>
      </c>
      <c r="B17">
        <v>2</v>
      </c>
      <c r="C17">
        <v>0</v>
      </c>
      <c r="D17" t="inlineStr">
        <is>
          <t xml:space="preserve">evaluacion</t>
        </is>
      </c>
    </row>
    <row r="18">
      <c r="A18">
        <v>9</v>
      </c>
      <c r="B18">
        <v>1</v>
      </c>
      <c r="C18">
        <v>0</v>
      </c>
      <c r="D18" t="inlineStr">
        <is>
          <t xml:space="preserve">evaluacion</t>
        </is>
      </c>
    </row>
    <row r="19">
      <c r="A19">
        <v>9</v>
      </c>
      <c r="B19">
        <v>2</v>
      </c>
      <c r="C19">
        <v>9</v>
      </c>
    </row>
    <row r="20">
      <c r="A20">
        <v>10</v>
      </c>
      <c r="B20">
        <v>1</v>
      </c>
      <c r="C20">
        <v>9</v>
      </c>
    </row>
    <row r="21">
      <c r="A21">
        <v>10</v>
      </c>
      <c r="B21">
        <v>2</v>
      </c>
      <c r="C21">
        <v>0</v>
      </c>
      <c r="D21" t="inlineStr">
        <is>
          <t xml:space="preserve">evaluacion</t>
        </is>
      </c>
    </row>
    <row r="22">
      <c r="A22">
        <v>11</v>
      </c>
      <c r="B22">
        <v>1</v>
      </c>
      <c r="C22">
        <v>9</v>
      </c>
    </row>
    <row r="23">
      <c r="A23">
        <v>11</v>
      </c>
      <c r="B23">
        <v>2</v>
      </c>
      <c r="C23">
        <v>0</v>
      </c>
      <c r="D23" t="inlineStr">
        <is>
          <t xml:space="preserve">evaluacion</t>
        </is>
      </c>
    </row>
    <row r="24">
      <c r="A24">
        <v>12</v>
      </c>
      <c r="B24">
        <v>1</v>
      </c>
      <c r="C24">
        <v>0</v>
      </c>
      <c r="D24" t="inlineStr">
        <is>
          <t xml:space="preserve">evaluacion</t>
        </is>
      </c>
    </row>
    <row r="25">
      <c r="A25">
        <v>12</v>
      </c>
      <c r="B25">
        <v>2</v>
      </c>
      <c r="C25">
        <v>0</v>
      </c>
      <c r="D25" t="inlineStr">
        <is>
          <t xml:space="preserve">administrativa</t>
        </is>
      </c>
    </row>
    <row r="27">
      <c r="A27" t="inlineStr">
        <is>
          <t xml:space="preserve">Nota:</t>
        </is>
      </c>
      <c r="B27" t="inlineStr">
        <is>
          <t xml:space="preserve">tema = código del catálogo de la asignatura. Si la sesión no cubre contenido nuevo: tema = 0 y tipo_sesion indica la causa (evaluacion, repaso, sin_clase, administrativa). Si tema &gt; 0 la sesión es de contenido y tipo_sesion queda vacío.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Intervenciones</vt:lpstr>
      <vt:lpstr>Estandar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Carrillo</cp:lastModifiedBy>
  <dcterms:modified xsi:type="dcterms:W3CDTF">2026-08-31T04:58:49Z</dcterms:modified>
</cp:coreProperties>
</file>