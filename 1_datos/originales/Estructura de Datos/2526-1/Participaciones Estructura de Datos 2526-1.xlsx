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Estructura de Datos/2526-1/"/>
    </mc:Choice>
  </mc:AlternateContent>
  <xr:revisionPtr revIDLastSave="0" documentId="13_ncr:1_{EE3A03C0-2E48-C848-9029-F58C2F7C4546}" xr6:coauthVersionLast="47" xr6:coauthVersionMax="47" xr10:uidLastSave="{00000000-0000-0000-0000-000000000000}"/>
  <bookViews>
    <workbookView xWindow="0" yWindow="600" windowWidth="28800" windowHeight="16100" activeTab="2" xr2:uid="{00000000-000D-0000-FFFF-FFFF00000000}"/>
  </bookViews>
  <sheets>
    <sheet name="Hoja 1" sheetId="1" r:id="rId1"/>
    <sheet name="Totales" sheetId="2" r:id="rId2"/>
    <sheet name="Estandar" sheetId="3" r:id="rId3"/>
    <sheet name="Cronograma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R7" i="1" s="1"/>
  <c r="P7" i="2" s="1"/>
  <c r="Q7" i="2" s="1"/>
  <c r="P33" i="2"/>
  <c r="O31" i="2"/>
  <c r="O30" i="2"/>
  <c r="O29" i="2"/>
  <c r="O28" i="2"/>
  <c r="O27" i="2"/>
  <c r="O26" i="2"/>
  <c r="O25" i="2"/>
  <c r="O24" i="2"/>
  <c r="N24" i="2"/>
  <c r="O23" i="2"/>
  <c r="O22" i="2"/>
  <c r="O21" i="2"/>
  <c r="O20" i="2"/>
  <c r="O19" i="2"/>
  <c r="O18" i="2"/>
  <c r="N17" i="2"/>
  <c r="O17" i="2" s="1"/>
  <c r="O16" i="2"/>
  <c r="O15" i="2"/>
  <c r="O14" i="2"/>
  <c r="O13" i="2"/>
  <c r="O12" i="2"/>
  <c r="O11" i="2"/>
  <c r="O10" i="2"/>
  <c r="O9" i="2"/>
  <c r="O8" i="2"/>
  <c r="O7" i="2"/>
  <c r="N7" i="2"/>
  <c r="O6" i="2"/>
  <c r="O5" i="2"/>
  <c r="O4" i="2"/>
  <c r="O3" i="2"/>
  <c r="O2" i="2"/>
  <c r="Q31" i="1"/>
  <c r="R31" i="1" s="1"/>
  <c r="P31" i="2" s="1"/>
  <c r="Q30" i="1"/>
  <c r="R30" i="1" s="1"/>
  <c r="P30" i="2" s="1"/>
  <c r="Q30" i="2" s="1"/>
  <c r="Q29" i="1"/>
  <c r="R29" i="1" s="1"/>
  <c r="P29" i="2" s="1"/>
  <c r="Q29" i="2" s="1"/>
  <c r="Q28" i="1"/>
  <c r="R28" i="1" s="1"/>
  <c r="P28" i="2" s="1"/>
  <c r="Q27" i="1"/>
  <c r="R27" i="1" s="1"/>
  <c r="P27" i="2" s="1"/>
  <c r="Q26" i="1"/>
  <c r="R26" i="1" s="1"/>
  <c r="P26" i="2" s="1"/>
  <c r="Q26" i="2" s="1"/>
  <c r="Q25" i="1"/>
  <c r="R25" i="1" s="1"/>
  <c r="P25" i="2" s="1"/>
  <c r="Q24" i="1"/>
  <c r="R24" i="1" s="1"/>
  <c r="P24" i="2" s="1"/>
  <c r="Q23" i="1"/>
  <c r="R23" i="1" s="1"/>
  <c r="P23" i="2" s="1"/>
  <c r="Q22" i="1"/>
  <c r="R22" i="1" s="1"/>
  <c r="P22" i="2" s="1"/>
  <c r="Q21" i="1"/>
  <c r="R21" i="1" s="1"/>
  <c r="P21" i="2" s="1"/>
  <c r="Q21" i="2" s="1"/>
  <c r="Q20" i="1"/>
  <c r="R20" i="1" s="1"/>
  <c r="P20" i="2" s="1"/>
  <c r="Q19" i="1"/>
  <c r="R19" i="1" s="1"/>
  <c r="P19" i="2" s="1"/>
  <c r="Q18" i="1"/>
  <c r="R18" i="1" s="1"/>
  <c r="P18" i="2" s="1"/>
  <c r="Q18" i="2" s="1"/>
  <c r="Q17" i="1"/>
  <c r="R17" i="1" s="1"/>
  <c r="P17" i="2" s="1"/>
  <c r="Q16" i="1"/>
  <c r="R16" i="1" s="1"/>
  <c r="P16" i="2" s="1"/>
  <c r="Q16" i="2" s="1"/>
  <c r="Q15" i="1"/>
  <c r="R15" i="1" s="1"/>
  <c r="P15" i="2" s="1"/>
  <c r="Q14" i="1"/>
  <c r="R14" i="1" s="1"/>
  <c r="P14" i="2" s="1"/>
  <c r="Q13" i="1"/>
  <c r="R13" i="1" s="1"/>
  <c r="P13" i="2" s="1"/>
  <c r="Q12" i="1"/>
  <c r="R12" i="1" s="1"/>
  <c r="P12" i="2" s="1"/>
  <c r="Q11" i="1"/>
  <c r="R11" i="1" s="1"/>
  <c r="P11" i="2" s="1"/>
  <c r="Q10" i="1"/>
  <c r="R10" i="1" s="1"/>
  <c r="P10" i="2" s="1"/>
  <c r="Q9" i="1"/>
  <c r="R9" i="1" s="1"/>
  <c r="P9" i="2" s="1"/>
  <c r="Q8" i="1"/>
  <c r="R8" i="1" s="1"/>
  <c r="P8" i="2" s="1"/>
  <c r="Q6" i="1"/>
  <c r="R6" i="1" s="1"/>
  <c r="P6" i="2" s="1"/>
  <c r="Q5" i="1"/>
  <c r="R5" i="1" s="1"/>
  <c r="P5" i="2" s="1"/>
  <c r="Q4" i="1"/>
  <c r="R4" i="1" s="1"/>
  <c r="P4" i="2" s="1"/>
  <c r="Q4" i="2" s="1"/>
  <c r="Q3" i="1"/>
  <c r="R3" i="1" s="1"/>
  <c r="P3" i="2" s="1"/>
  <c r="Q2" i="1"/>
  <c r="R2" i="1" s="1"/>
  <c r="P2" i="2" s="1"/>
  <c r="Q6" i="2" l="1"/>
  <c r="Q11" i="2"/>
  <c r="Q19" i="2"/>
  <c r="Q12" i="2"/>
  <c r="Q14" i="2"/>
  <c r="Q25" i="2"/>
  <c r="Q20" i="2"/>
  <c r="Q5" i="2"/>
  <c r="Q28" i="2"/>
  <c r="Q15" i="2"/>
  <c r="Q23" i="2"/>
  <c r="Q2" i="2"/>
  <c r="Q9" i="2"/>
  <c r="Q17" i="2"/>
  <c r="Q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tc={696d030f-55a2-48a4-8002-1531c3a82aa6}</author>
    <author>tc={9407fa9a-29b6-4948-a134-3912409f67ae}</author>
    <author>tc={743a1ac0-91ed-40af-a713-a2ff76945344}</author>
    <author>tc={02a880db-ad86-4bcd-a2fe-3ffed38a065b}</author>
    <author>tc={421da29b-0bf0-4dcf-93ae-a693c025bc1c}</author>
    <author>tc={911d0d9d-f5d4-48f5-9058-23f13083afb5}</author>
    <author>tc={72cf7c3d-f7ff-4805-b452-54236660865b}</author>
  </authors>
  <commentList>
    <comment ref="M8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F23" authorId="1" shapeId="0" xr:uid="{696D030F-55A2-48A4-8002-1531C3A82AA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G24" authorId="2" shapeId="0" xr:uid="{9407FA9A-29B6-4948-A134-3912409F67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K24" authorId="3" shapeId="0" xr:uid="{743A1AC0-91ED-40AF-A713-A2FF769453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L24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N24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G26" authorId="4" shapeId="0" xr:uid="{02A880DB-AD86-4BCD-A2FE-3FFED38A06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H27" authorId="5" shapeId="0" xr:uid="{421DA29B-0BF0-4DCF-93AE-A693C025BC1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L27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F31" authorId="6" shapeId="0" xr:uid="{911D0D9D-F5D4-48F5-9058-23F13083AFB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K31" authorId="7" shapeId="0" xr:uid="{72CF7C3D-F7FF-4805-B452-5423666086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L31" authorId="0" shapeId="0" xr:uid="{00000000-0006-0000-0000-000004000000}">
      <text>
        <r>
          <rPr>
            <sz val="10"/>
            <color rgb="FF000000"/>
            <rFont val="Arial"/>
            <family val="2"/>
          </rPr>
          <t>Pizarra</t>
        </r>
      </text>
    </comment>
    <comment ref="M31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N31" authorId="0" shapeId="0" xr:uid="{00000000-0006-0000-0000-000006000000}">
      <text>
        <r>
          <rPr>
            <sz val="10"/>
            <color rgb="FF000000"/>
            <rFont val="Arial"/>
            <family val="2"/>
          </rPr>
          <t>Pizarra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tc={52619A6E-202C-9641-AA2B-E494D5280077}</author>
    <author>tc={08399C04-CA2D-A847-B22B-3C1A763E5900}</author>
    <author>tc={68FDBB96-E8BC-1742-9C03-AFBBCD713130}</author>
    <author>tc={ECA21B30-8344-F149-81B4-29C0E9DAE850}</author>
    <author>tc={C0B31B3B-299A-9440-B9F6-5BF9E3001D22}</author>
    <author>tc={333D5F10-E366-B047-8939-47323E5DE319}</author>
    <author>tc={15A711AD-31A2-3544-815E-B77806E32B7E}</author>
  </authors>
  <commentList>
    <comment ref="X13" authorId="0" shapeId="0" xr:uid="{CE8D7367-E796-CB43-9F2D-C6EF17AD878C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M28" authorId="1" shapeId="0" xr:uid="{52619A6E-202C-9641-AA2B-E494D528007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N29" authorId="2" shapeId="0" xr:uid="{08399C04-CA2D-A847-B22B-3C1A763E59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U29" authorId="3" shapeId="0" xr:uid="{68FDBB96-E8BC-1742-9C03-AFBBCD71313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V29" authorId="0" shapeId="0" xr:uid="{8249CE60-37D1-2048-A3CB-280AD30EF8F5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Y29" authorId="0" shapeId="0" xr:uid="{1DEF16D9-96BD-AF4D-9DFE-EC9342B55BE5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N31" authorId="4" shapeId="0" xr:uid="{ECA21B30-8344-F149-81B4-29C0E9DAE85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O32" authorId="5" shapeId="0" xr:uid="{C0B31B3B-299A-9440-B9F6-5BF9E3001D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V32" authorId="0" shapeId="0" xr:uid="{EAADA730-0F36-584E-AD0E-E8546209FBE6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M36" authorId="6" shapeId="0" xr:uid="{333D5F10-E366-B047-8939-47323E5DE31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U36" authorId="7" shapeId="0" xr:uid="{15A711AD-31A2-3544-815E-B77806E32B7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V36" authorId="0" shapeId="0" xr:uid="{E8E6DC99-E46C-7045-AD58-7D10ADDCA6AC}">
      <text>
        <r>
          <rPr>
            <sz val="10"/>
            <color rgb="FF000000"/>
            <rFont val="Arial"/>
            <family val="2"/>
          </rPr>
          <t>Pizarra</t>
        </r>
      </text>
    </comment>
    <comment ref="X36" authorId="0" shapeId="0" xr:uid="{CAED4DEF-54D0-7840-9385-10BB8888BAE5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Y36" authorId="0" shapeId="0" xr:uid="{E7856BAE-CED7-D14E-A7CD-75E43B24A51C}">
      <text>
        <r>
          <rPr>
            <sz val="10"/>
            <color rgb="FF000000"/>
            <rFont val="Arial"/>
            <family val="2"/>
          </rPr>
          <t>Pizarra</t>
        </r>
      </text>
    </comment>
  </commentList>
</comments>
</file>

<file path=xl/sharedStrings.xml><?xml version="1.0" encoding="utf-8"?>
<sst xmlns="http://schemas.openxmlformats.org/spreadsheetml/2006/main" count="220" uniqueCount="133">
  <si>
    <t>Fernando Torre</t>
  </si>
  <si>
    <t>TOTAL</t>
  </si>
  <si>
    <t>%</t>
  </si>
  <si>
    <r>
      <rPr>
        <u/>
        <sz val="11"/>
        <color rgb="FF1155CC"/>
        <rFont val="Arial"/>
        <family val="2"/>
        <scheme val="minor"/>
      </rPr>
      <t>GA</t>
    </r>
    <r>
      <rPr>
        <u/>
        <sz val="11"/>
        <color rgb="FF1155CC"/>
        <rFont val="Arial"/>
        <family val="2"/>
        <scheme val="minor"/>
      </rPr>
      <t>Gustavo Abad</t>
    </r>
  </si>
  <si>
    <t>Nombre</t>
  </si>
  <si>
    <t>Apellido(s)</t>
  </si>
  <si>
    <t>Cédula</t>
  </si>
  <si>
    <t>Parcial 1</t>
  </si>
  <si>
    <t>Parcial 2</t>
  </si>
  <si>
    <t>Prueba Práctica 1</t>
  </si>
  <si>
    <t>Prueba Práctica 2</t>
  </si>
  <si>
    <t>Proyecto 1</t>
  </si>
  <si>
    <t>Proyecto 2</t>
  </si>
  <si>
    <t xml:space="preserve"> IBM SkillBuild</t>
  </si>
  <si>
    <t>Video interactivo</t>
  </si>
  <si>
    <t>GameMap</t>
  </si>
  <si>
    <t>Código Naranja</t>
  </si>
  <si>
    <t>Total %</t>
  </si>
  <si>
    <t>Escala 20</t>
  </si>
  <si>
    <t>Partic</t>
  </si>
  <si>
    <t>Def</t>
  </si>
  <si>
    <t>Gustavo</t>
  </si>
  <si>
    <t>Abad</t>
  </si>
  <si>
    <r>
      <rPr>
        <u/>
        <sz val="11"/>
        <color rgb="FF1155CC"/>
        <rFont val="Arial"/>
        <family val="2"/>
        <scheme val="minor"/>
      </rPr>
      <t>DA</t>
    </r>
    <r>
      <rPr>
        <u/>
        <sz val="11"/>
        <color rgb="FF1155CC"/>
        <rFont val="Arial"/>
        <family val="2"/>
        <scheme val="minor"/>
      </rPr>
      <t>Daniel Angulo</t>
    </r>
  </si>
  <si>
    <t>Daniel</t>
  </si>
  <si>
    <t>Angulo</t>
  </si>
  <si>
    <r>
      <rPr>
        <u/>
        <sz val="11"/>
        <color rgb="FF1155CC"/>
        <rFont val="Arial"/>
        <family val="2"/>
        <scheme val="minor"/>
      </rPr>
      <t>JB</t>
    </r>
    <r>
      <rPr>
        <u/>
        <sz val="11"/>
        <color rgb="FF1155CC"/>
        <rFont val="Arial"/>
        <family val="2"/>
        <scheme val="minor"/>
      </rPr>
      <t>Jesus Bethencourt</t>
    </r>
  </si>
  <si>
    <t>Ret</t>
  </si>
  <si>
    <t>Jesús</t>
  </si>
  <si>
    <t>Bethencourt</t>
  </si>
  <si>
    <r>
      <rPr>
        <u/>
        <sz val="11"/>
        <color rgb="FF1155CC"/>
        <rFont val="Arial"/>
        <family val="2"/>
        <scheme val="minor"/>
      </rPr>
      <t>LB</t>
    </r>
    <r>
      <rPr>
        <u/>
        <sz val="11"/>
        <color rgb="FF1155CC"/>
        <rFont val="Arial"/>
        <family val="2"/>
        <scheme val="minor"/>
      </rPr>
      <t>Luis Bravo</t>
    </r>
  </si>
  <si>
    <t>Luis</t>
  </si>
  <si>
    <t>Bravo</t>
  </si>
  <si>
    <t>Calderon</t>
  </si>
  <si>
    <t>Rafael</t>
  </si>
  <si>
    <t>Cardenas</t>
  </si>
  <si>
    <r>
      <rPr>
        <b/>
        <u/>
        <sz val="11"/>
        <color rgb="FF1155CC"/>
        <rFont val="Arial"/>
        <family val="2"/>
        <scheme val="minor"/>
      </rPr>
      <t>Daniel Calderon</t>
    </r>
  </si>
  <si>
    <t>Derek Braian</t>
  </si>
  <si>
    <t>Carvajal Lisboa</t>
  </si>
  <si>
    <r>
      <rPr>
        <u/>
        <sz val="11"/>
        <color rgb="FF1155CC"/>
        <rFont val="Arial"/>
        <family val="2"/>
        <scheme val="minor"/>
      </rPr>
      <t>RC</t>
    </r>
    <r>
      <rPr>
        <u/>
        <sz val="11"/>
        <color rgb="FF1155CC"/>
        <rFont val="Arial"/>
        <family val="2"/>
        <scheme val="minor"/>
      </rPr>
      <t>Rafael Cardenas</t>
    </r>
  </si>
  <si>
    <t>Carolina</t>
  </si>
  <si>
    <t>Dib</t>
  </si>
  <si>
    <t>Natalio</t>
  </si>
  <si>
    <t>Djandji</t>
  </si>
  <si>
    <t>Farrera</t>
  </si>
  <si>
    <r>
      <rPr>
        <b/>
        <u/>
        <sz val="11"/>
        <color rgb="FF1155CC"/>
        <rFont val="Arial"/>
        <family val="2"/>
        <scheme val="minor"/>
      </rPr>
      <t>Derek Braian Carvajal Lisboa</t>
    </r>
  </si>
  <si>
    <t>Andrés Alejandro</t>
  </si>
  <si>
    <t>Fung Lander</t>
  </si>
  <si>
    <t>Diego Eduardo</t>
  </si>
  <si>
    <t>Gutierrez Mora</t>
  </si>
  <si>
    <r>
      <rPr>
        <u/>
        <sz val="11"/>
        <color rgb="FF1155CC"/>
        <rFont val="Arial"/>
        <family val="2"/>
        <scheme val="minor"/>
      </rPr>
      <t>CD</t>
    </r>
    <r>
      <rPr>
        <u/>
        <sz val="11"/>
        <color rgb="FF1155CC"/>
        <rFont val="Arial"/>
        <family val="2"/>
        <scheme val="minor"/>
      </rPr>
      <t>Carolina Dib</t>
    </r>
  </si>
  <si>
    <r>
      <rPr>
        <u/>
        <sz val="11"/>
        <color rgb="FF1155CC"/>
        <rFont val="Arial"/>
        <family val="2"/>
        <scheme val="minor"/>
      </rPr>
      <t>ND</t>
    </r>
    <r>
      <rPr>
        <u/>
        <sz val="11"/>
        <color rgb="FF1155CC"/>
        <rFont val="Arial"/>
        <family val="2"/>
        <scheme val="minor"/>
      </rPr>
      <t>Natalio Djandji</t>
    </r>
  </si>
  <si>
    <t>Victoria</t>
  </si>
  <si>
    <t>Hernández</t>
  </si>
  <si>
    <t>Kelvin</t>
  </si>
  <si>
    <t>Hurtado</t>
  </si>
  <si>
    <r>
      <rPr>
        <u/>
        <sz val="11"/>
        <color rgb="FF1155CC"/>
        <rFont val="Arial"/>
        <family val="2"/>
        <scheme val="minor"/>
      </rPr>
      <t>LF</t>
    </r>
    <r>
      <rPr>
        <u/>
        <sz val="11"/>
        <color rgb="FF1155CC"/>
        <rFont val="Arial"/>
        <family val="2"/>
        <scheme val="minor"/>
      </rPr>
      <t>Luis Farrera</t>
    </r>
  </si>
  <si>
    <t>Jesus Enrique</t>
  </si>
  <si>
    <t>Leal Carrillo</t>
  </si>
  <si>
    <r>
      <rPr>
        <u/>
        <sz val="11"/>
        <color rgb="FF1155CC"/>
        <rFont val="Arial"/>
        <family val="2"/>
        <scheme val="minor"/>
      </rPr>
      <t>AF</t>
    </r>
    <r>
      <rPr>
        <u/>
        <sz val="11"/>
        <color rgb="FF1155CC"/>
        <rFont val="Arial"/>
        <family val="2"/>
        <scheme val="minor"/>
      </rPr>
      <t>Andrés Alejandro Fung Lander</t>
    </r>
  </si>
  <si>
    <t>Andres Emilio</t>
  </si>
  <si>
    <t>Mujica Gil</t>
  </si>
  <si>
    <r>
      <rPr>
        <u/>
        <sz val="11"/>
        <color rgb="FF1155CC"/>
        <rFont val="Arial"/>
        <family val="2"/>
        <scheme val="minor"/>
      </rPr>
      <t>DG</t>
    </r>
    <r>
      <rPr>
        <u/>
        <sz val="11"/>
        <color rgb="FF1155CC"/>
        <rFont val="Arial"/>
        <family val="2"/>
        <scheme val="minor"/>
      </rPr>
      <t>Diego Eduardo Gutierrez Mora</t>
    </r>
  </si>
  <si>
    <t>Juan</t>
  </si>
  <si>
    <t>Olivero</t>
  </si>
  <si>
    <t>Carlos</t>
  </si>
  <si>
    <t>Padron</t>
  </si>
  <si>
    <r>
      <rPr>
        <u/>
        <sz val="11"/>
        <color rgb="FF1155CC"/>
        <rFont val="Arial"/>
        <family val="2"/>
        <scheme val="minor"/>
      </rPr>
      <t>VH</t>
    </r>
    <r>
      <rPr>
        <u/>
        <sz val="11"/>
        <color rgb="FF1155CC"/>
        <rFont val="Arial"/>
        <family val="2"/>
        <scheme val="minor"/>
      </rPr>
      <t>Victoria Hernández</t>
    </r>
  </si>
  <si>
    <t>Andres</t>
  </si>
  <si>
    <t>Perozo Minetti</t>
  </si>
  <si>
    <t>Alexander</t>
  </si>
  <si>
    <t>Ramírez</t>
  </si>
  <si>
    <r>
      <rPr>
        <b/>
        <u/>
        <sz val="11"/>
        <color rgb="FF1155CC"/>
        <rFont val="Arial"/>
        <family val="2"/>
        <scheme val="minor"/>
      </rPr>
      <t>Kelvin Hurtado</t>
    </r>
  </si>
  <si>
    <t>Luciano</t>
  </si>
  <si>
    <t>Roa</t>
  </si>
  <si>
    <t>Jesus Gabriel</t>
  </si>
  <si>
    <t>Rodríguez Brito</t>
  </si>
  <si>
    <r>
      <rPr>
        <b/>
        <u/>
        <sz val="11"/>
        <color rgb="FF1155CC"/>
        <rFont val="Arial"/>
        <family val="2"/>
        <scheme val="minor"/>
      </rPr>
      <t>Jesus Enrique Leal Carrillo</t>
    </r>
  </si>
  <si>
    <t>Leonardo Miguel</t>
  </si>
  <si>
    <t>Segovia Pinho</t>
  </si>
  <si>
    <r>
      <rPr>
        <b/>
        <u/>
        <sz val="11"/>
        <color rgb="FF1155CC"/>
        <rFont val="Arial"/>
        <family val="2"/>
        <scheme val="minor"/>
      </rPr>
      <t>Andres Emilio Mujica Gil</t>
    </r>
  </si>
  <si>
    <t>Armando</t>
  </si>
  <si>
    <t>Suarez</t>
  </si>
  <si>
    <t>Sophia</t>
  </si>
  <si>
    <t>Tenorio</t>
  </si>
  <si>
    <r>
      <rPr>
        <u/>
        <sz val="11"/>
        <color rgb="FF1155CC"/>
        <rFont val="Arial"/>
        <family val="2"/>
        <scheme val="minor"/>
      </rPr>
      <t>JO</t>
    </r>
    <r>
      <rPr>
        <u/>
        <sz val="11"/>
        <color rgb="FF1155CC"/>
        <rFont val="Arial"/>
        <family val="2"/>
        <scheme val="minor"/>
      </rPr>
      <t>Juan Olivero</t>
    </r>
  </si>
  <si>
    <t>Antonio</t>
  </si>
  <si>
    <t>Yibirin</t>
  </si>
  <si>
    <t>Alejandro Ezequiel</t>
  </si>
  <si>
    <t>Zamora Escalante</t>
  </si>
  <si>
    <r>
      <rPr>
        <u/>
        <sz val="11"/>
        <color rgb="FF1155CC"/>
        <rFont val="Arial"/>
        <family val="2"/>
        <scheme val="minor"/>
      </rPr>
      <t>CP</t>
    </r>
    <r>
      <rPr>
        <u/>
        <sz val="11"/>
        <color rgb="FF1155CC"/>
        <rFont val="Arial"/>
        <family val="2"/>
        <scheme val="minor"/>
      </rPr>
      <t>Carlos Padron</t>
    </r>
  </si>
  <si>
    <t>Giovanni</t>
  </si>
  <si>
    <t>Zarbo</t>
  </si>
  <si>
    <t>Azael Alonso</t>
  </si>
  <si>
    <t>Zerpa Salazar</t>
  </si>
  <si>
    <r>
      <rPr>
        <u/>
        <sz val="11"/>
        <color rgb="FF1155CC"/>
        <rFont val="Arial"/>
        <family val="2"/>
        <scheme val="minor"/>
      </rPr>
      <t>AP</t>
    </r>
    <r>
      <rPr>
        <u/>
        <sz val="11"/>
        <color rgb="FF1155CC"/>
        <rFont val="Arial"/>
        <family val="2"/>
        <scheme val="minor"/>
      </rPr>
      <t>Andres Perozo Minetti</t>
    </r>
  </si>
  <si>
    <t>Nicolás</t>
  </si>
  <si>
    <t>Mendez</t>
  </si>
  <si>
    <r>
      <rPr>
        <b/>
        <u/>
        <sz val="11"/>
        <color rgb="FF1155CC"/>
        <rFont val="Arial"/>
        <family val="2"/>
        <scheme val="minor"/>
      </rPr>
      <t>Alexander Ramírez</t>
    </r>
  </si>
  <si>
    <r>
      <rPr>
        <b/>
        <u/>
        <sz val="11"/>
        <color rgb="FF1155CC"/>
        <rFont val="Arial"/>
        <family val="2"/>
        <scheme val="minor"/>
      </rPr>
      <t>Luciano Roa</t>
    </r>
  </si>
  <si>
    <r>
      <rPr>
        <b/>
        <u/>
        <sz val="11"/>
        <color rgb="FF1155CC"/>
        <rFont val="Arial"/>
        <family val="2"/>
        <scheme val="minor"/>
      </rPr>
      <t>Jesus Gabriel Rodríguez Brito</t>
    </r>
  </si>
  <si>
    <r>
      <rPr>
        <u/>
        <sz val="11"/>
        <color rgb="FF1155CC"/>
        <rFont val="Arial"/>
        <family val="2"/>
        <scheme val="minor"/>
      </rPr>
      <t>LS</t>
    </r>
    <r>
      <rPr>
        <u/>
        <sz val="11"/>
        <color rgb="FF1155CC"/>
        <rFont val="Arial"/>
        <family val="2"/>
        <scheme val="minor"/>
      </rPr>
      <t>Leonardo Miguel Segovia Pinho</t>
    </r>
  </si>
  <si>
    <r>
      <rPr>
        <u/>
        <sz val="11"/>
        <color rgb="FF1155CC"/>
        <rFont val="Arial"/>
        <family val="2"/>
        <scheme val="minor"/>
      </rPr>
      <t>AS</t>
    </r>
    <r>
      <rPr>
        <u/>
        <sz val="11"/>
        <color rgb="FF1155CC"/>
        <rFont val="Arial"/>
        <family val="2"/>
        <scheme val="minor"/>
      </rPr>
      <t>Armando Suarez</t>
    </r>
  </si>
  <si>
    <r>
      <rPr>
        <u/>
        <sz val="11"/>
        <color rgb="FF1155CC"/>
        <rFont val="Arial"/>
        <family val="2"/>
        <scheme val="minor"/>
      </rPr>
      <t>ST</t>
    </r>
    <r>
      <rPr>
        <u/>
        <sz val="11"/>
        <color rgb="FF1155CC"/>
        <rFont val="Arial"/>
        <family val="2"/>
        <scheme val="minor"/>
      </rPr>
      <t>Sophia Tenorio</t>
    </r>
  </si>
  <si>
    <r>
      <rPr>
        <u/>
        <sz val="11"/>
        <color rgb="FF1155CC"/>
        <rFont val="Arial"/>
        <family val="2"/>
        <scheme val="minor"/>
      </rPr>
      <t>AY</t>
    </r>
    <r>
      <rPr>
        <u/>
        <sz val="11"/>
        <color rgb="FF1155CC"/>
        <rFont val="Arial"/>
        <family val="2"/>
        <scheme val="minor"/>
      </rPr>
      <t>Antonio Yibirin</t>
    </r>
  </si>
  <si>
    <r>
      <rPr>
        <b/>
        <u/>
        <sz val="11"/>
        <color rgb="FF1155CC"/>
        <rFont val="Arial"/>
        <family val="2"/>
        <scheme val="minor"/>
      </rPr>
      <t>Alejandro Ezequiel Zamora Escalante</t>
    </r>
  </si>
  <si>
    <r>
      <rPr>
        <u/>
        <sz val="11"/>
        <color rgb="FF1155CC"/>
        <rFont val="Arial"/>
        <family val="2"/>
        <scheme val="minor"/>
      </rPr>
      <t>GZ</t>
    </r>
    <r>
      <rPr>
        <u/>
        <sz val="11"/>
        <color rgb="FF1155CC"/>
        <rFont val="Arial"/>
        <family val="2"/>
        <scheme val="minor"/>
      </rPr>
      <t>Giovanni Zarbo</t>
    </r>
  </si>
  <si>
    <r>
      <rPr>
        <b/>
        <u/>
        <sz val="11"/>
        <color rgb="FF1155CC"/>
        <rFont val="Arial"/>
        <family val="2"/>
        <scheme val="minor"/>
      </rPr>
      <t>Azael Alonso Zerpa Salazar</t>
    </r>
  </si>
  <si>
    <t>Nicolas Mendez</t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</si>
  <si>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</si>
  <si>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</si>
  <si>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</si>
  <si>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</si>
  <si>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</si>
  <si>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</si>
  <si>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</si>
  <si>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</si>
  <si>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</si>
  <si>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</si>
  <si>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</si>
  <si>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</si>
  <si>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</si>
  <si>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</si>
  <si>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</si>
  <si>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</si>
  <si>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</si>
  <si>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</si>
  <si>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</si>
  <si>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martes</t>
  </si>
  <si>
    <t>jueves</t>
  </si>
  <si>
    <t>Estructura De Datos</t>
  </si>
  <si>
    <t>2526-1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</si>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</sst>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 mmm"/>
  </numFmts>
  <fonts count="2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&quot;Arial Unicode MS&quot;"/>
    </font>
    <font>
      <b/>
      <sz val="11"/>
      <color rgb="FF000000"/>
      <name val="Arial"/>
      <family val="2"/>
    </font>
    <font>
      <u/>
      <sz val="11"/>
      <color rgb="FF0000FF"/>
      <name val="&quot;Century Gothic&quot;"/>
    </font>
    <font>
      <sz val="11"/>
      <color rgb="FF000000"/>
      <name val="&quot;Arial Unicode MS&quot;"/>
    </font>
    <font>
      <b/>
      <sz val="11"/>
      <color theme="1"/>
      <name val="&quot;Arial Unicode MS&quot;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u/>
      <sz val="11"/>
      <color rgb="FF0000FF"/>
      <name val="&quot;Century Gothic&quot;"/>
    </font>
    <font>
      <b/>
      <sz val="11"/>
      <color rgb="FFBF9000"/>
      <name val="&quot;Arial Unicode MS&quot;"/>
    </font>
    <font>
      <b/>
      <sz val="11"/>
      <color rgb="FFBF9000"/>
      <name val="Arial"/>
      <family val="2"/>
    </font>
    <font>
      <b/>
      <sz val="10"/>
      <color rgb="FFBF9000"/>
      <name val="Arial"/>
      <family val="2"/>
      <scheme val="minor"/>
    </font>
    <font>
      <u/>
      <sz val="11"/>
      <color rgb="FF1155CC"/>
      <name val="Arial"/>
      <family val="2"/>
      <scheme val="minor"/>
    </font>
    <font>
      <b/>
      <u/>
      <sz val="11"/>
      <color rgb="FF1155CC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10" fontId="1" fillId="0" borderId="0" xfId="0" applyNumberFormat="1" applyFont="1"/>
    <xf numFmtId="2" fontId="3" fillId="0" borderId="0" xfId="0" applyNumberFormat="1" applyFont="1" applyAlignment="1">
      <alignment horizontal="right"/>
    </xf>
    <xf numFmtId="9" fontId="6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0" borderId="0" xfId="0" applyFont="1"/>
    <xf numFmtId="0" fontId="10" fillId="0" borderId="1" xfId="0" applyFont="1" applyBorder="1" applyAlignment="1">
      <alignment horizontal="left"/>
    </xf>
    <xf numFmtId="1" fontId="11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/>
    <xf numFmtId="1" fontId="13" fillId="0" borderId="0" xfId="0" applyNumberFormat="1" applyFont="1"/>
    <xf numFmtId="9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6" fillId="2" borderId="0" xfId="0" applyFont="1" applyFill="1"/>
    <xf numFmtId="0" fontId="6" fillId="3" borderId="0" xfId="0" applyFont="1" applyFill="1"/>
    <xf numFmtId="0" fontId="1" fillId="3" borderId="0" xfId="0" applyFont="1" applyFill="1"/>
    <xf numFmtId="0" fontId="16" fillId="0" borderId="0" xfId="0" applyFont="1"/>
    <xf numFmtId="0" fontId="1" fillId="0" borderId="2" xfId="0" applyFont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Total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rnando Javier Torre Mora" id="{C926D3C3-FEAD-4F55-894F-6A7EA40DF499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31">
  <tableColumns count="17">
    <tableColumn id="1" xr3:uid="{00000000-0010-0000-0000-000001000000}" name="Nombre"/>
    <tableColumn id="2" xr3:uid="{00000000-0010-0000-0000-000002000000}" name="Apellido(s)"/>
    <tableColumn id="3" xr3:uid="{00000000-0010-0000-0000-000003000000}" name="Cédula"/>
    <tableColumn id="4" xr3:uid="{00000000-0010-0000-0000-000004000000}" name="Parcial 1"/>
    <tableColumn id="5" xr3:uid="{00000000-0010-0000-0000-000005000000}" name="Parcial 2"/>
    <tableColumn id="6" xr3:uid="{00000000-0010-0000-0000-000006000000}" name="Prueba Práctica 1"/>
    <tableColumn id="7" xr3:uid="{00000000-0010-0000-0000-000007000000}" name="Prueba Práctica 2"/>
    <tableColumn id="8" xr3:uid="{00000000-0010-0000-0000-000008000000}" name="Proyecto 1"/>
    <tableColumn id="9" xr3:uid="{00000000-0010-0000-0000-000009000000}" name="Proyecto 2"/>
    <tableColumn id="10" xr3:uid="{00000000-0010-0000-0000-00000A000000}" name=" IBM SkillBuild"/>
    <tableColumn id="11" xr3:uid="{00000000-0010-0000-0000-00000B000000}" name="Video interactivo"/>
    <tableColumn id="12" xr3:uid="{00000000-0010-0000-0000-00000C000000}" name="GameMap"/>
    <tableColumn id="13" xr3:uid="{00000000-0010-0000-0000-00000D000000}" name="Código Naranja"/>
    <tableColumn id="14" xr3:uid="{00000000-0010-0000-0000-00000E000000}" name="Total %"/>
    <tableColumn id="15" xr3:uid="{00000000-0010-0000-0000-00000F000000}" name="Escala 20"/>
    <tableColumn id="16" xr3:uid="{00000000-0010-0000-0000-000010000000}" name="Partic"/>
    <tableColumn id="17" xr3:uid="{00000000-0010-0000-0000-000011000000}" name="Def"/>
  </tableColumns>
  <tableStyleInfo name="Tot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3" dT="2025-11-23T02:14:27.00" personId="{C926D3C3-FEAD-4F55-894F-6A7EA40DF499}" id="{696D030F-55A2-48A4-8002-1531C3A82AA6}">
    <text>Pizarra</text>
  </threadedComment>
  <threadedComment ref="G24" dT="2025-11-23T02:11:04.00" personId="{C926D3C3-FEAD-4F55-894F-6A7EA40DF499}" id="{9407FA9A-29B6-4948-A134-3912409F67AE}">
    <text>Pizarra</text>
  </threadedComment>
  <threadedComment ref="K24" dT="2025-11-23T02:09:27.00" personId="{C926D3C3-FEAD-4F55-894F-6A7EA40DF499}" id="{743A1AC0-91ED-40AF-A713-A2FF76945344}">
    <text>Pizarra</text>
  </threadedComment>
  <threadedComment ref="G26" dT="2025-11-23T02:12:47.00" personId="{C926D3C3-FEAD-4F55-894F-6A7EA40DF499}" id="{02A880DB-AD86-4BCD-A2FE-3FFED38A065B}">
    <text>Pizarra</text>
  </threadedComment>
  <threadedComment ref="H27" dT="2025-11-23T02:11:41.00" personId="{C926D3C3-FEAD-4F55-894F-6A7EA40DF499}" id="{421DA29B-0BF0-4DCF-93AE-A693C025BC1C}">
    <text>Pizarra</text>
  </threadedComment>
  <threadedComment ref="F31" dT="2025-11-23T02:14:54.00" personId="{C926D3C3-FEAD-4F55-894F-6A7EA40DF499}" id="{911D0D9D-F5D4-48F5-9058-23F13083AFB5}">
    <text>Pizarra</text>
  </threadedComment>
  <threadedComment ref="K31" dT="2025-11-23T02:10:08.00" personId="{C926D3C3-FEAD-4F55-894F-6A7EA40DF499}" id="{72CF7C3D-F7FF-4805-B452-54236660865B}">
    <text>Pizarra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28" dT="2025-11-23T02:14:27.00" personId="{C926D3C3-FEAD-4F55-894F-6A7EA40DF499}" id="{52619A6E-202C-9641-AA2B-E494D5280077}">
    <text>Pizarra</text>
  </threadedComment>
  <threadedComment ref="N29" dT="2025-11-23T02:11:04.00" personId="{C926D3C3-FEAD-4F55-894F-6A7EA40DF499}" id="{08399C04-CA2D-A847-B22B-3C1A763E5900}">
    <text>Pizarra</text>
  </threadedComment>
  <threadedComment ref="U29" dT="2025-11-23T02:09:27.00" personId="{C926D3C3-FEAD-4F55-894F-6A7EA40DF499}" id="{68FDBB96-E8BC-1742-9C03-AFBBCD713130}">
    <text>Pizarra</text>
  </threadedComment>
  <threadedComment ref="N31" dT="2025-11-23T02:12:47.00" personId="{C926D3C3-FEAD-4F55-894F-6A7EA40DF499}" id="{ECA21B30-8344-F149-81B4-29C0E9DAE850}">
    <text>Pizarra</text>
  </threadedComment>
  <threadedComment ref="O32" dT="2025-11-23T02:11:41.00" personId="{C926D3C3-FEAD-4F55-894F-6A7EA40DF499}" id="{C0B31B3B-299A-9440-B9F6-5BF9E3001D22}">
    <text>Pizarra</text>
  </threadedComment>
  <threadedComment ref="M36" dT="2025-11-23T02:14:54.00" personId="{C926D3C3-FEAD-4F55-894F-6A7EA40DF499}" id="{333D5F10-E366-B047-8939-47323E5DE319}">
    <text>Pizarra</text>
  </threadedComment>
  <threadedComment ref="U36" dT="2025-11-23T02:10:08.00" personId="{C926D3C3-FEAD-4F55-894F-6A7EA40DF499}" id="{15A711AD-31A2-3544-815E-B77806E32B7E}">
    <text>Pizarra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lasvirtuales.unimet.edu.ve/user/view.php?id=16050&amp;course=2879" TargetMode="External"/><Relationship Id="rId13" Type="http://schemas.openxmlformats.org/officeDocument/2006/relationships/hyperlink" Target="https://aulasvirtuales.unimet.edu.ve/user/view.php?id=7555&amp;course=2879" TargetMode="External"/><Relationship Id="rId18" Type="http://schemas.openxmlformats.org/officeDocument/2006/relationships/hyperlink" Target="https://aulasvirtuales.unimet.edu.ve/user/view.php?id=10993&amp;course=2879" TargetMode="External"/><Relationship Id="rId26" Type="http://schemas.openxmlformats.org/officeDocument/2006/relationships/hyperlink" Target="https://aulasvirtuales.unimet.edu.ve/user/view.php?id=12278&amp;course=2879" TargetMode="External"/><Relationship Id="rId3" Type="http://schemas.openxmlformats.org/officeDocument/2006/relationships/hyperlink" Target="https://aulasvirtuales.unimet.edu.ve/user/view.php?id=11666&amp;course=2879" TargetMode="External"/><Relationship Id="rId21" Type="http://schemas.openxmlformats.org/officeDocument/2006/relationships/hyperlink" Target="https://aulasvirtuales.unimet.edu.ve/user/view.php?id=8488&amp;course=2879" TargetMode="External"/><Relationship Id="rId7" Type="http://schemas.openxmlformats.org/officeDocument/2006/relationships/hyperlink" Target="https://aulasvirtuales.unimet.edu.ve/user/view.php?id=2095&amp;course=2879" TargetMode="External"/><Relationship Id="rId12" Type="http://schemas.openxmlformats.org/officeDocument/2006/relationships/hyperlink" Target="https://aulasvirtuales.unimet.edu.ve/user/view.php?id=15638&amp;course=2879" TargetMode="External"/><Relationship Id="rId17" Type="http://schemas.openxmlformats.org/officeDocument/2006/relationships/hyperlink" Target="https://aulasvirtuales.unimet.edu.ve/user/view.php?id=15967&amp;course=2879" TargetMode="External"/><Relationship Id="rId25" Type="http://schemas.openxmlformats.org/officeDocument/2006/relationships/hyperlink" Target="https://aulasvirtuales.unimet.edu.ve/user/view.php?id=15649&amp;course=2879" TargetMode="External"/><Relationship Id="rId2" Type="http://schemas.openxmlformats.org/officeDocument/2006/relationships/hyperlink" Target="https://aulasvirtuales.unimet.edu.ve/user/view.php?id=11732&amp;course=2879" TargetMode="External"/><Relationship Id="rId16" Type="http://schemas.openxmlformats.org/officeDocument/2006/relationships/hyperlink" Target="https://aulasvirtuales.unimet.edu.ve/user/view.php?id=9269&amp;course=2879" TargetMode="External"/><Relationship Id="rId20" Type="http://schemas.openxmlformats.org/officeDocument/2006/relationships/hyperlink" Target="https://aulasvirtuales.unimet.edu.ve/user/view.php?id=15946&amp;course=2879" TargetMode="External"/><Relationship Id="rId29" Type="http://schemas.openxmlformats.org/officeDocument/2006/relationships/hyperlink" Target="https://aulasvirtuales.unimet.edu.ve/user/view.php?id=11122&amp;course=2879" TargetMode="External"/><Relationship Id="rId1" Type="http://schemas.openxmlformats.org/officeDocument/2006/relationships/hyperlink" Target="https://aulasvirtuales.unimet.edu.ve/user/view.php?id=15825&amp;course=2879" TargetMode="External"/><Relationship Id="rId6" Type="http://schemas.openxmlformats.org/officeDocument/2006/relationships/hyperlink" Target="https://aulasvirtuales.unimet.edu.ve/user/view.php?id=12282&amp;course=2879" TargetMode="External"/><Relationship Id="rId11" Type="http://schemas.openxmlformats.org/officeDocument/2006/relationships/hyperlink" Target="https://aulasvirtuales.unimet.edu.ve/user/view.php?id=12432&amp;course=2879" TargetMode="External"/><Relationship Id="rId24" Type="http://schemas.openxmlformats.org/officeDocument/2006/relationships/hyperlink" Target="https://aulasvirtuales.unimet.edu.ve/user/view.php?id=15879&amp;course=2879" TargetMode="External"/><Relationship Id="rId32" Type="http://schemas.microsoft.com/office/2017/10/relationships/threadedComment" Target="../threadedComments/threadedComment1.xml"/><Relationship Id="rId5" Type="http://schemas.openxmlformats.org/officeDocument/2006/relationships/hyperlink" Target="https://aulasvirtuales.unimet.edu.ve/user/view.php?id=6954&amp;course=2879" TargetMode="External"/><Relationship Id="rId15" Type="http://schemas.openxmlformats.org/officeDocument/2006/relationships/hyperlink" Target="https://aulasvirtuales.unimet.edu.ve/user/view.php?id=11869&amp;course=2879" TargetMode="External"/><Relationship Id="rId23" Type="http://schemas.openxmlformats.org/officeDocument/2006/relationships/hyperlink" Target="https://aulasvirtuales.unimet.edu.ve/user/view.php?id=10179&amp;course=2879" TargetMode="External"/><Relationship Id="rId28" Type="http://schemas.openxmlformats.org/officeDocument/2006/relationships/hyperlink" Target="https://aulasvirtuales.unimet.edu.ve/user/view.php?id=12435&amp;course=2879" TargetMode="External"/><Relationship Id="rId10" Type="http://schemas.openxmlformats.org/officeDocument/2006/relationships/hyperlink" Target="https://aulasvirtuales.unimet.edu.ve/user/view.php?id=11921&amp;course=2879" TargetMode="External"/><Relationship Id="rId19" Type="http://schemas.openxmlformats.org/officeDocument/2006/relationships/hyperlink" Target="https://aulasvirtuales.unimet.edu.ve/user/view.php?id=15892&amp;course=2879" TargetMode="External"/><Relationship Id="rId31" Type="http://schemas.openxmlformats.org/officeDocument/2006/relationships/comments" Target="../comments1.xml"/><Relationship Id="rId4" Type="http://schemas.openxmlformats.org/officeDocument/2006/relationships/hyperlink" Target="https://aulasvirtuales.unimet.edu.ve/user/view.php?id=17123&amp;course=2879" TargetMode="External"/><Relationship Id="rId9" Type="http://schemas.openxmlformats.org/officeDocument/2006/relationships/hyperlink" Target="https://aulasvirtuales.unimet.edu.ve/user/view.php?id=12970&amp;course=2879" TargetMode="External"/><Relationship Id="rId14" Type="http://schemas.openxmlformats.org/officeDocument/2006/relationships/hyperlink" Target="https://aulasvirtuales.unimet.edu.ve/user/view.php?id=8499&amp;course=2879" TargetMode="External"/><Relationship Id="rId22" Type="http://schemas.openxmlformats.org/officeDocument/2006/relationships/hyperlink" Target="https://aulasvirtuales.unimet.edu.ve/user/view.php?id=11886&amp;course=2879" TargetMode="External"/><Relationship Id="rId27" Type="http://schemas.openxmlformats.org/officeDocument/2006/relationships/hyperlink" Target="https://aulasvirtuales.unimet.edu.ve/user/view.php?id=15813&amp;course=2879" TargetMode="External"/><Relationship Id="rId30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997"/>
  <sheetViews>
    <sheetView workbookViewId="0">
      <pane ySplit="1" topLeftCell="A2" activePane="bottomLeft" state="frozen"/>
      <selection pane="bottomLeft" activeCell="P2" sqref="P2:P31"/>
    </sheetView>
  </sheetViews>
  <sheetFormatPr baseColWidth="10" defaultColWidth="12.6640625" defaultRowHeight="15.75" customHeight="1"/>
  <cols>
    <col min="1" max="1" width="34" customWidth="1"/>
    <col min="2" max="16" width="6.33203125" customWidth="1"/>
  </cols>
  <sheetData>
    <row r="1" spans="1:18" ht="15.75" customHeight="1">
      <c r="A1" s="1" t="s">
        <v>0</v>
      </c>
      <c r="B1" s="2">
        <v>45909</v>
      </c>
      <c r="C1" s="2">
        <v>45911</v>
      </c>
      <c r="D1" s="2">
        <v>45925</v>
      </c>
      <c r="E1" s="2">
        <v>45930</v>
      </c>
      <c r="F1" s="2">
        <v>45932</v>
      </c>
      <c r="G1" s="2">
        <v>45937</v>
      </c>
      <c r="H1" s="2">
        <v>45939</v>
      </c>
      <c r="I1" s="2">
        <v>45945</v>
      </c>
      <c r="J1" s="2">
        <v>45956</v>
      </c>
      <c r="K1" s="2">
        <v>45960</v>
      </c>
      <c r="L1" s="2">
        <v>45965</v>
      </c>
      <c r="M1" s="2">
        <v>45972</v>
      </c>
      <c r="N1" s="2">
        <v>45974</v>
      </c>
      <c r="O1" s="2">
        <v>45979</v>
      </c>
      <c r="P1" s="2">
        <v>45985</v>
      </c>
      <c r="Q1" s="3" t="s">
        <v>1</v>
      </c>
      <c r="R1" s="4" t="s">
        <v>2</v>
      </c>
    </row>
    <row r="2" spans="1:18" ht="15.75" customHeight="1">
      <c r="A2" s="7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3">
        <f t="shared" ref="Q2:Q31" si="0">SUM(B2:P2)</f>
        <v>0</v>
      </c>
      <c r="R2" s="14">
        <f t="shared" ref="R2:R31" si="1">Q2/COUNTA($B$1:$P$1)</f>
        <v>0</v>
      </c>
    </row>
    <row r="3" spans="1:18" ht="15.75" customHeight="1">
      <c r="A3" s="7" t="s">
        <v>23</v>
      </c>
      <c r="B3" s="9"/>
      <c r="C3" s="9"/>
      <c r="D3" s="9"/>
      <c r="E3" s="9"/>
      <c r="F3" s="9"/>
      <c r="G3" s="9"/>
      <c r="H3" s="9"/>
      <c r="I3" s="9"/>
      <c r="J3" s="9">
        <v>1</v>
      </c>
      <c r="K3" s="9"/>
      <c r="L3" s="9"/>
      <c r="M3" s="9"/>
      <c r="N3" s="9"/>
      <c r="O3" s="9"/>
      <c r="P3" s="9"/>
      <c r="Q3" s="13">
        <f t="shared" si="0"/>
        <v>1</v>
      </c>
      <c r="R3" s="14">
        <f t="shared" si="1"/>
        <v>6.6666666666666666E-2</v>
      </c>
    </row>
    <row r="4" spans="1:18" ht="15.75" customHeight="1">
      <c r="A4" s="7" t="s">
        <v>26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3">
        <f t="shared" si="0"/>
        <v>0</v>
      </c>
      <c r="R4" s="14">
        <f t="shared" si="1"/>
        <v>0</v>
      </c>
    </row>
    <row r="5" spans="1:18" ht="15.75" customHeight="1">
      <c r="A5" s="7" t="s">
        <v>30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3">
        <f t="shared" si="0"/>
        <v>0</v>
      </c>
      <c r="R5" s="14">
        <f t="shared" si="1"/>
        <v>0</v>
      </c>
    </row>
    <row r="6" spans="1:18" ht="15">
      <c r="A6" s="20" t="s">
        <v>36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3">
        <f t="shared" si="0"/>
        <v>0</v>
      </c>
      <c r="R6" s="14">
        <f t="shared" si="1"/>
        <v>0</v>
      </c>
    </row>
    <row r="7" spans="1:18" ht="15.75" customHeight="1">
      <c r="A7" s="7" t="s">
        <v>39</v>
      </c>
      <c r="B7" s="9"/>
      <c r="C7" s="9">
        <v>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>
        <v>1</v>
      </c>
      <c r="P7" s="9">
        <v>1</v>
      </c>
      <c r="Q7" s="13">
        <f t="shared" si="0"/>
        <v>3</v>
      </c>
      <c r="R7" s="14">
        <f t="shared" si="1"/>
        <v>0.2</v>
      </c>
    </row>
    <row r="8" spans="1:18" ht="15">
      <c r="A8" s="20" t="s">
        <v>45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>
        <v>6</v>
      </c>
      <c r="N8" s="9"/>
      <c r="O8" s="9"/>
      <c r="P8" s="9"/>
      <c r="Q8" s="13">
        <f t="shared" si="0"/>
        <v>6</v>
      </c>
      <c r="R8" s="14">
        <f t="shared" si="1"/>
        <v>0.4</v>
      </c>
    </row>
    <row r="9" spans="1:18" ht="15.75" customHeight="1">
      <c r="A9" s="7" t="s">
        <v>50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3">
        <f t="shared" si="0"/>
        <v>0</v>
      </c>
      <c r="R9" s="14">
        <f t="shared" si="1"/>
        <v>0</v>
      </c>
    </row>
    <row r="10" spans="1:18" ht="15.75" customHeight="1">
      <c r="A10" s="7" t="s">
        <v>51</v>
      </c>
      <c r="B10" s="9">
        <v>1</v>
      </c>
      <c r="C10" s="9"/>
      <c r="D10" s="9"/>
      <c r="E10" s="9">
        <v>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3">
        <f t="shared" si="0"/>
        <v>2</v>
      </c>
      <c r="R10" s="14">
        <f t="shared" si="1"/>
        <v>0.13333333333333333</v>
      </c>
    </row>
    <row r="11" spans="1:18" ht="15.75" customHeight="1">
      <c r="A11" s="7" t="s">
        <v>56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3">
        <f t="shared" si="0"/>
        <v>0</v>
      </c>
      <c r="R11" s="14">
        <f t="shared" si="1"/>
        <v>0</v>
      </c>
    </row>
    <row r="12" spans="1:18" ht="15.75" customHeight="1">
      <c r="A12" s="7" t="s">
        <v>59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3">
        <f t="shared" si="0"/>
        <v>0</v>
      </c>
      <c r="R12" s="14">
        <f t="shared" si="1"/>
        <v>0</v>
      </c>
    </row>
    <row r="13" spans="1:18" ht="15.75" customHeight="1">
      <c r="A13" s="7" t="s">
        <v>62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3">
        <f t="shared" si="0"/>
        <v>0</v>
      </c>
      <c r="R13" s="14">
        <f t="shared" si="1"/>
        <v>0</v>
      </c>
    </row>
    <row r="14" spans="1:18" ht="15.75" customHeight="1">
      <c r="A14" s="7" t="s">
        <v>67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3">
        <f t="shared" si="0"/>
        <v>0</v>
      </c>
      <c r="R14" s="14">
        <f t="shared" si="1"/>
        <v>0</v>
      </c>
    </row>
    <row r="15" spans="1:18" ht="15">
      <c r="A15" s="20" t="s">
        <v>72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3">
        <f t="shared" si="0"/>
        <v>0</v>
      </c>
      <c r="R15" s="14">
        <f t="shared" si="1"/>
        <v>0</v>
      </c>
    </row>
    <row r="16" spans="1:18" ht="15">
      <c r="A16" s="20" t="s">
        <v>77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3">
        <f t="shared" si="0"/>
        <v>0</v>
      </c>
      <c r="R16" s="14">
        <f t="shared" si="1"/>
        <v>0</v>
      </c>
    </row>
    <row r="17" spans="1:18" ht="15">
      <c r="A17" s="20" t="s">
        <v>80</v>
      </c>
      <c r="B17" s="9"/>
      <c r="C17" s="9">
        <v>1</v>
      </c>
      <c r="D17" s="9">
        <v>1</v>
      </c>
      <c r="E17" s="9"/>
      <c r="F17" s="9"/>
      <c r="G17" s="9">
        <v>3</v>
      </c>
      <c r="H17" s="9"/>
      <c r="I17" s="9"/>
      <c r="J17" s="9"/>
      <c r="K17" s="9"/>
      <c r="L17" s="9"/>
      <c r="M17" s="9"/>
      <c r="N17" s="9"/>
      <c r="O17" s="9"/>
      <c r="P17" s="9"/>
      <c r="Q17" s="13">
        <f t="shared" si="0"/>
        <v>5</v>
      </c>
      <c r="R17" s="14">
        <f t="shared" si="1"/>
        <v>0.33333333333333331</v>
      </c>
    </row>
    <row r="18" spans="1:18" ht="15.75" customHeight="1">
      <c r="A18" s="7" t="s">
        <v>85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3">
        <f t="shared" si="0"/>
        <v>0</v>
      </c>
      <c r="R18" s="14">
        <f t="shared" si="1"/>
        <v>0</v>
      </c>
    </row>
    <row r="19" spans="1:18" ht="15.75" customHeight="1">
      <c r="A19" s="7" t="s">
        <v>90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3">
        <f t="shared" si="0"/>
        <v>0</v>
      </c>
      <c r="R19" s="14">
        <f t="shared" si="1"/>
        <v>0</v>
      </c>
    </row>
    <row r="20" spans="1:18" ht="15.75" customHeight="1">
      <c r="A20" s="7" t="s">
        <v>95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3">
        <f t="shared" si="0"/>
        <v>0</v>
      </c>
      <c r="R20" s="14">
        <f t="shared" si="1"/>
        <v>0</v>
      </c>
    </row>
    <row r="21" spans="1:18" ht="15">
      <c r="A21" s="20" t="s">
        <v>98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3">
        <f t="shared" si="0"/>
        <v>0</v>
      </c>
      <c r="R21" s="14">
        <f t="shared" si="1"/>
        <v>0</v>
      </c>
    </row>
    <row r="22" spans="1:18" ht="15">
      <c r="A22" s="20" t="s">
        <v>99</v>
      </c>
      <c r="B22" s="9"/>
      <c r="C22" s="9">
        <v>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3">
        <f t="shared" si="0"/>
        <v>1</v>
      </c>
      <c r="R22" s="14">
        <f t="shared" si="1"/>
        <v>6.6666666666666666E-2</v>
      </c>
    </row>
    <row r="23" spans="1:18" ht="15">
      <c r="A23" s="20" t="s">
        <v>100</v>
      </c>
      <c r="B23" s="9"/>
      <c r="C23" s="9"/>
      <c r="D23" s="9"/>
      <c r="E23" s="9"/>
      <c r="F23" s="9">
        <v>4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13">
        <f t="shared" si="0"/>
        <v>4</v>
      </c>
      <c r="R23" s="14">
        <f t="shared" si="1"/>
        <v>0.26666666666666666</v>
      </c>
    </row>
    <row r="24" spans="1:18" ht="15.75" customHeight="1">
      <c r="A24" s="7" t="s">
        <v>101</v>
      </c>
      <c r="B24" s="9">
        <v>1</v>
      </c>
      <c r="C24" s="9">
        <v>1</v>
      </c>
      <c r="D24" s="9">
        <v>1</v>
      </c>
      <c r="E24" s="9"/>
      <c r="F24" s="9"/>
      <c r="G24" s="9">
        <v>8</v>
      </c>
      <c r="H24" s="9"/>
      <c r="I24" s="9"/>
      <c r="J24" s="9">
        <v>1</v>
      </c>
      <c r="K24" s="9">
        <v>2</v>
      </c>
      <c r="L24" s="9">
        <v>4</v>
      </c>
      <c r="M24" s="9"/>
      <c r="N24" s="9">
        <v>3</v>
      </c>
      <c r="O24" s="9">
        <v>1</v>
      </c>
      <c r="P24" s="9">
        <v>1</v>
      </c>
      <c r="Q24" s="13">
        <f t="shared" si="0"/>
        <v>23</v>
      </c>
      <c r="R24" s="14">
        <f t="shared" si="1"/>
        <v>1.5333333333333334</v>
      </c>
    </row>
    <row r="25" spans="1:18" ht="15.75" customHeight="1">
      <c r="A25" s="7" t="s">
        <v>102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3">
        <f t="shared" si="0"/>
        <v>0</v>
      </c>
      <c r="R25" s="14">
        <f t="shared" si="1"/>
        <v>0</v>
      </c>
    </row>
    <row r="26" spans="1:18" ht="15.75" customHeight="1">
      <c r="A26" s="7" t="s">
        <v>103</v>
      </c>
      <c r="B26" s="9">
        <v>2</v>
      </c>
      <c r="C26" s="9">
        <v>1</v>
      </c>
      <c r="D26" s="9"/>
      <c r="E26" s="9"/>
      <c r="F26" s="9"/>
      <c r="G26" s="9">
        <v>3</v>
      </c>
      <c r="H26" s="9"/>
      <c r="I26" s="9"/>
      <c r="J26" s="9"/>
      <c r="K26" s="9"/>
      <c r="L26" s="9"/>
      <c r="M26" s="9"/>
      <c r="N26" s="9"/>
      <c r="O26" s="9"/>
      <c r="P26" s="9"/>
      <c r="Q26" s="13">
        <f t="shared" si="0"/>
        <v>6</v>
      </c>
      <c r="R26" s="14">
        <f t="shared" si="1"/>
        <v>0.4</v>
      </c>
    </row>
    <row r="27" spans="1:18" ht="15.75" customHeight="1">
      <c r="A27" s="7" t="s">
        <v>104</v>
      </c>
      <c r="B27" s="9"/>
      <c r="C27" s="9">
        <v>2</v>
      </c>
      <c r="D27" s="9">
        <v>1</v>
      </c>
      <c r="E27" s="9"/>
      <c r="F27" s="9"/>
      <c r="G27" s="9"/>
      <c r="H27" s="9">
        <v>5</v>
      </c>
      <c r="I27" s="9">
        <v>1</v>
      </c>
      <c r="J27" s="9">
        <v>1</v>
      </c>
      <c r="K27" s="9"/>
      <c r="L27" s="9">
        <v>4</v>
      </c>
      <c r="M27" s="9"/>
      <c r="N27" s="9"/>
      <c r="O27" s="9"/>
      <c r="P27" s="9"/>
      <c r="Q27" s="13">
        <f t="shared" si="0"/>
        <v>14</v>
      </c>
      <c r="R27" s="14">
        <f t="shared" si="1"/>
        <v>0.93333333333333335</v>
      </c>
    </row>
    <row r="28" spans="1:18" ht="15">
      <c r="A28" s="20" t="s">
        <v>105</v>
      </c>
      <c r="B28" s="9">
        <v>1</v>
      </c>
      <c r="C28" s="9">
        <v>1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3">
        <f t="shared" si="0"/>
        <v>2</v>
      </c>
      <c r="R28" s="14">
        <f t="shared" si="1"/>
        <v>0.13333333333333333</v>
      </c>
    </row>
    <row r="29" spans="1:18" ht="15.75" customHeight="1">
      <c r="A29" s="7" t="s">
        <v>106</v>
      </c>
      <c r="B29" s="9">
        <v>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>
        <v>1</v>
      </c>
      <c r="Q29" s="13">
        <f t="shared" si="0"/>
        <v>2</v>
      </c>
      <c r="R29" s="14">
        <f t="shared" si="1"/>
        <v>0.13333333333333333</v>
      </c>
    </row>
    <row r="30" spans="1:18" ht="15">
      <c r="A30" s="20" t="s">
        <v>107</v>
      </c>
      <c r="B30" s="9"/>
      <c r="C30" s="9"/>
      <c r="D30" s="9">
        <v>1</v>
      </c>
      <c r="E30" s="9"/>
      <c r="F30" s="9"/>
      <c r="G30" s="9"/>
      <c r="H30" s="9"/>
      <c r="I30" s="9">
        <v>1</v>
      </c>
      <c r="J30" s="9"/>
      <c r="K30" s="9"/>
      <c r="L30" s="9"/>
      <c r="M30" s="9"/>
      <c r="N30" s="9"/>
      <c r="O30" s="9"/>
      <c r="P30" s="9"/>
      <c r="Q30" s="13">
        <f t="shared" si="0"/>
        <v>2</v>
      </c>
      <c r="R30" s="14">
        <f t="shared" si="1"/>
        <v>0.13333333333333333</v>
      </c>
    </row>
    <row r="31" spans="1:18" ht="15.75" customHeight="1">
      <c r="A31" s="1" t="s">
        <v>108</v>
      </c>
      <c r="B31" s="9"/>
      <c r="C31" s="9"/>
      <c r="D31" s="9"/>
      <c r="E31" s="9"/>
      <c r="F31" s="9">
        <v>2</v>
      </c>
      <c r="G31" s="9"/>
      <c r="H31" s="9"/>
      <c r="I31" s="9">
        <v>1</v>
      </c>
      <c r="J31" s="9"/>
      <c r="K31" s="9">
        <v>2</v>
      </c>
      <c r="L31" s="9">
        <v>4</v>
      </c>
      <c r="M31" s="9">
        <v>4</v>
      </c>
      <c r="N31" s="9">
        <v>5</v>
      </c>
      <c r="O31" s="9">
        <v>1</v>
      </c>
      <c r="P31" s="9">
        <v>2</v>
      </c>
      <c r="Q31" s="13">
        <f t="shared" si="0"/>
        <v>21</v>
      </c>
      <c r="R31" s="14">
        <f t="shared" si="1"/>
        <v>1.4</v>
      </c>
    </row>
    <row r="32" spans="1:18" ht="15.75" customHeight="1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3"/>
    </row>
    <row r="33" spans="2:17" ht="15.75" customHeight="1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3"/>
    </row>
    <row r="34" spans="2:17" ht="15.75" customHeight="1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3"/>
    </row>
    <row r="35" spans="2:17" ht="15.75" customHeight="1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3"/>
    </row>
    <row r="36" spans="2:17" ht="15.75" customHeight="1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3"/>
    </row>
    <row r="37" spans="2:17" ht="15.75" customHeight="1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3"/>
    </row>
    <row r="38" spans="2:17" ht="15.75" customHeight="1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3"/>
    </row>
    <row r="39" spans="2:17" ht="15.75" customHeight="1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3"/>
    </row>
    <row r="40" spans="2:17" ht="15.75" customHeight="1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3"/>
    </row>
    <row r="41" spans="2:17" ht="15.75" customHeight="1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3"/>
    </row>
    <row r="42" spans="2:17" ht="15.75" customHeight="1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3"/>
    </row>
    <row r="43" spans="2:17" ht="15.75" customHeight="1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3"/>
    </row>
    <row r="44" spans="2:17" ht="15.75" customHeight="1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3"/>
    </row>
    <row r="45" spans="2:17" ht="15.75" customHeight="1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3"/>
    </row>
    <row r="46" spans="2:17" ht="13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3"/>
    </row>
    <row r="47" spans="2:17" ht="13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3"/>
    </row>
    <row r="48" spans="2:17" ht="13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3"/>
    </row>
    <row r="49" spans="2:17" ht="13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3"/>
    </row>
    <row r="50" spans="2:17" ht="1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3"/>
    </row>
    <row r="51" spans="2:17" ht="13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3"/>
    </row>
    <row r="52" spans="2:17" ht="13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3"/>
    </row>
    <row r="53" spans="2:17" ht="13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3"/>
    </row>
    <row r="54" spans="2:17" ht="13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3"/>
    </row>
    <row r="55" spans="2:17" ht="13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3"/>
    </row>
    <row r="56" spans="2:17" ht="13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3"/>
    </row>
    <row r="57" spans="2:17" ht="13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3"/>
    </row>
    <row r="58" spans="2:17" ht="13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3"/>
    </row>
    <row r="59" spans="2:17" ht="13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3"/>
    </row>
    <row r="60" spans="2:17" ht="13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3"/>
    </row>
    <row r="61" spans="2:17" ht="13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3"/>
    </row>
    <row r="62" spans="2:17" ht="13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3"/>
    </row>
    <row r="63" spans="2:17" ht="13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3"/>
    </row>
    <row r="64" spans="2:17" ht="13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3"/>
    </row>
    <row r="65" spans="2:17" ht="13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3"/>
    </row>
    <row r="66" spans="2:17" ht="13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3"/>
    </row>
    <row r="67" spans="2:17" ht="13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3"/>
    </row>
    <row r="68" spans="2:17" ht="13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3"/>
    </row>
    <row r="69" spans="2:17" ht="13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3"/>
    </row>
    <row r="70" spans="2:17" ht="13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3"/>
    </row>
    <row r="71" spans="2:17" ht="13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3"/>
    </row>
    <row r="72" spans="2:17" ht="13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3"/>
    </row>
    <row r="73" spans="2:17" ht="13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3"/>
    </row>
    <row r="74" spans="2:17" ht="13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3"/>
    </row>
    <row r="75" spans="2:17" ht="13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3"/>
    </row>
    <row r="76" spans="2:17" ht="13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3"/>
    </row>
    <row r="77" spans="2:17" ht="13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3"/>
    </row>
    <row r="78" spans="2:17" ht="13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3"/>
    </row>
    <row r="79" spans="2:17" ht="13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3"/>
    </row>
    <row r="80" spans="2:17" ht="13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3"/>
    </row>
    <row r="81" spans="2:17" ht="13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3"/>
    </row>
    <row r="82" spans="2:17" ht="13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3"/>
    </row>
    <row r="83" spans="2:17" ht="13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3"/>
    </row>
    <row r="84" spans="2:17" ht="13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3"/>
    </row>
    <row r="85" spans="2:17" ht="13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3"/>
    </row>
    <row r="86" spans="2:17" ht="13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3"/>
    </row>
    <row r="87" spans="2:17" ht="13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3"/>
    </row>
    <row r="88" spans="2:17" ht="13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3"/>
    </row>
    <row r="89" spans="2:17" ht="13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3"/>
    </row>
    <row r="90" spans="2:17" ht="13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3"/>
    </row>
    <row r="91" spans="2:17" ht="13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3"/>
    </row>
    <row r="92" spans="2:17" ht="13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3"/>
    </row>
    <row r="93" spans="2:17" ht="13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3"/>
    </row>
    <row r="94" spans="2:17" ht="13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3"/>
    </row>
    <row r="95" spans="2:17" ht="13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3"/>
    </row>
    <row r="96" spans="2:17" ht="13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3"/>
    </row>
    <row r="97" spans="2:17" ht="13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3"/>
    </row>
    <row r="98" spans="2:17" ht="13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3"/>
    </row>
    <row r="99" spans="2:17" ht="13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3"/>
    </row>
    <row r="100" spans="2:17" ht="13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3"/>
    </row>
    <row r="101" spans="2:17" ht="13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3"/>
    </row>
    <row r="102" spans="2:17" ht="13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3"/>
    </row>
    <row r="103" spans="2:17" ht="13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3"/>
    </row>
    <row r="104" spans="2:17" ht="13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3"/>
    </row>
    <row r="105" spans="2:17" ht="13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3"/>
    </row>
    <row r="106" spans="2:17" ht="13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3"/>
    </row>
    <row r="107" spans="2:17" ht="13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3"/>
    </row>
    <row r="108" spans="2:17" ht="13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3"/>
    </row>
    <row r="109" spans="2:17" ht="13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3"/>
    </row>
    <row r="110" spans="2:17" ht="13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3"/>
    </row>
    <row r="111" spans="2:17" ht="13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3"/>
    </row>
    <row r="112" spans="2:17" ht="13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3"/>
    </row>
    <row r="113" spans="2:17" ht="13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3"/>
    </row>
    <row r="114" spans="2:17" ht="13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3"/>
    </row>
    <row r="115" spans="2:17" ht="13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3"/>
    </row>
    <row r="116" spans="2:17" ht="13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3"/>
    </row>
    <row r="117" spans="2:17" ht="13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3"/>
    </row>
    <row r="118" spans="2:17" ht="13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3"/>
    </row>
    <row r="119" spans="2:17" ht="13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3"/>
    </row>
    <row r="120" spans="2:17" ht="13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3"/>
    </row>
    <row r="121" spans="2:17" ht="13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3"/>
    </row>
    <row r="122" spans="2:17" ht="13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3"/>
    </row>
    <row r="123" spans="2:17" ht="13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3"/>
    </row>
    <row r="124" spans="2:17" ht="13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3"/>
    </row>
    <row r="125" spans="2:17" ht="13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3"/>
    </row>
    <row r="126" spans="2:17" ht="13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3"/>
    </row>
    <row r="127" spans="2:17" ht="13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3"/>
    </row>
    <row r="128" spans="2:17" ht="13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3"/>
    </row>
    <row r="129" spans="2:17" ht="13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3"/>
    </row>
    <row r="130" spans="2:17" ht="13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3"/>
    </row>
    <row r="131" spans="2:17" ht="13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3"/>
    </row>
    <row r="132" spans="2:17" ht="13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3"/>
    </row>
    <row r="133" spans="2:17" ht="13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3"/>
    </row>
    <row r="134" spans="2:17" ht="13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3"/>
    </row>
    <row r="135" spans="2:17" ht="13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3"/>
    </row>
    <row r="136" spans="2:17" ht="13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3"/>
    </row>
    <row r="137" spans="2:17" ht="13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3"/>
    </row>
    <row r="138" spans="2:17" ht="13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3"/>
    </row>
    <row r="139" spans="2:17" ht="13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3"/>
    </row>
    <row r="140" spans="2:17" ht="13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3"/>
    </row>
    <row r="141" spans="2:17" ht="13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3"/>
    </row>
    <row r="142" spans="2:17" ht="13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3"/>
    </row>
    <row r="143" spans="2:17" ht="13"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3"/>
    </row>
    <row r="144" spans="2:17" ht="13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3"/>
    </row>
    <row r="145" spans="2:17" ht="13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3"/>
    </row>
    <row r="146" spans="2:17" ht="13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3"/>
    </row>
    <row r="147" spans="2:17" ht="13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3"/>
    </row>
    <row r="148" spans="2:17" ht="13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3"/>
    </row>
    <row r="149" spans="2:17" ht="13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3"/>
    </row>
    <row r="150" spans="2:17" ht="13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3"/>
    </row>
    <row r="151" spans="2:17" ht="13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3"/>
    </row>
    <row r="152" spans="2:17" ht="13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3"/>
    </row>
    <row r="153" spans="2:17" ht="13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3"/>
    </row>
    <row r="154" spans="2:17" ht="13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3"/>
    </row>
    <row r="155" spans="2:17" ht="13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3"/>
    </row>
    <row r="156" spans="2:17" ht="13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3"/>
    </row>
    <row r="157" spans="2:17" ht="13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3"/>
    </row>
    <row r="158" spans="2:17" ht="13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3"/>
    </row>
    <row r="159" spans="2:17" ht="13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3"/>
    </row>
    <row r="160" spans="2:17" ht="13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3"/>
    </row>
    <row r="161" spans="2:17" ht="13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3"/>
    </row>
    <row r="162" spans="2:17" ht="13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3"/>
    </row>
    <row r="163" spans="2:17" ht="13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3"/>
    </row>
    <row r="164" spans="2:17" ht="13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3"/>
    </row>
    <row r="165" spans="2:17" ht="13"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3"/>
    </row>
    <row r="166" spans="2:17" ht="13"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3"/>
    </row>
    <row r="167" spans="2:17" ht="13"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3"/>
    </row>
    <row r="168" spans="2:17" ht="13"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3"/>
    </row>
    <row r="169" spans="2:17" ht="13"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3"/>
    </row>
    <row r="170" spans="2:17" ht="13"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3"/>
    </row>
    <row r="171" spans="2:17" ht="13"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3"/>
    </row>
    <row r="172" spans="2:17" ht="13"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3"/>
    </row>
    <row r="173" spans="2:17" ht="13"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3"/>
    </row>
    <row r="174" spans="2:17" ht="13"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3"/>
    </row>
    <row r="175" spans="2:17" ht="13"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3"/>
    </row>
    <row r="176" spans="2:17" ht="13"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3"/>
    </row>
    <row r="177" spans="2:17" ht="13"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3"/>
    </row>
    <row r="178" spans="2:17" ht="13"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3"/>
    </row>
    <row r="179" spans="2:17" ht="13"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3"/>
    </row>
    <row r="180" spans="2:17" ht="13"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3"/>
    </row>
    <row r="181" spans="2:17" ht="13"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3"/>
    </row>
    <row r="182" spans="2:17" ht="13"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3"/>
    </row>
    <row r="183" spans="2:17" ht="13"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3"/>
    </row>
    <row r="184" spans="2:17" ht="13"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3"/>
    </row>
    <row r="185" spans="2:17" ht="13"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3"/>
    </row>
    <row r="186" spans="2:17" ht="13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3"/>
    </row>
    <row r="187" spans="2:17" ht="13"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3"/>
    </row>
    <row r="188" spans="2:17" ht="13"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3"/>
    </row>
    <row r="189" spans="2:17" ht="13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3"/>
    </row>
    <row r="190" spans="2:17" ht="13"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3"/>
    </row>
    <row r="191" spans="2:17" ht="13"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3"/>
    </row>
    <row r="192" spans="2:17" ht="13"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3"/>
    </row>
    <row r="193" spans="2:17" ht="13"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3"/>
    </row>
    <row r="194" spans="2:17" ht="13"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3"/>
    </row>
    <row r="195" spans="2:17" ht="13"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3"/>
    </row>
    <row r="196" spans="2:17" ht="13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3"/>
    </row>
    <row r="197" spans="2:17" ht="13"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3"/>
    </row>
    <row r="198" spans="2:17" ht="13"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3"/>
    </row>
    <row r="199" spans="2:17" ht="13"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3"/>
    </row>
    <row r="200" spans="2:17" ht="13"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3"/>
    </row>
    <row r="201" spans="2:17" ht="13"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3"/>
    </row>
    <row r="202" spans="2:17" ht="13"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3"/>
    </row>
    <row r="203" spans="2:17" ht="13"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3"/>
    </row>
    <row r="204" spans="2:17" ht="13"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3"/>
    </row>
    <row r="205" spans="2:17" ht="13"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3"/>
    </row>
    <row r="206" spans="2:17" ht="13"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3"/>
    </row>
    <row r="207" spans="2:17" ht="13"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3"/>
    </row>
    <row r="208" spans="2:17" ht="13"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3"/>
    </row>
    <row r="209" spans="2:17" ht="13"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3"/>
    </row>
    <row r="210" spans="2:17" ht="13"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3"/>
    </row>
    <row r="211" spans="2:17" ht="13"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3"/>
    </row>
    <row r="212" spans="2:17" ht="13"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3"/>
    </row>
    <row r="213" spans="2:17" ht="13"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3"/>
    </row>
    <row r="214" spans="2:17" ht="13"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3"/>
    </row>
    <row r="215" spans="2:17" ht="13"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3"/>
    </row>
    <row r="216" spans="2:17" ht="13"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3"/>
    </row>
    <row r="217" spans="2:17" ht="13"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3"/>
    </row>
    <row r="218" spans="2:17" ht="13"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3"/>
    </row>
    <row r="219" spans="2:17" ht="13"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3"/>
    </row>
    <row r="220" spans="2:17" ht="13"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3"/>
    </row>
    <row r="221" spans="2:17" ht="13"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3"/>
    </row>
    <row r="222" spans="2:17" ht="13"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3"/>
    </row>
    <row r="223" spans="2:17" ht="13"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3"/>
    </row>
    <row r="224" spans="2:17" ht="13"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3"/>
    </row>
    <row r="225" spans="2:17" ht="13"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3"/>
    </row>
    <row r="226" spans="2:17" ht="13"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3"/>
    </row>
    <row r="227" spans="2:17" ht="13"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3"/>
    </row>
    <row r="228" spans="2:17" ht="13"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3"/>
    </row>
    <row r="229" spans="2:17" ht="13"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3"/>
    </row>
    <row r="230" spans="2:17" ht="13"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3"/>
    </row>
    <row r="231" spans="2:17" ht="13"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3"/>
    </row>
    <row r="232" spans="2:17" ht="13"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3"/>
    </row>
    <row r="233" spans="2:17" ht="13"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3"/>
    </row>
    <row r="234" spans="2:17" ht="13"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3"/>
    </row>
    <row r="235" spans="2:17" ht="13"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3"/>
    </row>
    <row r="236" spans="2:17" ht="13"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3"/>
    </row>
    <row r="237" spans="2:17" ht="13"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3"/>
    </row>
    <row r="238" spans="2:17" ht="13"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3"/>
    </row>
    <row r="239" spans="2:17" ht="13"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3"/>
    </row>
    <row r="240" spans="2:17" ht="13"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3"/>
    </row>
    <row r="241" spans="2:17" ht="13"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3"/>
    </row>
    <row r="242" spans="2:17" ht="13"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3"/>
    </row>
    <row r="243" spans="2:17" ht="13"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3"/>
    </row>
    <row r="244" spans="2:17" ht="13"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3"/>
    </row>
    <row r="245" spans="2:17" ht="13"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3"/>
    </row>
    <row r="246" spans="2:17" ht="13"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3"/>
    </row>
    <row r="247" spans="2:17" ht="13"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3"/>
    </row>
    <row r="248" spans="2:17" ht="13"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3"/>
    </row>
    <row r="249" spans="2:17" ht="13"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3"/>
    </row>
    <row r="250" spans="2:17" ht="13"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3"/>
    </row>
    <row r="251" spans="2:17" ht="13"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3"/>
    </row>
    <row r="252" spans="2:17" ht="13"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3"/>
    </row>
    <row r="253" spans="2:17" ht="13"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3"/>
    </row>
    <row r="254" spans="2:17" ht="13"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3"/>
    </row>
    <row r="255" spans="2:17" ht="13"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3"/>
    </row>
    <row r="256" spans="2:17" ht="13"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3"/>
    </row>
    <row r="257" spans="2:17" ht="13"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3"/>
    </row>
    <row r="258" spans="2:17" ht="13"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3"/>
    </row>
    <row r="259" spans="2:17" ht="13"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3"/>
    </row>
    <row r="260" spans="2:17" ht="13"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3"/>
    </row>
    <row r="261" spans="2:17" ht="13"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3"/>
    </row>
    <row r="262" spans="2:17" ht="13"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3"/>
    </row>
    <row r="263" spans="2:17" ht="13"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3"/>
    </row>
    <row r="264" spans="2:17" ht="13"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3"/>
    </row>
    <row r="265" spans="2:17" ht="13"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3"/>
    </row>
    <row r="266" spans="2:17" ht="13"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3"/>
    </row>
    <row r="267" spans="2:17" ht="13"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3"/>
    </row>
    <row r="268" spans="2:17" ht="13"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3"/>
    </row>
    <row r="269" spans="2:17" ht="13"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3"/>
    </row>
    <row r="270" spans="2:17" ht="13"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3"/>
    </row>
    <row r="271" spans="2:17" ht="13"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3"/>
    </row>
    <row r="272" spans="2:17" ht="13"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3"/>
    </row>
    <row r="273" spans="2:17" ht="13"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3"/>
    </row>
    <row r="274" spans="2:17" ht="13"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3"/>
    </row>
    <row r="275" spans="2:17" ht="13"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3"/>
    </row>
    <row r="276" spans="2:17" ht="13"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3"/>
    </row>
    <row r="277" spans="2:17" ht="13"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3"/>
    </row>
    <row r="278" spans="2:17" ht="13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3"/>
    </row>
    <row r="279" spans="2:17" ht="13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3"/>
    </row>
    <row r="280" spans="2:17" ht="13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3"/>
    </row>
    <row r="281" spans="2:17" ht="13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3"/>
    </row>
    <row r="282" spans="2:17" ht="13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3"/>
    </row>
    <row r="283" spans="2:17" ht="13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3"/>
    </row>
    <row r="284" spans="2:17" ht="13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3"/>
    </row>
    <row r="285" spans="2:17" ht="13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3"/>
    </row>
    <row r="286" spans="2:17" ht="13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3"/>
    </row>
    <row r="287" spans="2:17" ht="13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3"/>
    </row>
    <row r="288" spans="2:17" ht="13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3"/>
    </row>
    <row r="289" spans="2:17" ht="13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3"/>
    </row>
    <row r="290" spans="2:17" ht="13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3"/>
    </row>
    <row r="291" spans="2:17" ht="13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3"/>
    </row>
    <row r="292" spans="2:17" ht="13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3"/>
    </row>
    <row r="293" spans="2:17" ht="13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3"/>
    </row>
    <row r="294" spans="2:17" ht="13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3"/>
    </row>
    <row r="295" spans="2:17" ht="13"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3"/>
    </row>
    <row r="296" spans="2:17" ht="13"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3"/>
    </row>
    <row r="297" spans="2:17" ht="13"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3"/>
    </row>
    <row r="298" spans="2:17" ht="13"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3"/>
    </row>
    <row r="299" spans="2:17" ht="13"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3"/>
    </row>
    <row r="300" spans="2:17" ht="13"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3"/>
    </row>
    <row r="301" spans="2:17" ht="13"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3"/>
    </row>
    <row r="302" spans="2:17" ht="13"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3"/>
    </row>
    <row r="303" spans="2:17" ht="13"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3"/>
    </row>
    <row r="304" spans="2:17" ht="13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3"/>
    </row>
    <row r="305" spans="2:17" ht="13"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3"/>
    </row>
    <row r="306" spans="2:17" ht="13"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3"/>
    </row>
    <row r="307" spans="2:17" ht="13"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3"/>
    </row>
    <row r="308" spans="2:17" ht="13"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3"/>
    </row>
    <row r="309" spans="2:17" ht="13"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3"/>
    </row>
    <row r="310" spans="2:17" ht="13"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3"/>
    </row>
    <row r="311" spans="2:17" ht="13"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3"/>
    </row>
    <row r="312" spans="2:17" ht="13"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3"/>
    </row>
    <row r="313" spans="2:17" ht="13"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3"/>
    </row>
    <row r="314" spans="2:17" ht="13"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3"/>
    </row>
    <row r="315" spans="2:17" ht="13"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3"/>
    </row>
    <row r="316" spans="2:17" ht="13"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3"/>
    </row>
    <row r="317" spans="2:17" ht="13"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3"/>
    </row>
    <row r="318" spans="2:17" ht="13"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3"/>
    </row>
    <row r="319" spans="2:17" ht="13"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3"/>
    </row>
    <row r="320" spans="2:17" ht="13"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3"/>
    </row>
    <row r="321" spans="2:17" ht="13"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3"/>
    </row>
    <row r="322" spans="2:17" ht="13"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3"/>
    </row>
    <row r="323" spans="2:17" ht="13"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3"/>
    </row>
    <row r="324" spans="2:17" ht="13"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3"/>
    </row>
    <row r="325" spans="2:17" ht="13"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3"/>
    </row>
    <row r="326" spans="2:17" ht="13"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3"/>
    </row>
    <row r="327" spans="2:17" ht="13"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3"/>
    </row>
    <row r="328" spans="2:17" ht="13"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3"/>
    </row>
    <row r="329" spans="2:17" ht="13"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3"/>
    </row>
    <row r="330" spans="2:17" ht="13"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3"/>
    </row>
    <row r="331" spans="2:17" ht="13"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3"/>
    </row>
    <row r="332" spans="2:17" ht="13"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3"/>
    </row>
    <row r="333" spans="2:17" ht="13"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3"/>
    </row>
    <row r="334" spans="2:17" ht="13"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3"/>
    </row>
    <row r="335" spans="2:17" ht="13"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3"/>
    </row>
    <row r="336" spans="2:17" ht="13"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3"/>
    </row>
    <row r="337" spans="2:17" ht="13"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3"/>
    </row>
    <row r="338" spans="2:17" ht="13"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3"/>
    </row>
    <row r="339" spans="2:17" ht="13"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3"/>
    </row>
    <row r="340" spans="2:17" ht="13"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3"/>
    </row>
    <row r="341" spans="2:17" ht="13"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3"/>
    </row>
    <row r="342" spans="2:17" ht="13"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3"/>
    </row>
    <row r="343" spans="2:17" ht="13"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3"/>
    </row>
    <row r="344" spans="2:17" ht="13"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3"/>
    </row>
    <row r="345" spans="2:17" ht="13"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3"/>
    </row>
    <row r="346" spans="2:17" ht="13"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3"/>
    </row>
    <row r="347" spans="2:17" ht="13"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3"/>
    </row>
    <row r="348" spans="2:17" ht="13"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3"/>
    </row>
    <row r="349" spans="2:17" ht="13"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3"/>
    </row>
    <row r="350" spans="2:17" ht="13"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3"/>
    </row>
    <row r="351" spans="2:17" ht="13"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3"/>
    </row>
    <row r="352" spans="2:17" ht="13"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3"/>
    </row>
    <row r="353" spans="2:17" ht="13"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3"/>
    </row>
    <row r="354" spans="2:17" ht="13"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3"/>
    </row>
    <row r="355" spans="2:17" ht="13"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3"/>
    </row>
    <row r="356" spans="2:17" ht="13"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3"/>
    </row>
    <row r="357" spans="2:17" ht="13"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3"/>
    </row>
    <row r="358" spans="2:17" ht="13"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3"/>
    </row>
    <row r="359" spans="2:17" ht="13"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3"/>
    </row>
    <row r="360" spans="2:17" ht="13"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3"/>
    </row>
    <row r="361" spans="2:17" ht="13"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3"/>
    </row>
    <row r="362" spans="2:17" ht="13"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3"/>
    </row>
    <row r="363" spans="2:17" ht="13"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3"/>
    </row>
    <row r="364" spans="2:17" ht="13"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3"/>
    </row>
    <row r="365" spans="2:17" ht="13"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3"/>
    </row>
    <row r="366" spans="2:17" ht="13"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3"/>
    </row>
    <row r="367" spans="2:17" ht="13"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3"/>
    </row>
    <row r="368" spans="2:17" ht="13"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3"/>
    </row>
    <row r="369" spans="2:17" ht="13"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3"/>
    </row>
    <row r="370" spans="2:17" ht="13"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3"/>
    </row>
    <row r="371" spans="2:17" ht="13"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3"/>
    </row>
    <row r="372" spans="2:17" ht="13"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3"/>
    </row>
    <row r="373" spans="2:17" ht="13"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3"/>
    </row>
    <row r="374" spans="2:17" ht="13"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3"/>
    </row>
    <row r="375" spans="2:17" ht="13"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3"/>
    </row>
    <row r="376" spans="2:17" ht="13"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3"/>
    </row>
    <row r="377" spans="2:17" ht="13"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3"/>
    </row>
    <row r="378" spans="2:17" ht="13"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3"/>
    </row>
    <row r="379" spans="2:17" ht="13"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3"/>
    </row>
    <row r="380" spans="2:17" ht="13"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3"/>
    </row>
    <row r="381" spans="2:17" ht="13"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3"/>
    </row>
    <row r="382" spans="2:17" ht="13"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3"/>
    </row>
    <row r="383" spans="2:17" ht="13"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3"/>
    </row>
    <row r="384" spans="2:17" ht="13"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3"/>
    </row>
    <row r="385" spans="2:17" ht="13"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3"/>
    </row>
    <row r="386" spans="2:17" ht="13"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3"/>
    </row>
    <row r="387" spans="2:17" ht="13"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3"/>
    </row>
    <row r="388" spans="2:17" ht="13"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3"/>
    </row>
    <row r="389" spans="2:17" ht="13"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3"/>
    </row>
    <row r="390" spans="2:17" ht="13"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3"/>
    </row>
    <row r="391" spans="2:17" ht="13"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3"/>
    </row>
    <row r="392" spans="2:17" ht="13"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3"/>
    </row>
    <row r="393" spans="2:17" ht="13"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3"/>
    </row>
    <row r="394" spans="2:17" ht="13"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3"/>
    </row>
    <row r="395" spans="2:17" ht="13"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3"/>
    </row>
    <row r="396" spans="2:17" ht="13"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3"/>
    </row>
    <row r="397" spans="2:17" ht="13"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3"/>
    </row>
    <row r="398" spans="2:17" ht="13"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3"/>
    </row>
    <row r="399" spans="2:17" ht="13"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3"/>
    </row>
    <row r="400" spans="2:17" ht="13"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3"/>
    </row>
    <row r="401" spans="2:17" ht="13"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3"/>
    </row>
    <row r="402" spans="2:17" ht="13"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3"/>
    </row>
    <row r="403" spans="2:17" ht="13"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3"/>
    </row>
    <row r="404" spans="2:17" ht="13"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3"/>
    </row>
    <row r="405" spans="2:17" ht="13"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3"/>
    </row>
    <row r="406" spans="2:17" ht="13"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3"/>
    </row>
    <row r="407" spans="2:17" ht="13"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3"/>
    </row>
    <row r="408" spans="2:17" ht="13"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3"/>
    </row>
    <row r="409" spans="2:17" ht="13"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3"/>
    </row>
    <row r="410" spans="2:17" ht="13"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3"/>
    </row>
    <row r="411" spans="2:17" ht="13"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3"/>
    </row>
    <row r="412" spans="2:17" ht="13"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3"/>
    </row>
    <row r="413" spans="2:17" ht="13"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3"/>
    </row>
    <row r="414" spans="2:17" ht="13"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3"/>
    </row>
    <row r="415" spans="2:17" ht="13"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3"/>
    </row>
    <row r="416" spans="2:17" ht="13"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3"/>
    </row>
    <row r="417" spans="2:17" ht="13"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3"/>
    </row>
    <row r="418" spans="2:17" ht="13"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3"/>
    </row>
    <row r="419" spans="2:17" ht="13"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3"/>
    </row>
    <row r="420" spans="2:17" ht="13"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3"/>
    </row>
    <row r="421" spans="2:17" ht="13"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3"/>
    </row>
    <row r="422" spans="2:17" ht="13"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3"/>
    </row>
    <row r="423" spans="2:17" ht="13"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3"/>
    </row>
    <row r="424" spans="2:17" ht="13"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3"/>
    </row>
    <row r="425" spans="2:17" ht="13"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3"/>
    </row>
    <row r="426" spans="2:17" ht="13"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3"/>
    </row>
    <row r="427" spans="2:17" ht="13"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3"/>
    </row>
    <row r="428" spans="2:17" ht="13"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3"/>
    </row>
    <row r="429" spans="2:17" ht="13"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3"/>
    </row>
    <row r="430" spans="2:17" ht="13"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3"/>
    </row>
    <row r="431" spans="2:17" ht="13"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3"/>
    </row>
    <row r="432" spans="2:17" ht="13"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3"/>
    </row>
    <row r="433" spans="2:17" ht="13"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3"/>
    </row>
    <row r="434" spans="2:17" ht="13"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3"/>
    </row>
    <row r="435" spans="2:17" ht="13"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3"/>
    </row>
    <row r="436" spans="2:17" ht="13"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3"/>
    </row>
    <row r="437" spans="2:17" ht="13"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3"/>
    </row>
    <row r="438" spans="2:17" ht="13"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3"/>
    </row>
    <row r="439" spans="2:17" ht="13"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3"/>
    </row>
    <row r="440" spans="2:17" ht="13"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3"/>
    </row>
    <row r="441" spans="2:17" ht="13"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3"/>
    </row>
    <row r="442" spans="2:17" ht="13"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3"/>
    </row>
    <row r="443" spans="2:17" ht="13"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3"/>
    </row>
    <row r="444" spans="2:17" ht="13"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3"/>
    </row>
    <row r="445" spans="2:17" ht="13"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3"/>
    </row>
    <row r="446" spans="2:17" ht="13"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3"/>
    </row>
    <row r="447" spans="2:17" ht="13"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3"/>
    </row>
    <row r="448" spans="2:17" ht="13"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3"/>
    </row>
    <row r="449" spans="2:17" ht="13"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3"/>
    </row>
    <row r="450" spans="2:17" ht="13"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3"/>
    </row>
    <row r="451" spans="2:17" ht="13"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3"/>
    </row>
    <row r="452" spans="2:17" ht="13"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3"/>
    </row>
    <row r="453" spans="2:17" ht="13"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3"/>
    </row>
    <row r="454" spans="2:17" ht="13"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3"/>
    </row>
    <row r="455" spans="2:17" ht="13"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3"/>
    </row>
    <row r="456" spans="2:17" ht="13"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3"/>
    </row>
    <row r="457" spans="2:17" ht="13"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3"/>
    </row>
    <row r="458" spans="2:17" ht="13"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3"/>
    </row>
    <row r="459" spans="2:17" ht="13"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3"/>
    </row>
    <row r="460" spans="2:17" ht="13"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3"/>
    </row>
    <row r="461" spans="2:17" ht="13"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3"/>
    </row>
    <row r="462" spans="2:17" ht="13"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3"/>
    </row>
    <row r="463" spans="2:17" ht="13"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3"/>
    </row>
    <row r="464" spans="2:17" ht="13"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3"/>
    </row>
    <row r="465" spans="2:17" ht="13"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3"/>
    </row>
    <row r="466" spans="2:17" ht="13"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3"/>
    </row>
    <row r="467" spans="2:17" ht="13"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3"/>
    </row>
    <row r="468" spans="2:17" ht="13"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3"/>
    </row>
    <row r="469" spans="2:17" ht="13"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3"/>
    </row>
    <row r="470" spans="2:17" ht="13"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3"/>
    </row>
    <row r="471" spans="2:17" ht="13"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3"/>
    </row>
    <row r="472" spans="2:17" ht="13"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3"/>
    </row>
    <row r="473" spans="2:17" ht="13"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3"/>
    </row>
    <row r="474" spans="2:17" ht="13"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3"/>
    </row>
    <row r="475" spans="2:17" ht="13"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3"/>
    </row>
    <row r="476" spans="2:17" ht="13"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3"/>
    </row>
    <row r="477" spans="2:17" ht="13"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3"/>
    </row>
    <row r="478" spans="2:17" ht="13"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3"/>
    </row>
    <row r="479" spans="2:17" ht="13"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3"/>
    </row>
    <row r="480" spans="2:17" ht="13"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3"/>
    </row>
    <row r="481" spans="2:17" ht="13"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3"/>
    </row>
    <row r="482" spans="2:17" ht="13"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3"/>
    </row>
    <row r="483" spans="2:17" ht="13"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3"/>
    </row>
    <row r="484" spans="2:17" ht="13"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3"/>
    </row>
    <row r="485" spans="2:17" ht="13"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3"/>
    </row>
    <row r="486" spans="2:17" ht="13"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3"/>
    </row>
    <row r="487" spans="2:17" ht="13"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3"/>
    </row>
    <row r="488" spans="2:17" ht="13"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3"/>
    </row>
    <row r="489" spans="2:17" ht="13"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3"/>
    </row>
    <row r="490" spans="2:17" ht="13"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3"/>
    </row>
    <row r="491" spans="2:17" ht="13"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3"/>
    </row>
    <row r="492" spans="2:17" ht="13"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3"/>
    </row>
    <row r="493" spans="2:17" ht="13"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3"/>
    </row>
    <row r="494" spans="2:17" ht="13"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3"/>
    </row>
    <row r="495" spans="2:17" ht="13"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3"/>
    </row>
    <row r="496" spans="2:17" ht="13"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3"/>
    </row>
    <row r="497" spans="2:17" ht="13"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3"/>
    </row>
    <row r="498" spans="2:17" ht="13"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3"/>
    </row>
    <row r="499" spans="2:17" ht="13"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3"/>
    </row>
    <row r="500" spans="2:17" ht="13"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3"/>
    </row>
    <row r="501" spans="2:17" ht="13"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3"/>
    </row>
    <row r="502" spans="2:17" ht="13"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3"/>
    </row>
    <row r="503" spans="2:17" ht="13"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3"/>
    </row>
    <row r="504" spans="2:17" ht="13"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3"/>
    </row>
    <row r="505" spans="2:17" ht="13"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3"/>
    </row>
    <row r="506" spans="2:17" ht="13"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3"/>
    </row>
    <row r="507" spans="2:17" ht="13"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3"/>
    </row>
    <row r="508" spans="2:17" ht="13"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3"/>
    </row>
    <row r="509" spans="2:17" ht="13"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3"/>
    </row>
    <row r="510" spans="2:17" ht="13"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3"/>
    </row>
    <row r="511" spans="2:17" ht="13"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3"/>
    </row>
    <row r="512" spans="2:17" ht="13"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3"/>
    </row>
    <row r="513" spans="2:17" ht="13"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3"/>
    </row>
    <row r="514" spans="2:17" ht="13"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3"/>
    </row>
    <row r="515" spans="2:17" ht="13"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3"/>
    </row>
    <row r="516" spans="2:17" ht="13"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3"/>
    </row>
    <row r="517" spans="2:17" ht="13"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3"/>
    </row>
    <row r="518" spans="2:17" ht="13"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3"/>
    </row>
    <row r="519" spans="2:17" ht="13"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3"/>
    </row>
    <row r="520" spans="2:17" ht="13"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3"/>
    </row>
    <row r="521" spans="2:17" ht="13"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3"/>
    </row>
    <row r="522" spans="2:17" ht="13"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3"/>
    </row>
    <row r="523" spans="2:17" ht="13"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3"/>
    </row>
    <row r="524" spans="2:17" ht="13"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3"/>
    </row>
    <row r="525" spans="2:17" ht="13"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3"/>
    </row>
    <row r="526" spans="2:17" ht="13"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3"/>
    </row>
    <row r="527" spans="2:17" ht="13"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3"/>
    </row>
    <row r="528" spans="2:17" ht="13"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3"/>
    </row>
    <row r="529" spans="2:17" ht="13"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3"/>
    </row>
    <row r="530" spans="2:17" ht="13"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3"/>
    </row>
    <row r="531" spans="2:17" ht="13"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3"/>
    </row>
    <row r="532" spans="2:17" ht="13"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3"/>
    </row>
    <row r="533" spans="2:17" ht="13"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3"/>
    </row>
    <row r="534" spans="2:17" ht="13"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3"/>
    </row>
    <row r="535" spans="2:17" ht="13"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3"/>
    </row>
    <row r="536" spans="2:17" ht="13"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3"/>
    </row>
    <row r="537" spans="2:17" ht="13"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3"/>
    </row>
    <row r="538" spans="2:17" ht="13"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3"/>
    </row>
    <row r="539" spans="2:17" ht="13"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3"/>
    </row>
    <row r="540" spans="2:17" ht="13"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3"/>
    </row>
    <row r="541" spans="2:17" ht="13"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3"/>
    </row>
    <row r="542" spans="2:17" ht="13"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3"/>
    </row>
    <row r="543" spans="2:17" ht="13"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3"/>
    </row>
    <row r="544" spans="2:17" ht="13"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3"/>
    </row>
    <row r="545" spans="2:17" ht="13"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3"/>
    </row>
    <row r="546" spans="2:17" ht="13"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3"/>
    </row>
    <row r="547" spans="2:17" ht="13"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3"/>
    </row>
    <row r="548" spans="2:17" ht="13"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3"/>
    </row>
    <row r="549" spans="2:17" ht="13"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3"/>
    </row>
    <row r="550" spans="2:17" ht="13"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3"/>
    </row>
    <row r="551" spans="2:17" ht="13"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3"/>
    </row>
    <row r="552" spans="2:17" ht="13"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3"/>
    </row>
    <row r="553" spans="2:17" ht="13"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3"/>
    </row>
    <row r="554" spans="2:17" ht="13"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3"/>
    </row>
    <row r="555" spans="2:17" ht="13"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3"/>
    </row>
    <row r="556" spans="2:17" ht="13"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3"/>
    </row>
    <row r="557" spans="2:17" ht="13"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3"/>
    </row>
    <row r="558" spans="2:17" ht="13"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3"/>
    </row>
    <row r="559" spans="2:17" ht="13"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3"/>
    </row>
    <row r="560" spans="2:17" ht="13"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3"/>
    </row>
    <row r="561" spans="2:17" ht="13"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3"/>
    </row>
    <row r="562" spans="2:17" ht="13"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3"/>
    </row>
    <row r="563" spans="2:17" ht="13"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3"/>
    </row>
    <row r="564" spans="2:17" ht="13"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3"/>
    </row>
    <row r="565" spans="2:17" ht="13"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3"/>
    </row>
    <row r="566" spans="2:17" ht="13"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3"/>
    </row>
    <row r="567" spans="2:17" ht="13"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3"/>
    </row>
    <row r="568" spans="2:17" ht="13"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3"/>
    </row>
    <row r="569" spans="2:17" ht="13"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3"/>
    </row>
    <row r="570" spans="2:17" ht="13"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3"/>
    </row>
    <row r="571" spans="2:17" ht="13"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3"/>
    </row>
    <row r="572" spans="2:17" ht="13"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3"/>
    </row>
    <row r="573" spans="2:17" ht="13"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3"/>
    </row>
    <row r="574" spans="2:17" ht="13"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3"/>
    </row>
    <row r="575" spans="2:17" ht="13"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3"/>
    </row>
    <row r="576" spans="2:17" ht="13"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3"/>
    </row>
    <row r="577" spans="2:17" ht="13"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3"/>
    </row>
    <row r="578" spans="2:17" ht="13"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3"/>
    </row>
    <row r="579" spans="2:17" ht="13"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3"/>
    </row>
    <row r="580" spans="2:17" ht="13"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3"/>
    </row>
    <row r="581" spans="2:17" ht="13"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3"/>
    </row>
    <row r="582" spans="2:17" ht="13"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3"/>
    </row>
    <row r="583" spans="2:17" ht="13"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3"/>
    </row>
    <row r="584" spans="2:17" ht="13"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3"/>
    </row>
    <row r="585" spans="2:17" ht="13"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3"/>
    </row>
    <row r="586" spans="2:17" ht="13"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3"/>
    </row>
    <row r="587" spans="2:17" ht="13"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3"/>
    </row>
    <row r="588" spans="2:17" ht="13"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3"/>
    </row>
    <row r="589" spans="2:17" ht="13"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3"/>
    </row>
    <row r="590" spans="2:17" ht="13"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3"/>
    </row>
    <row r="591" spans="2:17" ht="13"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3"/>
    </row>
    <row r="592" spans="2:17" ht="13"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3"/>
    </row>
    <row r="593" spans="2:17" ht="13"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3"/>
    </row>
    <row r="594" spans="2:17" ht="13"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3"/>
    </row>
    <row r="595" spans="2:17" ht="13"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3"/>
    </row>
    <row r="596" spans="2:17" ht="13"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3"/>
    </row>
    <row r="597" spans="2:17" ht="13"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3"/>
    </row>
    <row r="598" spans="2:17" ht="13"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3"/>
    </row>
    <row r="599" spans="2:17" ht="13"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3"/>
    </row>
    <row r="600" spans="2:17" ht="13"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3"/>
    </row>
    <row r="601" spans="2:17" ht="13"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3"/>
    </row>
    <row r="602" spans="2:17" ht="13"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3"/>
    </row>
    <row r="603" spans="2:17" ht="13"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3"/>
    </row>
    <row r="604" spans="2:17" ht="13"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3"/>
    </row>
    <row r="605" spans="2:17" ht="13"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3"/>
    </row>
    <row r="606" spans="2:17" ht="13"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3"/>
    </row>
    <row r="607" spans="2:17" ht="13"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3"/>
    </row>
    <row r="608" spans="2:17" ht="13"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3"/>
    </row>
    <row r="609" spans="2:17" ht="13"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3"/>
    </row>
    <row r="610" spans="2:17" ht="13"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3"/>
    </row>
    <row r="611" spans="2:17" ht="13"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3"/>
    </row>
    <row r="612" spans="2:17" ht="13"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3"/>
    </row>
    <row r="613" spans="2:17" ht="13"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3"/>
    </row>
    <row r="614" spans="2:17" ht="13"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3"/>
    </row>
    <row r="615" spans="2:17" ht="13"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3"/>
    </row>
    <row r="616" spans="2:17" ht="13"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3"/>
    </row>
    <row r="617" spans="2:17" ht="13"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3"/>
    </row>
    <row r="618" spans="2:17" ht="13"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3"/>
    </row>
    <row r="619" spans="2:17" ht="13"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3"/>
    </row>
    <row r="620" spans="2:17" ht="13"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3"/>
    </row>
    <row r="621" spans="2:17" ht="13"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3"/>
    </row>
    <row r="622" spans="2:17" ht="13"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3"/>
    </row>
    <row r="623" spans="2:17" ht="13"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3"/>
    </row>
    <row r="624" spans="2:17" ht="13"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3"/>
    </row>
    <row r="625" spans="2:17" ht="13"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3"/>
    </row>
    <row r="626" spans="2:17" ht="13"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3"/>
    </row>
    <row r="627" spans="2:17" ht="13"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3"/>
    </row>
    <row r="628" spans="2:17" ht="13"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3"/>
    </row>
    <row r="629" spans="2:17" ht="13"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3"/>
    </row>
    <row r="630" spans="2:17" ht="13"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3"/>
    </row>
    <row r="631" spans="2:17" ht="13"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3"/>
    </row>
    <row r="632" spans="2:17" ht="13"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3"/>
    </row>
    <row r="633" spans="2:17" ht="13"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3"/>
    </row>
    <row r="634" spans="2:17" ht="13"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3"/>
    </row>
    <row r="635" spans="2:17" ht="13"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3"/>
    </row>
    <row r="636" spans="2:17" ht="13"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3"/>
    </row>
    <row r="637" spans="2:17" ht="13"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3"/>
    </row>
    <row r="638" spans="2:17" ht="13"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3"/>
    </row>
    <row r="639" spans="2:17" ht="13"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3"/>
    </row>
    <row r="640" spans="2:17" ht="13"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3"/>
    </row>
    <row r="641" spans="2:17" ht="13"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3"/>
    </row>
    <row r="642" spans="2:17" ht="13"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3"/>
    </row>
    <row r="643" spans="2:17" ht="13"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3"/>
    </row>
    <row r="644" spans="2:17" ht="13"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3"/>
    </row>
    <row r="645" spans="2:17" ht="13"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3"/>
    </row>
    <row r="646" spans="2:17" ht="13"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3"/>
    </row>
    <row r="647" spans="2:17" ht="13"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3"/>
    </row>
    <row r="648" spans="2:17" ht="13"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3"/>
    </row>
    <row r="649" spans="2:17" ht="13"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3"/>
    </row>
    <row r="650" spans="2:17" ht="13"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3"/>
    </row>
    <row r="651" spans="2:17" ht="13"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3"/>
    </row>
    <row r="652" spans="2:17" ht="13"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3"/>
    </row>
    <row r="653" spans="2:17" ht="13"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3"/>
    </row>
    <row r="654" spans="2:17" ht="13"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3"/>
    </row>
    <row r="655" spans="2:17" ht="13"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3"/>
    </row>
    <row r="656" spans="2:17" ht="13"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3"/>
    </row>
    <row r="657" spans="2:17" ht="13"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3"/>
    </row>
    <row r="658" spans="2:17" ht="13"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3"/>
    </row>
    <row r="659" spans="2:17" ht="13"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3"/>
    </row>
    <row r="660" spans="2:17" ht="13"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3"/>
    </row>
    <row r="661" spans="2:17" ht="13"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3"/>
    </row>
    <row r="662" spans="2:17" ht="13"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3"/>
    </row>
    <row r="663" spans="2:17" ht="13"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3"/>
    </row>
    <row r="664" spans="2:17" ht="13"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3"/>
    </row>
    <row r="665" spans="2:17" ht="13"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3"/>
    </row>
    <row r="666" spans="2:17" ht="13"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3"/>
    </row>
    <row r="667" spans="2:17" ht="13"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3"/>
    </row>
    <row r="668" spans="2:17" ht="13"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3"/>
    </row>
    <row r="669" spans="2:17" ht="13"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3"/>
    </row>
    <row r="670" spans="2:17" ht="13"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3"/>
    </row>
    <row r="671" spans="2:17" ht="13"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3"/>
    </row>
    <row r="672" spans="2:17" ht="13"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3"/>
    </row>
    <row r="673" spans="2:17" ht="13"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3"/>
    </row>
    <row r="674" spans="2:17" ht="13"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3"/>
    </row>
    <row r="675" spans="2:17" ht="13"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3"/>
    </row>
    <row r="676" spans="2:17" ht="13"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3"/>
    </row>
    <row r="677" spans="2:17" ht="13"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3"/>
    </row>
    <row r="678" spans="2:17" ht="13"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3"/>
    </row>
    <row r="679" spans="2:17" ht="13"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3"/>
    </row>
    <row r="680" spans="2:17" ht="13"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3"/>
    </row>
    <row r="681" spans="2:17" ht="13"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3"/>
    </row>
    <row r="682" spans="2:17" ht="13"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3"/>
    </row>
    <row r="683" spans="2:17" ht="13"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3"/>
    </row>
    <row r="684" spans="2:17" ht="13"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3"/>
    </row>
    <row r="685" spans="2:17" ht="13"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3"/>
    </row>
    <row r="686" spans="2:17" ht="13"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3"/>
    </row>
    <row r="687" spans="2:17" ht="13"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3"/>
    </row>
    <row r="688" spans="2:17" ht="13"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3"/>
    </row>
    <row r="689" spans="2:17" ht="13"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3"/>
    </row>
    <row r="690" spans="2:17" ht="13"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3"/>
    </row>
    <row r="691" spans="2:17" ht="13"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3"/>
    </row>
    <row r="692" spans="2:17" ht="13"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3"/>
    </row>
    <row r="693" spans="2:17" ht="13"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3"/>
    </row>
    <row r="694" spans="2:17" ht="13"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3"/>
    </row>
    <row r="695" spans="2:17" ht="13"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3"/>
    </row>
    <row r="696" spans="2:17" ht="13"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3"/>
    </row>
    <row r="697" spans="2:17" ht="13"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3"/>
    </row>
    <row r="698" spans="2:17" ht="13"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3"/>
    </row>
    <row r="699" spans="2:17" ht="13"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3"/>
    </row>
    <row r="700" spans="2:17" ht="13"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3"/>
    </row>
    <row r="701" spans="2:17" ht="13"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3"/>
    </row>
    <row r="702" spans="2:17" ht="13"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3"/>
    </row>
    <row r="703" spans="2:17" ht="13"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3"/>
    </row>
    <row r="704" spans="2:17" ht="13"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3"/>
    </row>
    <row r="705" spans="2:17" ht="13"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3"/>
    </row>
    <row r="706" spans="2:17" ht="13"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3"/>
    </row>
    <row r="707" spans="2:17" ht="13"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3"/>
    </row>
    <row r="708" spans="2:17" ht="13"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3"/>
    </row>
    <row r="709" spans="2:17" ht="13"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3"/>
    </row>
    <row r="710" spans="2:17" ht="13"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3"/>
    </row>
    <row r="711" spans="2:17" ht="13"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3"/>
    </row>
    <row r="712" spans="2:17" ht="13"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3"/>
    </row>
    <row r="713" spans="2:17" ht="13"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3"/>
    </row>
    <row r="714" spans="2:17" ht="13"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3"/>
    </row>
    <row r="715" spans="2:17" ht="13"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3"/>
    </row>
    <row r="716" spans="2:17" ht="13"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3"/>
    </row>
    <row r="717" spans="2:17" ht="13"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3"/>
    </row>
    <row r="718" spans="2:17" ht="13"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3"/>
    </row>
    <row r="719" spans="2:17" ht="13"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3"/>
    </row>
    <row r="720" spans="2:17" ht="13"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3"/>
    </row>
    <row r="721" spans="2:17" ht="13"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3"/>
    </row>
    <row r="722" spans="2:17" ht="13"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3"/>
    </row>
    <row r="723" spans="2:17" ht="13"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3"/>
    </row>
    <row r="724" spans="2:17" ht="13"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3"/>
    </row>
    <row r="725" spans="2:17" ht="13"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3"/>
    </row>
    <row r="726" spans="2:17" ht="13"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3"/>
    </row>
    <row r="727" spans="2:17" ht="13"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3"/>
    </row>
    <row r="728" spans="2:17" ht="13"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3"/>
    </row>
    <row r="729" spans="2:17" ht="13"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3"/>
    </row>
    <row r="730" spans="2:17" ht="13"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3"/>
    </row>
    <row r="731" spans="2:17" ht="13"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3"/>
    </row>
    <row r="732" spans="2:17" ht="13"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3"/>
    </row>
    <row r="733" spans="2:17" ht="13"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3"/>
    </row>
    <row r="734" spans="2:17" ht="13"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3"/>
    </row>
    <row r="735" spans="2:17" ht="13"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3"/>
    </row>
    <row r="736" spans="2:17" ht="13"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3"/>
    </row>
    <row r="737" spans="2:17" ht="13"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3"/>
    </row>
    <row r="738" spans="2:17" ht="13"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3"/>
    </row>
    <row r="739" spans="2:17" ht="13"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3"/>
    </row>
    <row r="740" spans="2:17" ht="13"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3"/>
    </row>
    <row r="741" spans="2:17" ht="13"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3"/>
    </row>
    <row r="742" spans="2:17" ht="13"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3"/>
    </row>
    <row r="743" spans="2:17" ht="13"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3"/>
    </row>
    <row r="744" spans="2:17" ht="13"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3"/>
    </row>
    <row r="745" spans="2:17" ht="13"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3"/>
    </row>
    <row r="746" spans="2:17" ht="13"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3"/>
    </row>
    <row r="747" spans="2:17" ht="13"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3"/>
    </row>
    <row r="748" spans="2:17" ht="13"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3"/>
    </row>
    <row r="749" spans="2:17" ht="13"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3"/>
    </row>
    <row r="750" spans="2:17" ht="13"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3"/>
    </row>
    <row r="751" spans="2:17" ht="13"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3"/>
    </row>
    <row r="752" spans="2:17" ht="13"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3"/>
    </row>
    <row r="753" spans="2:17" ht="13"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3"/>
    </row>
    <row r="754" spans="2:17" ht="13"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3"/>
    </row>
    <row r="755" spans="2:17" ht="13"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3"/>
    </row>
    <row r="756" spans="2:17" ht="13"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3"/>
    </row>
    <row r="757" spans="2:17" ht="13"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3"/>
    </row>
    <row r="758" spans="2:17" ht="13"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3"/>
    </row>
    <row r="759" spans="2:17" ht="13"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3"/>
    </row>
    <row r="760" spans="2:17" ht="13"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3"/>
    </row>
    <row r="761" spans="2:17" ht="13"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3"/>
    </row>
    <row r="762" spans="2:17" ht="13"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3"/>
    </row>
    <row r="763" spans="2:17" ht="13"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3"/>
    </row>
    <row r="764" spans="2:17" ht="13"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3"/>
    </row>
    <row r="765" spans="2:17" ht="13"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3"/>
    </row>
    <row r="766" spans="2:17" ht="13"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3"/>
    </row>
    <row r="767" spans="2:17" ht="13"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3"/>
    </row>
    <row r="768" spans="2:17" ht="13"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3"/>
    </row>
    <row r="769" spans="2:17" ht="13"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3"/>
    </row>
    <row r="770" spans="2:17" ht="13"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3"/>
    </row>
    <row r="771" spans="2:17" ht="13"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3"/>
    </row>
    <row r="772" spans="2:17" ht="13"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3"/>
    </row>
    <row r="773" spans="2:17" ht="13"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3"/>
    </row>
    <row r="774" spans="2:17" ht="13"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3"/>
    </row>
    <row r="775" spans="2:17" ht="13"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3"/>
    </row>
    <row r="776" spans="2:17" ht="13"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3"/>
    </row>
    <row r="777" spans="2:17" ht="13"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3"/>
    </row>
    <row r="778" spans="2:17" ht="13"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3"/>
    </row>
    <row r="779" spans="2:17" ht="13"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3"/>
    </row>
    <row r="780" spans="2:17" ht="13"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3"/>
    </row>
    <row r="781" spans="2:17" ht="13"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3"/>
    </row>
    <row r="782" spans="2:17" ht="13"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3"/>
    </row>
    <row r="783" spans="2:17" ht="13"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3"/>
    </row>
    <row r="784" spans="2:17" ht="13"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3"/>
    </row>
    <row r="785" spans="2:17" ht="13"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3"/>
    </row>
    <row r="786" spans="2:17" ht="13"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3"/>
    </row>
    <row r="787" spans="2:17" ht="13"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3"/>
    </row>
    <row r="788" spans="2:17" ht="13"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3"/>
    </row>
    <row r="789" spans="2:17" ht="13"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3"/>
    </row>
    <row r="790" spans="2:17" ht="13"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3"/>
    </row>
    <row r="791" spans="2:17" ht="13"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3"/>
    </row>
    <row r="792" spans="2:17" ht="13"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3"/>
    </row>
    <row r="793" spans="2:17" ht="13"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3"/>
    </row>
    <row r="794" spans="2:17" ht="13"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3"/>
    </row>
    <row r="795" spans="2:17" ht="13"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3"/>
    </row>
    <row r="796" spans="2:17" ht="13"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3"/>
    </row>
    <row r="797" spans="2:17" ht="13"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3"/>
    </row>
    <row r="798" spans="2:17" ht="13"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3"/>
    </row>
    <row r="799" spans="2:17" ht="13"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3"/>
    </row>
    <row r="800" spans="2:17" ht="13"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3"/>
    </row>
    <row r="801" spans="2:17" ht="13"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3"/>
    </row>
    <row r="802" spans="2:17" ht="13"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3"/>
    </row>
    <row r="803" spans="2:17" ht="13"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3"/>
    </row>
    <row r="804" spans="2:17" ht="13"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3"/>
    </row>
    <row r="805" spans="2:17" ht="13"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3"/>
    </row>
    <row r="806" spans="2:17" ht="13"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3"/>
    </row>
    <row r="807" spans="2:17" ht="13"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3"/>
    </row>
    <row r="808" spans="2:17" ht="13"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3"/>
    </row>
    <row r="809" spans="2:17" ht="13"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3"/>
    </row>
    <row r="810" spans="2:17" ht="13"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3"/>
    </row>
    <row r="811" spans="2:17" ht="13"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3"/>
    </row>
    <row r="812" spans="2:17" ht="13"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3"/>
    </row>
    <row r="813" spans="2:17" ht="13"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3"/>
    </row>
    <row r="814" spans="2:17" ht="13"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3"/>
    </row>
    <row r="815" spans="2:17" ht="13"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3"/>
    </row>
    <row r="816" spans="2:17" ht="13"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3"/>
    </row>
    <row r="817" spans="2:17" ht="13"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3"/>
    </row>
    <row r="818" spans="2:17" ht="13"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3"/>
    </row>
    <row r="819" spans="2:17" ht="13"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3"/>
    </row>
    <row r="820" spans="2:17" ht="13"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3"/>
    </row>
    <row r="821" spans="2:17" ht="13"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3"/>
    </row>
    <row r="822" spans="2:17" ht="13"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3"/>
    </row>
    <row r="823" spans="2:17" ht="13"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3"/>
    </row>
    <row r="824" spans="2:17" ht="13"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3"/>
    </row>
    <row r="825" spans="2:17" ht="13"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3"/>
    </row>
    <row r="826" spans="2:17" ht="13"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3"/>
    </row>
    <row r="827" spans="2:17" ht="13"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3"/>
    </row>
    <row r="828" spans="2:17" ht="13"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3"/>
    </row>
    <row r="829" spans="2:17" ht="13"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3"/>
    </row>
    <row r="830" spans="2:17" ht="13"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3"/>
    </row>
    <row r="831" spans="2:17" ht="13"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3"/>
    </row>
    <row r="832" spans="2:17" ht="13"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3"/>
    </row>
    <row r="833" spans="2:17" ht="13"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3"/>
    </row>
    <row r="834" spans="2:17" ht="13"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3"/>
    </row>
    <row r="835" spans="2:17" ht="13"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3"/>
    </row>
    <row r="836" spans="2:17" ht="13"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3"/>
    </row>
    <row r="837" spans="2:17" ht="13"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3"/>
    </row>
    <row r="838" spans="2:17" ht="13"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3"/>
    </row>
    <row r="839" spans="2:17" ht="13"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3"/>
    </row>
    <row r="840" spans="2:17" ht="13"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3"/>
    </row>
    <row r="841" spans="2:17" ht="13"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3"/>
    </row>
    <row r="842" spans="2:17" ht="13"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3"/>
    </row>
    <row r="843" spans="2:17" ht="13"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3"/>
    </row>
    <row r="844" spans="2:17" ht="13"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3"/>
    </row>
    <row r="845" spans="2:17" ht="13"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3"/>
    </row>
    <row r="846" spans="2:17" ht="13"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3"/>
    </row>
    <row r="847" spans="2:17" ht="13"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3"/>
    </row>
    <row r="848" spans="2:17" ht="13"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3"/>
    </row>
    <row r="849" spans="2:17" ht="13"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3"/>
    </row>
    <row r="850" spans="2:17" ht="13"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3"/>
    </row>
    <row r="851" spans="2:17" ht="13"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3"/>
    </row>
    <row r="852" spans="2:17" ht="13"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3"/>
    </row>
    <row r="853" spans="2:17" ht="13"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3"/>
    </row>
    <row r="854" spans="2:17" ht="13"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3"/>
    </row>
    <row r="855" spans="2:17" ht="13"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3"/>
    </row>
    <row r="856" spans="2:17" ht="13"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3"/>
    </row>
    <row r="857" spans="2:17" ht="13"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3"/>
    </row>
    <row r="858" spans="2:17" ht="13"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3"/>
    </row>
    <row r="859" spans="2:17" ht="13"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3"/>
    </row>
    <row r="860" spans="2:17" ht="13"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3"/>
    </row>
    <row r="861" spans="2:17" ht="13"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3"/>
    </row>
    <row r="862" spans="2:17" ht="13"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3"/>
    </row>
    <row r="863" spans="2:17" ht="13"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3"/>
    </row>
    <row r="864" spans="2:17" ht="13"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3"/>
    </row>
    <row r="865" spans="2:17" ht="13"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3"/>
    </row>
    <row r="866" spans="2:17" ht="13"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3"/>
    </row>
    <row r="867" spans="2:17" ht="13"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3"/>
    </row>
    <row r="868" spans="2:17" ht="13"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3"/>
    </row>
    <row r="869" spans="2:17" ht="13"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3"/>
    </row>
    <row r="870" spans="2:17" ht="13"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3"/>
    </row>
    <row r="871" spans="2:17" ht="13"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3"/>
    </row>
    <row r="872" spans="2:17" ht="13"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3"/>
    </row>
    <row r="873" spans="2:17" ht="13"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3"/>
    </row>
    <row r="874" spans="2:17" ht="13"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3"/>
    </row>
    <row r="875" spans="2:17" ht="13"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3"/>
    </row>
    <row r="876" spans="2:17" ht="13"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3"/>
    </row>
    <row r="877" spans="2:17" ht="13"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3"/>
    </row>
    <row r="878" spans="2:17" ht="13"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3"/>
    </row>
    <row r="879" spans="2:17" ht="13"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3"/>
    </row>
    <row r="880" spans="2:17" ht="13"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3"/>
    </row>
    <row r="881" spans="2:17" ht="13"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3"/>
    </row>
    <row r="882" spans="2:17" ht="13"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3"/>
    </row>
    <row r="883" spans="2:17" ht="13"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3"/>
    </row>
    <row r="884" spans="2:17" ht="13"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3"/>
    </row>
    <row r="885" spans="2:17" ht="13"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3"/>
    </row>
    <row r="886" spans="2:17" ht="13"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3"/>
    </row>
    <row r="887" spans="2:17" ht="13"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3"/>
    </row>
    <row r="888" spans="2:17" ht="13"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3"/>
    </row>
    <row r="889" spans="2:17" ht="13"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3"/>
    </row>
    <row r="890" spans="2:17" ht="13"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3"/>
    </row>
    <row r="891" spans="2:17" ht="13"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3"/>
    </row>
    <row r="892" spans="2:17" ht="13"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3"/>
    </row>
    <row r="893" spans="2:17" ht="13"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3"/>
    </row>
    <row r="894" spans="2:17" ht="13"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3"/>
    </row>
    <row r="895" spans="2:17" ht="13"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3"/>
    </row>
    <row r="896" spans="2:17" ht="13"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3"/>
    </row>
    <row r="897" spans="2:17" ht="13"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3"/>
    </row>
    <row r="898" spans="2:17" ht="13"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3"/>
    </row>
    <row r="899" spans="2:17" ht="13"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3"/>
    </row>
    <row r="900" spans="2:17" ht="13"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3"/>
    </row>
    <row r="901" spans="2:17" ht="13"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3"/>
    </row>
    <row r="902" spans="2:17" ht="13"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3"/>
    </row>
    <row r="903" spans="2:17" ht="13"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3"/>
    </row>
    <row r="904" spans="2:17" ht="13"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3"/>
    </row>
    <row r="905" spans="2:17" ht="13"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3"/>
    </row>
    <row r="906" spans="2:17" ht="13"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3"/>
    </row>
    <row r="907" spans="2:17" ht="13"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3"/>
    </row>
    <row r="908" spans="2:17" ht="13"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3"/>
    </row>
    <row r="909" spans="2:17" ht="13"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3"/>
    </row>
    <row r="910" spans="2:17" ht="13"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3"/>
    </row>
    <row r="911" spans="2:17" ht="13"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3"/>
    </row>
    <row r="912" spans="2:17" ht="13"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3"/>
    </row>
    <row r="913" spans="2:17" ht="13"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3"/>
    </row>
    <row r="914" spans="2:17" ht="13"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3"/>
    </row>
    <row r="915" spans="2:17" ht="13"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3"/>
    </row>
    <row r="916" spans="2:17" ht="13"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3"/>
    </row>
    <row r="917" spans="2:17" ht="13"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3"/>
    </row>
    <row r="918" spans="2:17" ht="13"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3"/>
    </row>
    <row r="919" spans="2:17" ht="13"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3"/>
    </row>
    <row r="920" spans="2:17" ht="13"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3"/>
    </row>
    <row r="921" spans="2:17" ht="13"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3"/>
    </row>
    <row r="922" spans="2:17" ht="13"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3"/>
    </row>
    <row r="923" spans="2:17" ht="13"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3"/>
    </row>
    <row r="924" spans="2:17" ht="13"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3"/>
    </row>
    <row r="925" spans="2:17" ht="13"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3"/>
    </row>
    <row r="926" spans="2:17" ht="13"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3"/>
    </row>
    <row r="927" spans="2:17" ht="13"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3"/>
    </row>
    <row r="928" spans="2:17" ht="13"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3"/>
    </row>
    <row r="929" spans="2:17" ht="13"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3"/>
    </row>
    <row r="930" spans="2:17" ht="13"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3"/>
    </row>
    <row r="931" spans="2:17" ht="13"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3"/>
    </row>
    <row r="932" spans="2:17" ht="13"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3"/>
    </row>
    <row r="933" spans="2:17" ht="13"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3"/>
    </row>
    <row r="934" spans="2:17" ht="13"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3"/>
    </row>
    <row r="935" spans="2:17" ht="13"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3"/>
    </row>
    <row r="936" spans="2:17" ht="13"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3"/>
    </row>
    <row r="937" spans="2:17" ht="13"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3"/>
    </row>
    <row r="938" spans="2:17" ht="13"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3"/>
    </row>
    <row r="939" spans="2:17" ht="13"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3"/>
    </row>
    <row r="940" spans="2:17" ht="13"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3"/>
    </row>
    <row r="941" spans="2:17" ht="13"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3"/>
    </row>
    <row r="942" spans="2:17" ht="13"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3"/>
    </row>
    <row r="943" spans="2:17" ht="13"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3"/>
    </row>
    <row r="944" spans="2:17" ht="13"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3"/>
    </row>
    <row r="945" spans="2:17" ht="13"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3"/>
    </row>
    <row r="946" spans="2:17" ht="13"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3"/>
    </row>
    <row r="947" spans="2:17" ht="13"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3"/>
    </row>
    <row r="948" spans="2:17" ht="13"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3"/>
    </row>
    <row r="949" spans="2:17" ht="13"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3"/>
    </row>
    <row r="950" spans="2:17" ht="13"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3"/>
    </row>
    <row r="951" spans="2:17" ht="13"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3"/>
    </row>
    <row r="952" spans="2:17" ht="13"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3"/>
    </row>
    <row r="953" spans="2:17" ht="13"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3"/>
    </row>
    <row r="954" spans="2:17" ht="13"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3"/>
    </row>
    <row r="955" spans="2:17" ht="13"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3"/>
    </row>
    <row r="956" spans="2:17" ht="13"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3"/>
    </row>
    <row r="957" spans="2:17" ht="13"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3"/>
    </row>
    <row r="958" spans="2:17" ht="13"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3"/>
    </row>
    <row r="959" spans="2:17" ht="13"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3"/>
    </row>
    <row r="960" spans="2:17" ht="13"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3"/>
    </row>
    <row r="961" spans="2:17" ht="13"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3"/>
    </row>
    <row r="962" spans="2:17" ht="13"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3"/>
    </row>
    <row r="963" spans="2:17" ht="13"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3"/>
    </row>
    <row r="964" spans="2:17" ht="13"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3"/>
    </row>
    <row r="965" spans="2:17" ht="13"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3"/>
    </row>
    <row r="966" spans="2:17" ht="13"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3"/>
    </row>
    <row r="967" spans="2:17" ht="13"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3"/>
    </row>
    <row r="968" spans="2:17" ht="13"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3"/>
    </row>
    <row r="969" spans="2:17" ht="13"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3"/>
    </row>
    <row r="970" spans="2:17" ht="13"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3"/>
    </row>
    <row r="971" spans="2:17" ht="13"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3"/>
    </row>
    <row r="972" spans="2:17" ht="13"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3"/>
    </row>
    <row r="973" spans="2:17" ht="13"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3"/>
    </row>
    <row r="974" spans="2:17" ht="13"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3"/>
    </row>
    <row r="975" spans="2:17" ht="13"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3"/>
    </row>
    <row r="976" spans="2:17" ht="13"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3"/>
    </row>
    <row r="977" spans="2:17" ht="13"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3"/>
    </row>
    <row r="978" spans="2:17" ht="13"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3"/>
    </row>
    <row r="979" spans="2:17" ht="13"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3"/>
    </row>
    <row r="980" spans="2:17" ht="13"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3"/>
    </row>
    <row r="981" spans="2:17" ht="13"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3"/>
    </row>
    <row r="982" spans="2:17" ht="13"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3"/>
    </row>
    <row r="983" spans="2:17" ht="13"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3"/>
    </row>
    <row r="984" spans="2:17" ht="13"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3"/>
    </row>
    <row r="985" spans="2:17" ht="13"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3"/>
    </row>
    <row r="986" spans="2:17" ht="13"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3"/>
    </row>
    <row r="987" spans="2:17" ht="13"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3"/>
    </row>
    <row r="988" spans="2:17" ht="13"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3"/>
    </row>
    <row r="989" spans="2:17" ht="13"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3"/>
    </row>
    <row r="990" spans="2:17" ht="13"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3"/>
    </row>
    <row r="991" spans="2:17" ht="13"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3"/>
    </row>
    <row r="992" spans="2:17" ht="13"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3"/>
    </row>
    <row r="993" spans="2:17" ht="13"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3"/>
    </row>
    <row r="994" spans="2:17" ht="13"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3"/>
    </row>
    <row r="995" spans="2:17" ht="13"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3"/>
    </row>
    <row r="996" spans="2:17" ht="13"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3"/>
    </row>
    <row r="997" spans="2:17" ht="13"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3"/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8" r:id="rId6" xr:uid="{00000000-0004-0000-0000-000007000000}"/>
    <hyperlink ref="A9" r:id="rId7" xr:uid="{00000000-0004-0000-0000-000008000000}"/>
    <hyperlink ref="A10" r:id="rId8" xr:uid="{00000000-0004-0000-0000-000009000000}"/>
    <hyperlink ref="A11" r:id="rId9" xr:uid="{00000000-0004-0000-0000-00000A000000}"/>
    <hyperlink ref="A12" r:id="rId10" xr:uid="{00000000-0004-0000-0000-00000B000000}"/>
    <hyperlink ref="A13" r:id="rId11" xr:uid="{00000000-0004-0000-0000-00000C000000}"/>
    <hyperlink ref="A14" r:id="rId12" xr:uid="{00000000-0004-0000-0000-00000D000000}"/>
    <hyperlink ref="A15" r:id="rId13" xr:uid="{00000000-0004-0000-0000-00000E000000}"/>
    <hyperlink ref="A16" r:id="rId14" xr:uid="{00000000-0004-0000-0000-00000F000000}"/>
    <hyperlink ref="A17" r:id="rId15" xr:uid="{00000000-0004-0000-0000-000010000000}"/>
    <hyperlink ref="A18" r:id="rId16" xr:uid="{00000000-0004-0000-0000-000011000000}"/>
    <hyperlink ref="A19" r:id="rId17" xr:uid="{00000000-0004-0000-0000-000012000000}"/>
    <hyperlink ref="A20" r:id="rId18" xr:uid="{00000000-0004-0000-0000-000013000000}"/>
    <hyperlink ref="A21" r:id="rId19" xr:uid="{00000000-0004-0000-0000-000014000000}"/>
    <hyperlink ref="A22" r:id="rId20" xr:uid="{00000000-0004-0000-0000-000015000000}"/>
    <hyperlink ref="A23" r:id="rId21" xr:uid="{00000000-0004-0000-0000-000016000000}"/>
    <hyperlink ref="A24" r:id="rId22" xr:uid="{00000000-0004-0000-0000-000017000000}"/>
    <hyperlink ref="A25" r:id="rId23" xr:uid="{00000000-0004-0000-0000-000018000000}"/>
    <hyperlink ref="A26" r:id="rId24" xr:uid="{00000000-0004-0000-0000-000019000000}"/>
    <hyperlink ref="A27" r:id="rId25" xr:uid="{00000000-0004-0000-0000-00001B000000}"/>
    <hyperlink ref="A28" r:id="rId26" xr:uid="{00000000-0004-0000-0000-00001C000000}"/>
    <hyperlink ref="A29" r:id="rId27" xr:uid="{00000000-0004-0000-0000-00001D000000}"/>
    <hyperlink ref="A30" r:id="rId28" xr:uid="{00000000-0004-0000-0000-00001E000000}"/>
    <hyperlink ref="A7" r:id="rId29" xr:uid="{00000000-0004-0000-0000-000005000000}"/>
  </hyperlinks>
  <printOptions horizontalCentered="1" gridLines="1"/>
  <pageMargins left="0.7" right="0.7" top="0.75" bottom="0.75" header="0" footer="0"/>
  <pageSetup fitToHeight="0" pageOrder="overThenDown" orientation="landscape" cellComments="atEnd"/>
  <legacy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Q3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3" sqref="C33"/>
    </sheetView>
  </sheetViews>
  <sheetFormatPr baseColWidth="10" defaultColWidth="12.6640625" defaultRowHeight="15.75" customHeight="1"/>
  <cols>
    <col min="1" max="1" width="16.1640625" customWidth="1"/>
    <col min="2" max="2" width="15.83203125" customWidth="1"/>
    <col min="3" max="3" width="9.1640625" customWidth="1"/>
    <col min="4" max="5" width="8.5" customWidth="1"/>
    <col min="6" max="7" width="9.6640625" customWidth="1"/>
    <col min="8" max="9" width="10.33203125" customWidth="1"/>
    <col min="10" max="10" width="9.33203125" customWidth="1"/>
    <col min="11" max="11" width="10.1640625" customWidth="1"/>
    <col min="12" max="12" width="9.6640625" customWidth="1"/>
    <col min="13" max="13" width="7.6640625" customWidth="1"/>
    <col min="14" max="14" width="7.33203125" customWidth="1"/>
    <col min="15" max="15" width="9.33203125" customWidth="1"/>
    <col min="16" max="16" width="6.1640625" customWidth="1"/>
    <col min="17" max="17" width="4" customWidth="1"/>
  </cols>
  <sheetData>
    <row r="1" spans="1:17" ht="36" customHeight="1">
      <c r="A1" s="5" t="s">
        <v>4</v>
      </c>
      <c r="B1" s="5" t="s">
        <v>5</v>
      </c>
      <c r="C1" s="6" t="s">
        <v>6</v>
      </c>
      <c r="D1" s="6" t="s">
        <v>7</v>
      </c>
      <c r="E1" s="6" t="s">
        <v>8</v>
      </c>
      <c r="F1" s="8" t="s">
        <v>9</v>
      </c>
      <c r="G1" s="8" t="s">
        <v>10</v>
      </c>
      <c r="H1" s="6" t="s">
        <v>11</v>
      </c>
      <c r="I1" s="6" t="s">
        <v>12</v>
      </c>
      <c r="J1" s="8" t="s">
        <v>13</v>
      </c>
      <c r="K1" s="8" t="s">
        <v>14</v>
      </c>
      <c r="L1" s="6" t="s">
        <v>15</v>
      </c>
      <c r="M1" s="8" t="s">
        <v>16</v>
      </c>
      <c r="N1" s="6" t="s">
        <v>17</v>
      </c>
      <c r="O1" s="6" t="s">
        <v>18</v>
      </c>
      <c r="P1" s="6" t="s">
        <v>19</v>
      </c>
      <c r="Q1" s="6" t="s">
        <v>20</v>
      </c>
    </row>
    <row r="2" spans="1:17" ht="15">
      <c r="A2" s="10" t="s">
        <v>21</v>
      </c>
      <c r="B2" s="10" t="s">
        <v>22</v>
      </c>
      <c r="C2" s="10">
        <v>32050015</v>
      </c>
      <c r="D2" s="11">
        <v>17</v>
      </c>
      <c r="E2" s="11">
        <v>14.4</v>
      </c>
      <c r="F2" s="11">
        <v>0</v>
      </c>
      <c r="G2" s="10"/>
      <c r="H2" s="11">
        <v>18.7</v>
      </c>
      <c r="I2" s="11">
        <v>13.6</v>
      </c>
      <c r="J2" s="10"/>
      <c r="K2" s="11">
        <v>18.89</v>
      </c>
      <c r="L2" s="11">
        <v>20</v>
      </c>
      <c r="M2" s="10"/>
      <c r="N2" s="12">
        <v>61.14</v>
      </c>
      <c r="O2" s="15">
        <f t="shared" ref="O2:O31" si="0">N2/5</f>
        <v>12.228</v>
      </c>
      <c r="P2" s="16">
        <f>'Hoja 1'!R2</f>
        <v>0</v>
      </c>
      <c r="Q2" s="17">
        <f>O2+P2</f>
        <v>12.228</v>
      </c>
    </row>
    <row r="3" spans="1:17" ht="15">
      <c r="A3" s="10" t="s">
        <v>24</v>
      </c>
      <c r="B3" s="10" t="s">
        <v>25</v>
      </c>
      <c r="C3" s="10">
        <v>30911705</v>
      </c>
      <c r="D3" s="11">
        <v>7</v>
      </c>
      <c r="E3" s="10"/>
      <c r="F3" s="11">
        <v>0</v>
      </c>
      <c r="G3" s="10"/>
      <c r="H3" s="10"/>
      <c r="I3" s="10"/>
      <c r="J3" s="10"/>
      <c r="K3" s="11">
        <v>16.670000000000002</v>
      </c>
      <c r="L3" s="10"/>
      <c r="M3" s="10"/>
      <c r="N3" s="12">
        <v>10.83</v>
      </c>
      <c r="O3" s="15">
        <f t="shared" si="0"/>
        <v>2.1659999999999999</v>
      </c>
      <c r="P3" s="16">
        <f>'Hoja 1'!R3</f>
        <v>6.6666666666666666E-2</v>
      </c>
      <c r="Q3" s="18" t="s">
        <v>27</v>
      </c>
    </row>
    <row r="4" spans="1:17" ht="15">
      <c r="A4" s="10" t="s">
        <v>28</v>
      </c>
      <c r="B4" s="10" t="s">
        <v>29</v>
      </c>
      <c r="C4" s="10">
        <v>30906782</v>
      </c>
      <c r="D4" s="11">
        <v>5</v>
      </c>
      <c r="E4" s="11">
        <v>10.4</v>
      </c>
      <c r="F4" s="10"/>
      <c r="G4" s="11">
        <v>0</v>
      </c>
      <c r="H4" s="11">
        <v>18</v>
      </c>
      <c r="I4" s="11">
        <v>13.2</v>
      </c>
      <c r="J4" s="10"/>
      <c r="K4" s="10"/>
      <c r="L4" s="11">
        <v>20</v>
      </c>
      <c r="M4" s="10"/>
      <c r="N4" s="12">
        <v>39.950000000000003</v>
      </c>
      <c r="O4" s="15">
        <f t="shared" si="0"/>
        <v>7.99</v>
      </c>
      <c r="P4" s="16">
        <f>'Hoja 1'!R4</f>
        <v>0</v>
      </c>
      <c r="Q4" s="17">
        <f t="shared" ref="Q4:Q7" si="1">O4+P4</f>
        <v>7.99</v>
      </c>
    </row>
    <row r="5" spans="1:17" ht="15">
      <c r="A5" s="10" t="s">
        <v>31</v>
      </c>
      <c r="B5" s="10" t="s">
        <v>32</v>
      </c>
      <c r="C5" s="10">
        <v>31852011</v>
      </c>
      <c r="D5" s="11">
        <v>17</v>
      </c>
      <c r="E5" s="11">
        <v>10.050000000000001</v>
      </c>
      <c r="F5" s="11">
        <v>0</v>
      </c>
      <c r="G5" s="10"/>
      <c r="H5" s="11">
        <v>0</v>
      </c>
      <c r="I5" s="10"/>
      <c r="J5" s="10"/>
      <c r="K5" s="11">
        <v>17.78</v>
      </c>
      <c r="L5" s="11">
        <v>20</v>
      </c>
      <c r="M5" s="10"/>
      <c r="N5" s="12">
        <v>33.51</v>
      </c>
      <c r="O5" s="15">
        <f t="shared" si="0"/>
        <v>6.702</v>
      </c>
      <c r="P5" s="16">
        <f>'Hoja 1'!R5</f>
        <v>0</v>
      </c>
      <c r="Q5" s="17">
        <f t="shared" si="1"/>
        <v>6.702</v>
      </c>
    </row>
    <row r="6" spans="1:17" ht="15">
      <c r="A6" s="10" t="s">
        <v>24</v>
      </c>
      <c r="B6" s="10" t="s">
        <v>33</v>
      </c>
      <c r="C6" s="10">
        <v>29947503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5"/>
      <c r="O6" s="15">
        <f t="shared" si="0"/>
        <v>0</v>
      </c>
      <c r="P6" s="16">
        <f>'Hoja 1'!R6</f>
        <v>0</v>
      </c>
      <c r="Q6" s="17">
        <f t="shared" si="1"/>
        <v>0</v>
      </c>
    </row>
    <row r="7" spans="1:17" ht="15">
      <c r="A7" s="10" t="s">
        <v>34</v>
      </c>
      <c r="B7" s="10" t="s">
        <v>35</v>
      </c>
      <c r="C7" s="10">
        <v>31448284</v>
      </c>
      <c r="D7" s="11">
        <v>7</v>
      </c>
      <c r="E7" s="11">
        <v>11.67</v>
      </c>
      <c r="F7" s="11">
        <v>0</v>
      </c>
      <c r="G7" s="10"/>
      <c r="H7" s="11">
        <v>0</v>
      </c>
      <c r="I7" s="11">
        <v>19.600000000000001</v>
      </c>
      <c r="J7" s="11">
        <v>20</v>
      </c>
      <c r="K7" s="11">
        <v>20</v>
      </c>
      <c r="L7" s="11">
        <v>20</v>
      </c>
      <c r="M7" s="19">
        <v>9.86</v>
      </c>
      <c r="N7" s="12">
        <f>42.2+M7</f>
        <v>52.06</v>
      </c>
      <c r="O7" s="15">
        <f t="shared" si="0"/>
        <v>10.412000000000001</v>
      </c>
      <c r="P7" s="16">
        <f>'Hoja 1'!R7</f>
        <v>0.2</v>
      </c>
      <c r="Q7" s="21">
        <f t="shared" si="1"/>
        <v>10.612</v>
      </c>
    </row>
    <row r="8" spans="1:17" ht="15">
      <c r="A8" s="10" t="s">
        <v>37</v>
      </c>
      <c r="B8" s="10" t="s">
        <v>38</v>
      </c>
      <c r="C8" s="10">
        <v>30693530</v>
      </c>
      <c r="D8" s="11">
        <v>12</v>
      </c>
      <c r="E8" s="11">
        <v>16.53</v>
      </c>
      <c r="F8" s="11">
        <v>4.5</v>
      </c>
      <c r="G8" s="11">
        <v>7.25</v>
      </c>
      <c r="H8" s="11">
        <v>18.2</v>
      </c>
      <c r="I8" s="11">
        <v>16</v>
      </c>
      <c r="J8" s="11">
        <v>5</v>
      </c>
      <c r="K8" s="11">
        <v>16.670000000000002</v>
      </c>
      <c r="L8" s="11">
        <v>20</v>
      </c>
      <c r="M8" s="10"/>
      <c r="N8" s="12">
        <v>64.75</v>
      </c>
      <c r="O8" s="15">
        <f t="shared" si="0"/>
        <v>12.95</v>
      </c>
      <c r="P8" s="16">
        <f>'Hoja 1'!R8</f>
        <v>0.4</v>
      </c>
      <c r="Q8" s="22">
        <v>14</v>
      </c>
    </row>
    <row r="9" spans="1:17" ht="15">
      <c r="A9" s="10" t="s">
        <v>40</v>
      </c>
      <c r="B9" s="10" t="s">
        <v>41</v>
      </c>
      <c r="C9" s="10">
        <v>28175373</v>
      </c>
      <c r="D9" s="11">
        <v>15</v>
      </c>
      <c r="E9" s="11">
        <v>11.57</v>
      </c>
      <c r="F9" s="11">
        <v>6.5</v>
      </c>
      <c r="G9" s="11">
        <v>0</v>
      </c>
      <c r="H9" s="11">
        <v>17.399999999999999</v>
      </c>
      <c r="I9" s="11">
        <v>9.1999999999999993</v>
      </c>
      <c r="J9" s="11">
        <v>20</v>
      </c>
      <c r="K9" s="11">
        <v>17.78</v>
      </c>
      <c r="L9" s="11">
        <v>20</v>
      </c>
      <c r="M9" s="10"/>
      <c r="N9" s="12">
        <v>60.35</v>
      </c>
      <c r="O9" s="15">
        <f t="shared" si="0"/>
        <v>12.07</v>
      </c>
      <c r="P9" s="16">
        <f>'Hoja 1'!R9</f>
        <v>0</v>
      </c>
      <c r="Q9" s="21">
        <f>O9+P9</f>
        <v>12.07</v>
      </c>
    </row>
    <row r="10" spans="1:17" ht="15">
      <c r="A10" s="10" t="s">
        <v>42</v>
      </c>
      <c r="B10" s="10" t="s">
        <v>43</v>
      </c>
      <c r="C10" s="10">
        <v>31792509</v>
      </c>
      <c r="D10" s="11">
        <v>0</v>
      </c>
      <c r="E10" s="10"/>
      <c r="F10" s="11">
        <v>5.5</v>
      </c>
      <c r="G10" s="10"/>
      <c r="H10" s="10"/>
      <c r="I10" s="10"/>
      <c r="J10" s="10"/>
      <c r="K10" s="11">
        <v>18.89</v>
      </c>
      <c r="L10" s="10"/>
      <c r="M10" s="10"/>
      <c r="N10" s="12">
        <v>5.1100000000000003</v>
      </c>
      <c r="O10" s="15">
        <f t="shared" si="0"/>
        <v>1.022</v>
      </c>
      <c r="P10" s="16">
        <f>'Hoja 1'!R10</f>
        <v>0.13333333333333333</v>
      </c>
      <c r="Q10" s="18" t="s">
        <v>27</v>
      </c>
    </row>
    <row r="11" spans="1:17" ht="15">
      <c r="A11" s="10" t="s">
        <v>31</v>
      </c>
      <c r="B11" s="10" t="s">
        <v>44</v>
      </c>
      <c r="C11" s="10">
        <v>30942903</v>
      </c>
      <c r="D11" s="10"/>
      <c r="E11" s="10"/>
      <c r="F11" s="10"/>
      <c r="G11" s="10"/>
      <c r="H11" s="11">
        <v>0</v>
      </c>
      <c r="I11" s="10"/>
      <c r="J11" s="10"/>
      <c r="K11" s="10"/>
      <c r="L11" s="10"/>
      <c r="M11" s="10"/>
      <c r="N11" s="12">
        <v>0</v>
      </c>
      <c r="O11" s="15">
        <f t="shared" si="0"/>
        <v>0</v>
      </c>
      <c r="P11" s="16">
        <f>'Hoja 1'!R11</f>
        <v>0</v>
      </c>
      <c r="Q11" s="17">
        <f t="shared" ref="Q11:Q12" si="2">O11+P11</f>
        <v>0</v>
      </c>
    </row>
    <row r="12" spans="1:17" ht="15">
      <c r="A12" s="10" t="s">
        <v>46</v>
      </c>
      <c r="B12" s="10" t="s">
        <v>47</v>
      </c>
      <c r="C12" s="10">
        <v>31307971</v>
      </c>
      <c r="D12" s="11">
        <v>11</v>
      </c>
      <c r="E12" s="10"/>
      <c r="F12" s="11">
        <v>0</v>
      </c>
      <c r="G12" s="10"/>
      <c r="H12" s="10"/>
      <c r="I12" s="10"/>
      <c r="J12" s="10"/>
      <c r="K12" s="10"/>
      <c r="L12" s="10"/>
      <c r="M12" s="10"/>
      <c r="N12" s="12">
        <v>13.75</v>
      </c>
      <c r="O12" s="15">
        <f t="shared" si="0"/>
        <v>2.75</v>
      </c>
      <c r="P12" s="16">
        <f>'Hoja 1'!R12</f>
        <v>0</v>
      </c>
      <c r="Q12" s="17">
        <f t="shared" si="2"/>
        <v>2.75</v>
      </c>
    </row>
    <row r="13" spans="1:17" ht="15">
      <c r="A13" s="10" t="s">
        <v>48</v>
      </c>
      <c r="B13" s="10" t="s">
        <v>49</v>
      </c>
      <c r="C13" s="10">
        <v>29948233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5"/>
      <c r="O13" s="15">
        <f t="shared" si="0"/>
        <v>0</v>
      </c>
      <c r="P13" s="16">
        <f>'Hoja 1'!R13</f>
        <v>0</v>
      </c>
      <c r="Q13" s="18" t="s">
        <v>27</v>
      </c>
    </row>
    <row r="14" spans="1:17" ht="15">
      <c r="A14" s="10" t="s">
        <v>52</v>
      </c>
      <c r="B14" s="10" t="s">
        <v>53</v>
      </c>
      <c r="C14" s="10">
        <v>31886469</v>
      </c>
      <c r="D14" s="11">
        <v>10</v>
      </c>
      <c r="E14" s="11">
        <v>14.98</v>
      </c>
      <c r="F14" s="11">
        <v>0</v>
      </c>
      <c r="G14" s="10"/>
      <c r="H14" s="11">
        <v>18.7</v>
      </c>
      <c r="I14" s="11">
        <v>13.6</v>
      </c>
      <c r="J14" s="11">
        <v>5</v>
      </c>
      <c r="K14" s="11">
        <v>20</v>
      </c>
      <c r="L14" s="10"/>
      <c r="M14" s="10"/>
      <c r="N14" s="12">
        <v>51.71</v>
      </c>
      <c r="O14" s="15">
        <f t="shared" si="0"/>
        <v>10.342000000000001</v>
      </c>
      <c r="P14" s="16">
        <f>'Hoja 1'!R14</f>
        <v>0</v>
      </c>
      <c r="Q14" s="17">
        <f t="shared" ref="Q14:Q21" si="3">O14+P14</f>
        <v>10.342000000000001</v>
      </c>
    </row>
    <row r="15" spans="1:17" ht="15">
      <c r="A15" s="10" t="s">
        <v>54</v>
      </c>
      <c r="B15" s="10" t="s">
        <v>55</v>
      </c>
      <c r="C15" s="10">
        <v>26794618</v>
      </c>
      <c r="D15" s="11">
        <v>12</v>
      </c>
      <c r="E15" s="11">
        <v>11.66</v>
      </c>
      <c r="F15" s="11">
        <v>0</v>
      </c>
      <c r="G15" s="11">
        <v>0</v>
      </c>
      <c r="H15" s="11">
        <v>0</v>
      </c>
      <c r="I15" s="10"/>
      <c r="J15" s="11">
        <v>20</v>
      </c>
      <c r="K15" s="11">
        <v>18.89</v>
      </c>
      <c r="L15" s="10"/>
      <c r="M15" s="10"/>
      <c r="N15" s="12">
        <v>31.1</v>
      </c>
      <c r="O15" s="15">
        <f t="shared" si="0"/>
        <v>6.2200000000000006</v>
      </c>
      <c r="P15" s="16">
        <f>'Hoja 1'!R15</f>
        <v>0</v>
      </c>
      <c r="Q15" s="17">
        <f t="shared" si="3"/>
        <v>6.2200000000000006</v>
      </c>
    </row>
    <row r="16" spans="1:17" ht="15">
      <c r="A16" s="10" t="s">
        <v>57</v>
      </c>
      <c r="B16" s="10" t="s">
        <v>58</v>
      </c>
      <c r="C16" s="10">
        <v>30245943</v>
      </c>
      <c r="D16" s="11">
        <v>7</v>
      </c>
      <c r="E16" s="11">
        <v>14.4</v>
      </c>
      <c r="F16" s="11">
        <v>19.5</v>
      </c>
      <c r="G16" s="11">
        <v>18.5</v>
      </c>
      <c r="H16" s="11">
        <v>18.8</v>
      </c>
      <c r="I16" s="11">
        <v>15.2</v>
      </c>
      <c r="J16" s="11">
        <v>20</v>
      </c>
      <c r="K16" s="11">
        <v>16.670000000000002</v>
      </c>
      <c r="L16" s="11">
        <v>20</v>
      </c>
      <c r="M16" s="10"/>
      <c r="N16" s="12">
        <v>73.63</v>
      </c>
      <c r="O16" s="15">
        <f t="shared" si="0"/>
        <v>14.725999999999999</v>
      </c>
      <c r="P16" s="16">
        <f>'Hoja 1'!R16</f>
        <v>0</v>
      </c>
      <c r="Q16" s="21">
        <f t="shared" si="3"/>
        <v>14.725999999999999</v>
      </c>
    </row>
    <row r="17" spans="1:17" ht="15">
      <c r="A17" s="10" t="s">
        <v>60</v>
      </c>
      <c r="B17" s="10" t="s">
        <v>61</v>
      </c>
      <c r="C17" s="10">
        <v>31229787</v>
      </c>
      <c r="D17" s="11">
        <v>10</v>
      </c>
      <c r="E17" s="23">
        <v>12.18</v>
      </c>
      <c r="F17" s="11">
        <v>0</v>
      </c>
      <c r="G17" s="10"/>
      <c r="H17" s="11">
        <v>0</v>
      </c>
      <c r="I17" s="11">
        <v>19.600000000000001</v>
      </c>
      <c r="J17" s="11">
        <v>20</v>
      </c>
      <c r="K17" s="11">
        <v>14.44</v>
      </c>
      <c r="L17" s="11">
        <v>20</v>
      </c>
      <c r="M17" s="19">
        <v>10</v>
      </c>
      <c r="N17" s="12">
        <f>45.64+M17</f>
        <v>55.64</v>
      </c>
      <c r="O17" s="15">
        <f t="shared" si="0"/>
        <v>11.128</v>
      </c>
      <c r="P17" s="16">
        <f>'Hoja 1'!R17</f>
        <v>0.33333333333333331</v>
      </c>
      <c r="Q17" s="17">
        <f t="shared" si="3"/>
        <v>11.461333333333334</v>
      </c>
    </row>
    <row r="18" spans="1:17" ht="15">
      <c r="A18" s="10" t="s">
        <v>63</v>
      </c>
      <c r="B18" s="10" t="s">
        <v>64</v>
      </c>
      <c r="C18" s="10">
        <v>30719195</v>
      </c>
      <c r="D18" s="11">
        <v>14</v>
      </c>
      <c r="E18" s="11">
        <v>10.4</v>
      </c>
      <c r="F18" s="11">
        <v>0</v>
      </c>
      <c r="G18" s="11">
        <v>0</v>
      </c>
      <c r="H18" s="10"/>
      <c r="I18" s="10"/>
      <c r="J18" s="10"/>
      <c r="K18" s="10"/>
      <c r="L18" s="10"/>
      <c r="M18" s="10"/>
      <c r="N18" s="12">
        <v>25.3</v>
      </c>
      <c r="O18" s="15">
        <f t="shared" si="0"/>
        <v>5.0600000000000005</v>
      </c>
      <c r="P18" s="16">
        <f>'Hoja 1'!R18</f>
        <v>0</v>
      </c>
      <c r="Q18" s="17">
        <f t="shared" si="3"/>
        <v>5.0600000000000005</v>
      </c>
    </row>
    <row r="19" spans="1:17" ht="15">
      <c r="A19" s="10" t="s">
        <v>65</v>
      </c>
      <c r="B19" s="10" t="s">
        <v>66</v>
      </c>
      <c r="C19" s="10">
        <v>31785756</v>
      </c>
      <c r="D19" s="11">
        <v>10</v>
      </c>
      <c r="E19" s="11">
        <v>10.4</v>
      </c>
      <c r="F19" s="11">
        <v>2.5</v>
      </c>
      <c r="G19" s="11">
        <v>0</v>
      </c>
      <c r="H19" s="11">
        <v>0</v>
      </c>
      <c r="I19" s="10"/>
      <c r="J19" s="11">
        <v>20</v>
      </c>
      <c r="K19" s="11">
        <v>20</v>
      </c>
      <c r="L19" s="11">
        <v>20</v>
      </c>
      <c r="M19" s="10"/>
      <c r="N19" s="12">
        <v>31.55</v>
      </c>
      <c r="O19" s="15">
        <f t="shared" si="0"/>
        <v>6.3100000000000005</v>
      </c>
      <c r="P19" s="16">
        <f>'Hoja 1'!R19</f>
        <v>0</v>
      </c>
      <c r="Q19" s="17">
        <f t="shared" si="3"/>
        <v>6.3100000000000005</v>
      </c>
    </row>
    <row r="20" spans="1:17" ht="15">
      <c r="A20" s="10" t="s">
        <v>68</v>
      </c>
      <c r="B20" s="10" t="s">
        <v>69</v>
      </c>
      <c r="C20" s="10">
        <v>31020400</v>
      </c>
      <c r="D20" s="11">
        <v>8.5</v>
      </c>
      <c r="E20" s="11">
        <v>14.4</v>
      </c>
      <c r="F20" s="11">
        <v>0</v>
      </c>
      <c r="G20" s="11">
        <v>20</v>
      </c>
      <c r="H20" s="11">
        <v>18.399999999999999</v>
      </c>
      <c r="I20" s="19">
        <v>12.2</v>
      </c>
      <c r="J20" s="11">
        <v>10</v>
      </c>
      <c r="K20" s="11">
        <v>14.44</v>
      </c>
      <c r="L20" s="11">
        <v>20</v>
      </c>
      <c r="M20" s="10"/>
      <c r="N20" s="24">
        <v>61.18</v>
      </c>
      <c r="O20" s="15">
        <f t="shared" si="0"/>
        <v>12.236000000000001</v>
      </c>
      <c r="P20" s="16">
        <f>'Hoja 1'!R20</f>
        <v>0</v>
      </c>
      <c r="Q20" s="17">
        <f t="shared" si="3"/>
        <v>12.236000000000001</v>
      </c>
    </row>
    <row r="21" spans="1:17" ht="15">
      <c r="A21" s="10" t="s">
        <v>70</v>
      </c>
      <c r="B21" s="10" t="s">
        <v>71</v>
      </c>
      <c r="C21" s="10">
        <v>29611077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5"/>
      <c r="O21" s="15">
        <f t="shared" si="0"/>
        <v>0</v>
      </c>
      <c r="P21" s="16">
        <f>'Hoja 1'!R21</f>
        <v>0</v>
      </c>
      <c r="Q21" s="17">
        <f t="shared" si="3"/>
        <v>0</v>
      </c>
    </row>
    <row r="22" spans="1:17" ht="15">
      <c r="A22" s="10" t="s">
        <v>73</v>
      </c>
      <c r="B22" s="10" t="s">
        <v>74</v>
      </c>
      <c r="C22" s="10">
        <v>31587327</v>
      </c>
      <c r="D22" s="11">
        <v>6</v>
      </c>
      <c r="E22" s="10"/>
      <c r="F22" s="11">
        <v>7.5</v>
      </c>
      <c r="G22" s="10"/>
      <c r="H22" s="10"/>
      <c r="I22" s="10"/>
      <c r="J22" s="10"/>
      <c r="K22" s="10"/>
      <c r="L22" s="10"/>
      <c r="M22" s="10"/>
      <c r="N22" s="12">
        <v>11.25</v>
      </c>
      <c r="O22" s="15">
        <f t="shared" si="0"/>
        <v>2.25</v>
      </c>
      <c r="P22" s="16">
        <f>'Hoja 1'!R22</f>
        <v>6.6666666666666666E-2</v>
      </c>
      <c r="Q22" s="18" t="s">
        <v>27</v>
      </c>
    </row>
    <row r="23" spans="1:17" ht="15">
      <c r="A23" s="10" t="s">
        <v>75</v>
      </c>
      <c r="B23" s="10" t="s">
        <v>76</v>
      </c>
      <c r="C23" s="10">
        <v>30229939</v>
      </c>
      <c r="D23" s="11">
        <v>12</v>
      </c>
      <c r="E23" s="11">
        <v>10.91</v>
      </c>
      <c r="F23" s="11">
        <v>11.5</v>
      </c>
      <c r="G23" s="11">
        <v>20</v>
      </c>
      <c r="H23" s="11">
        <v>18.8</v>
      </c>
      <c r="I23" s="11">
        <v>15.2</v>
      </c>
      <c r="J23" s="11">
        <v>10</v>
      </c>
      <c r="K23" s="11">
        <v>1.1100000000000001</v>
      </c>
      <c r="L23" s="10"/>
      <c r="M23" s="10"/>
      <c r="N23" s="12">
        <v>67.069999999999993</v>
      </c>
      <c r="O23" s="15">
        <f t="shared" si="0"/>
        <v>13.413999999999998</v>
      </c>
      <c r="P23" s="16">
        <f>'Hoja 1'!R23</f>
        <v>0.26666666666666666</v>
      </c>
      <c r="Q23" s="17">
        <f t="shared" ref="Q23:Q26" si="4">O23+P23</f>
        <v>13.680666666666665</v>
      </c>
    </row>
    <row r="24" spans="1:17" ht="15">
      <c r="A24" s="10" t="s">
        <v>78</v>
      </c>
      <c r="B24" s="10" t="s">
        <v>79</v>
      </c>
      <c r="C24" s="10">
        <v>27985520</v>
      </c>
      <c r="D24" s="11">
        <v>12</v>
      </c>
      <c r="E24" s="11">
        <v>14.4</v>
      </c>
      <c r="F24" s="11">
        <v>0</v>
      </c>
      <c r="G24" s="11">
        <v>14.5</v>
      </c>
      <c r="H24" s="11">
        <v>18.399999999999999</v>
      </c>
      <c r="I24" s="19">
        <v>12.2</v>
      </c>
      <c r="J24" s="11">
        <v>20</v>
      </c>
      <c r="K24" s="11">
        <v>16.670000000000002</v>
      </c>
      <c r="L24" s="11">
        <v>20</v>
      </c>
      <c r="M24" s="19">
        <v>1.67</v>
      </c>
      <c r="N24" s="12">
        <f>65.58+M24</f>
        <v>67.25</v>
      </c>
      <c r="O24" s="15">
        <f t="shared" si="0"/>
        <v>13.45</v>
      </c>
      <c r="P24" s="16">
        <f>'Hoja 1'!R24</f>
        <v>1.5333333333333334</v>
      </c>
      <c r="Q24" s="21">
        <f t="shared" si="4"/>
        <v>14.983333333333333</v>
      </c>
    </row>
    <row r="25" spans="1:17" ht="15">
      <c r="A25" s="10" t="s">
        <v>81</v>
      </c>
      <c r="B25" s="10" t="s">
        <v>82</v>
      </c>
      <c r="C25" s="10">
        <v>31623487</v>
      </c>
      <c r="D25" s="10"/>
      <c r="E25" s="10"/>
      <c r="F25" s="10"/>
      <c r="G25" s="10"/>
      <c r="H25" s="11">
        <v>0</v>
      </c>
      <c r="I25" s="10"/>
      <c r="J25" s="11">
        <v>10</v>
      </c>
      <c r="K25" s="10"/>
      <c r="L25" s="10"/>
      <c r="M25" s="10"/>
      <c r="N25" s="12">
        <v>2.5</v>
      </c>
      <c r="O25" s="15">
        <f t="shared" si="0"/>
        <v>0.5</v>
      </c>
      <c r="P25" s="16">
        <f>'Hoja 1'!R25</f>
        <v>0</v>
      </c>
      <c r="Q25" s="17">
        <f t="shared" si="4"/>
        <v>0.5</v>
      </c>
    </row>
    <row r="26" spans="1:17" ht="15">
      <c r="A26" s="10" t="s">
        <v>83</v>
      </c>
      <c r="B26" s="10" t="s">
        <v>84</v>
      </c>
      <c r="C26" s="10">
        <v>27714324</v>
      </c>
      <c r="D26" s="11">
        <v>19</v>
      </c>
      <c r="E26" s="11">
        <v>16</v>
      </c>
      <c r="F26" s="10"/>
      <c r="G26" s="11">
        <v>20</v>
      </c>
      <c r="H26" s="11">
        <v>18.399999999999999</v>
      </c>
      <c r="I26" s="19">
        <v>12.2</v>
      </c>
      <c r="J26" s="10"/>
      <c r="K26" s="11">
        <v>14.44</v>
      </c>
      <c r="L26" s="10"/>
      <c r="M26" s="10"/>
      <c r="N26" s="24">
        <v>70.5</v>
      </c>
      <c r="O26" s="15">
        <f t="shared" si="0"/>
        <v>14.1</v>
      </c>
      <c r="P26" s="16">
        <f>'Hoja 1'!R26</f>
        <v>0.4</v>
      </c>
      <c r="Q26" s="17">
        <f t="shared" si="4"/>
        <v>14.5</v>
      </c>
    </row>
    <row r="27" spans="1:17" ht="15">
      <c r="A27" s="10" t="s">
        <v>86</v>
      </c>
      <c r="B27" s="10" t="s">
        <v>87</v>
      </c>
      <c r="C27" s="10">
        <v>32001374</v>
      </c>
      <c r="D27" s="11">
        <v>11</v>
      </c>
      <c r="E27" s="11">
        <v>15.2</v>
      </c>
      <c r="F27" s="11">
        <v>13</v>
      </c>
      <c r="G27" s="10"/>
      <c r="H27" s="11">
        <v>0</v>
      </c>
      <c r="I27" s="11">
        <v>14</v>
      </c>
      <c r="J27" s="10"/>
      <c r="K27" s="11">
        <v>20</v>
      </c>
      <c r="L27" s="11">
        <v>20</v>
      </c>
      <c r="M27" s="10"/>
      <c r="N27" s="12">
        <v>47.15</v>
      </c>
      <c r="O27" s="15">
        <f t="shared" si="0"/>
        <v>9.43</v>
      </c>
      <c r="P27" s="16">
        <f>'Hoja 1'!R27</f>
        <v>0.93333333333333335</v>
      </c>
      <c r="Q27" s="22">
        <v>11</v>
      </c>
    </row>
    <row r="28" spans="1:17" ht="15">
      <c r="A28" s="10" t="s">
        <v>88</v>
      </c>
      <c r="B28" s="10" t="s">
        <v>89</v>
      </c>
      <c r="C28" s="10">
        <v>30394855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5"/>
      <c r="O28" s="15">
        <f t="shared" si="0"/>
        <v>0</v>
      </c>
      <c r="P28" s="16">
        <f>'Hoja 1'!R28</f>
        <v>0.13333333333333333</v>
      </c>
      <c r="Q28" s="17">
        <f t="shared" ref="Q28:Q30" si="5">O28+P28</f>
        <v>0.13333333333333333</v>
      </c>
    </row>
    <row r="29" spans="1:17" ht="15">
      <c r="A29" s="10" t="s">
        <v>91</v>
      </c>
      <c r="B29" s="10" t="s">
        <v>92</v>
      </c>
      <c r="C29" s="10">
        <v>31872806</v>
      </c>
      <c r="D29" s="11">
        <v>16</v>
      </c>
      <c r="E29" s="11">
        <v>10.81</v>
      </c>
      <c r="F29" s="11">
        <v>5.05</v>
      </c>
      <c r="G29" s="11">
        <v>0</v>
      </c>
      <c r="H29" s="11">
        <v>18.7</v>
      </c>
      <c r="I29" s="11">
        <v>13.6</v>
      </c>
      <c r="J29" s="10"/>
      <c r="K29" s="11">
        <v>18.89</v>
      </c>
      <c r="L29" s="11">
        <v>20</v>
      </c>
      <c r="M29" s="10"/>
      <c r="N29" s="12">
        <v>59.72</v>
      </c>
      <c r="O29" s="15">
        <f t="shared" si="0"/>
        <v>11.943999999999999</v>
      </c>
      <c r="P29" s="16">
        <f>'Hoja 1'!R29</f>
        <v>0.13333333333333333</v>
      </c>
      <c r="Q29" s="17">
        <f t="shared" si="5"/>
        <v>12.077333333333332</v>
      </c>
    </row>
    <row r="30" spans="1:17" ht="15">
      <c r="A30" s="10" t="s">
        <v>93</v>
      </c>
      <c r="B30" s="10" t="s">
        <v>94</v>
      </c>
      <c r="C30" s="10">
        <v>31963201</v>
      </c>
      <c r="D30" s="11">
        <v>15</v>
      </c>
      <c r="E30" s="11">
        <v>9.6</v>
      </c>
      <c r="F30" s="11">
        <v>4.5</v>
      </c>
      <c r="G30" s="10"/>
      <c r="H30" s="11">
        <v>0</v>
      </c>
      <c r="I30" s="11">
        <v>19.600000000000001</v>
      </c>
      <c r="J30" s="11">
        <v>20</v>
      </c>
      <c r="K30" s="11">
        <v>18.89</v>
      </c>
      <c r="L30" s="11">
        <v>20</v>
      </c>
      <c r="M30" s="10"/>
      <c r="N30" s="12">
        <v>52.76</v>
      </c>
      <c r="O30" s="15">
        <f t="shared" si="0"/>
        <v>10.552</v>
      </c>
      <c r="P30" s="16">
        <f>'Hoja 1'!R30</f>
        <v>0.13333333333333333</v>
      </c>
      <c r="Q30" s="17">
        <f t="shared" si="5"/>
        <v>10.685333333333332</v>
      </c>
    </row>
    <row r="31" spans="1:17" ht="15">
      <c r="A31" s="4" t="s">
        <v>96</v>
      </c>
      <c r="B31" s="4" t="s">
        <v>97</v>
      </c>
      <c r="C31" s="4">
        <v>31985260</v>
      </c>
      <c r="D31" s="4">
        <v>13</v>
      </c>
      <c r="E31" s="4">
        <v>14.4</v>
      </c>
      <c r="F31" s="4">
        <v>11.5</v>
      </c>
      <c r="G31" s="4"/>
      <c r="H31" s="4">
        <v>0</v>
      </c>
      <c r="I31" s="4">
        <v>14</v>
      </c>
      <c r="J31" s="4">
        <v>20</v>
      </c>
      <c r="K31" s="4">
        <v>18.89</v>
      </c>
      <c r="L31" s="4"/>
      <c r="M31" s="4"/>
      <c r="N31" s="25">
        <v>50.66</v>
      </c>
      <c r="O31" s="15">
        <f t="shared" si="0"/>
        <v>10.132</v>
      </c>
      <c r="P31" s="16">
        <f>'Hoja 1'!R31</f>
        <v>1.4</v>
      </c>
      <c r="Q31" s="26">
        <v>12</v>
      </c>
    </row>
    <row r="33" spans="16:16" ht="15">
      <c r="P33" s="27">
        <f>'Hoja 1'!R32</f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8"/>
  <sheetViews>
    <sheetView tabSelected="1" workbookViewId="0">
      <selection activeCell="E5" sqref="E5:E6"/>
    </sheetView>
  </sheetViews>
  <sheetFormatPr baseColWidth="10" defaultColWidth="8.83203125" defaultRowHeight="13"/>
  <cols>
    <col min="1" max="5" width="16" customWidth="1"/>
    <col min="6" max="29" width="9" customWidth="1"/>
  </cols>
  <sheetData>
    <row r="1" spans="1:29">
      <c r="A1" t="s">
        <v>109</v>
      </c>
      <c r="B1" s="32" t="s">
        <v>130</v>
      </c>
    </row>
    <row r="2" spans="1:29">
      <c r="A2" t="s">
        <v>110</v>
      </c>
      <c r="B2" s="32" t="s">
        <v>131</v>
      </c>
    </row>
    <row r="3" spans="1:29">
      <c r="A3" t="s">
        <v>111</v>
      </c>
      <c r="B3">
        <v>2</v>
      </c>
    </row>
    <row r="5" spans="1:29">
      <c r="A5" s="34" t="s">
        <v>112</v>
      </c>
      <c r="B5" s="34" t="s">
        <v>113</v>
      </c>
      <c r="C5" s="34" t="s">
        <v>114</v>
      </c>
      <c r="D5" s="34" t="s">
        <v>115</v>
      </c>
      <c r="E5" s="36" t="s">
        <v>132</v>
      </c>
      <c r="F5" s="34" t="s">
        <v>116</v>
      </c>
      <c r="G5" s="34"/>
      <c r="H5" s="34" t="s">
        <v>117</v>
      </c>
      <c r="I5" s="34"/>
      <c r="J5" s="34" t="s">
        <v>118</v>
      </c>
      <c r="K5" s="34"/>
      <c r="L5" s="34" t="s">
        <v>119</v>
      </c>
      <c r="M5" s="34"/>
      <c r="N5" s="34" t="s">
        <v>120</v>
      </c>
      <c r="O5" s="34"/>
      <c r="P5" s="34" t="s">
        <v>121</v>
      </c>
      <c r="Q5" s="34"/>
      <c r="R5" s="34" t="s">
        <v>122</v>
      </c>
      <c r="S5" s="34"/>
      <c r="T5" s="34" t="s">
        <v>123</v>
      </c>
      <c r="U5" s="34"/>
      <c r="V5" s="34" t="s">
        <v>124</v>
      </c>
      <c r="W5" s="34"/>
      <c r="X5" s="34" t="s">
        <v>125</v>
      </c>
      <c r="Y5" s="34"/>
      <c r="Z5" s="34" t="s">
        <v>126</v>
      </c>
      <c r="AA5" s="34"/>
      <c r="AB5" s="34" t="s">
        <v>127</v>
      </c>
      <c r="AC5" s="34"/>
    </row>
    <row r="6" spans="1:29">
      <c r="A6" s="34"/>
      <c r="B6" s="34"/>
      <c r="C6" s="34"/>
      <c r="D6" s="34"/>
      <c r="E6" s="35"/>
      <c r="F6" s="32" t="s">
        <v>128</v>
      </c>
      <c r="G6" s="32" t="s">
        <v>129</v>
      </c>
      <c r="H6" s="32" t="s">
        <v>128</v>
      </c>
      <c r="I6" s="32" t="s">
        <v>129</v>
      </c>
      <c r="J6" s="32" t="s">
        <v>128</v>
      </c>
      <c r="K6" s="32" t="s">
        <v>129</v>
      </c>
      <c r="L6" s="32" t="s">
        <v>128</v>
      </c>
      <c r="M6" s="32" t="s">
        <v>129</v>
      </c>
      <c r="N6" s="32" t="s">
        <v>128</v>
      </c>
      <c r="O6" s="32" t="s">
        <v>129</v>
      </c>
      <c r="P6" s="32" t="s">
        <v>128</v>
      </c>
      <c r="Q6" s="32" t="s">
        <v>129</v>
      </c>
      <c r="R6" s="32" t="s">
        <v>128</v>
      </c>
      <c r="S6" s="32" t="s">
        <v>129</v>
      </c>
      <c r="T6" s="32" t="s">
        <v>128</v>
      </c>
      <c r="U6" s="32" t="s">
        <v>129</v>
      </c>
      <c r="V6" s="32" t="s">
        <v>128</v>
      </c>
      <c r="W6" s="32" t="s">
        <v>129</v>
      </c>
      <c r="X6" s="32" t="s">
        <v>128</v>
      </c>
      <c r="Y6" s="32" t="s">
        <v>129</v>
      </c>
      <c r="Z6" s="32" t="s">
        <v>128</v>
      </c>
      <c r="AA6" s="32" t="s">
        <v>129</v>
      </c>
      <c r="AB6" s="32" t="s">
        <v>128</v>
      </c>
      <c r="AC6" s="32" t="s">
        <v>129</v>
      </c>
    </row>
    <row r="7" spans="1:29" ht="14">
      <c r="A7">
        <v>1</v>
      </c>
      <c r="B7" s="29" t="s">
        <v>21</v>
      </c>
      <c r="C7" s="29" t="s">
        <v>22</v>
      </c>
      <c r="D7" s="29">
        <v>32050015</v>
      </c>
      <c r="E7" s="29" t="inlineStr">
        <is>
          <t>20251110442</t>
        </is>
      </c>
      <c r="F7" s="9"/>
      <c r="G7" s="9"/>
      <c r="K7" s="9"/>
      <c r="L7" s="9"/>
      <c r="M7" s="9"/>
      <c r="N7" s="9"/>
      <c r="O7" s="9"/>
      <c r="Q7" s="9"/>
      <c r="T7" s="9"/>
      <c r="U7" s="9"/>
      <c r="V7" s="9"/>
      <c r="X7" s="9"/>
      <c r="Y7" s="9"/>
      <c r="Z7" s="9"/>
      <c r="AB7" s="9"/>
    </row>
    <row r="8" spans="1:29" ht="14">
      <c r="A8">
        <v>2</v>
      </c>
      <c r="B8" s="30" t="s">
        <v>24</v>
      </c>
      <c r="C8" s="30" t="s">
        <v>25</v>
      </c>
      <c r="D8" s="30">
        <v>30911705</v>
      </c>
      <c r="E8" s="30" t="inlineStr">
        <is>
          <t>20241110589</t>
        </is>
      </c>
      <c r="F8" s="9"/>
      <c r="G8" s="9"/>
      <c r="K8" s="9"/>
      <c r="L8" s="9"/>
      <c r="M8" s="9"/>
      <c r="N8" s="9"/>
      <c r="O8" s="9"/>
      <c r="Q8" s="9"/>
      <c r="T8" s="9">
        <v>1</v>
      </c>
      <c r="U8" s="9"/>
      <c r="V8" s="9"/>
      <c r="X8" s="9"/>
      <c r="Y8" s="9"/>
      <c r="Z8" s="9"/>
      <c r="AB8" s="9"/>
    </row>
    <row r="9" spans="1:29" ht="14">
      <c r="A9">
        <v>3</v>
      </c>
      <c r="B9" s="29" t="s">
        <v>28</v>
      </c>
      <c r="C9" s="29" t="s">
        <v>29</v>
      </c>
      <c r="D9" s="29">
        <v>30906782</v>
      </c>
      <c r="E9" s="29" t="inlineStr">
        <is>
          <t>20241110456</t>
        </is>
      </c>
      <c r="F9" s="9"/>
      <c r="G9" s="9"/>
      <c r="K9" s="9"/>
      <c r="L9" s="9"/>
      <c r="M9" s="9"/>
      <c r="N9" s="9"/>
      <c r="O9" s="9"/>
      <c r="Q9" s="9"/>
      <c r="T9" s="9"/>
      <c r="U9" s="9"/>
      <c r="V9" s="9"/>
      <c r="X9" s="9"/>
      <c r="Y9" s="9"/>
      <c r="Z9" s="9"/>
      <c r="AB9" s="9"/>
    </row>
    <row r="10" spans="1:29" ht="14">
      <c r="A10">
        <v>4</v>
      </c>
      <c r="B10" s="30" t="s">
        <v>31</v>
      </c>
      <c r="C10" s="30" t="s">
        <v>32</v>
      </c>
      <c r="D10" s="30">
        <v>31852011</v>
      </c>
      <c r="E10" s="30" t="inlineStr">
        <is>
          <t>20251120004</t>
        </is>
      </c>
      <c r="F10" s="9"/>
      <c r="G10" s="9"/>
      <c r="K10" s="9"/>
      <c r="L10" s="9"/>
      <c r="M10" s="9"/>
      <c r="N10" s="9"/>
      <c r="O10" s="9"/>
      <c r="Q10" s="9"/>
      <c r="T10" s="9"/>
      <c r="U10" s="9"/>
      <c r="V10" s="9"/>
      <c r="X10" s="9"/>
      <c r="Y10" s="9"/>
      <c r="Z10" s="9"/>
      <c r="AB10" s="9"/>
    </row>
    <row r="11" spans="1:29" ht="14">
      <c r="A11">
        <v>5</v>
      </c>
      <c r="B11" s="29" t="s">
        <v>24</v>
      </c>
      <c r="C11" s="29" t="s">
        <v>33</v>
      </c>
      <c r="D11" s="29">
        <v>29947503</v>
      </c>
      <c r="E11" s="29" t="inlineStr">
        <is>
          <t>20221110165</t>
        </is>
      </c>
      <c r="F11" s="9"/>
      <c r="G11" s="9"/>
      <c r="K11" s="9"/>
      <c r="L11" s="9"/>
      <c r="M11" s="9"/>
      <c r="N11" s="9"/>
      <c r="O11" s="9"/>
      <c r="Q11" s="9"/>
      <c r="T11" s="9"/>
      <c r="U11" s="9"/>
      <c r="V11" s="9"/>
      <c r="X11" s="9"/>
      <c r="Y11" s="9"/>
      <c r="Z11" s="9"/>
      <c r="AB11" s="9"/>
    </row>
    <row r="12" spans="1:29" ht="14">
      <c r="A12">
        <v>6</v>
      </c>
      <c r="B12" s="30" t="s">
        <v>34</v>
      </c>
      <c r="C12" s="30" t="s">
        <v>35</v>
      </c>
      <c r="D12" s="30">
        <v>31448284</v>
      </c>
      <c r="E12" s="30" t="inlineStr">
        <is>
          <t>20231120166</t>
        </is>
      </c>
      <c r="F12" s="9"/>
      <c r="G12" s="9">
        <v>1</v>
      </c>
      <c r="K12" s="9"/>
      <c r="L12" s="9"/>
      <c r="M12" s="9"/>
      <c r="N12" s="9"/>
      <c r="O12" s="9"/>
      <c r="Q12" s="9"/>
      <c r="T12" s="9"/>
      <c r="U12" s="9"/>
      <c r="V12" s="9"/>
      <c r="X12" s="9"/>
      <c r="Y12" s="9"/>
      <c r="Z12" s="9">
        <v>1</v>
      </c>
      <c r="AB12" s="9">
        <v>1</v>
      </c>
    </row>
    <row r="13" spans="1:29" ht="14">
      <c r="A13">
        <v>7</v>
      </c>
      <c r="B13" s="29" t="s">
        <v>37</v>
      </c>
      <c r="C13" s="29" t="s">
        <v>38</v>
      </c>
      <c r="D13" s="29">
        <v>30693530</v>
      </c>
      <c r="E13" s="29" t="inlineStr">
        <is>
          <t>20241110374</t>
        </is>
      </c>
      <c r="F13" s="9"/>
      <c r="G13" s="9"/>
      <c r="K13" s="9"/>
      <c r="L13" s="9"/>
      <c r="M13" s="9"/>
      <c r="N13" s="9"/>
      <c r="O13" s="9"/>
      <c r="Q13" s="9"/>
      <c r="T13" s="9"/>
      <c r="U13" s="9"/>
      <c r="V13" s="9"/>
      <c r="X13" s="9">
        <v>6</v>
      </c>
      <c r="Y13" s="9"/>
      <c r="Z13" s="9"/>
      <c r="AB13" s="9"/>
    </row>
    <row r="14" spans="1:29" ht="14">
      <c r="A14">
        <v>8</v>
      </c>
      <c r="B14" s="30" t="s">
        <v>40</v>
      </c>
      <c r="C14" s="30" t="s">
        <v>41</v>
      </c>
      <c r="D14" s="30">
        <v>28175373</v>
      </c>
      <c r="E14" s="30" t="inlineStr">
        <is>
          <t>20201110335</t>
        </is>
      </c>
      <c r="F14" s="9"/>
      <c r="G14" s="9"/>
      <c r="K14" s="9"/>
      <c r="L14" s="9"/>
      <c r="M14" s="9"/>
      <c r="N14" s="9"/>
      <c r="O14" s="9"/>
      <c r="Q14" s="9"/>
      <c r="T14" s="9"/>
      <c r="U14" s="9"/>
      <c r="V14" s="9"/>
      <c r="X14" s="9"/>
      <c r="Y14" s="9"/>
      <c r="Z14" s="9"/>
      <c r="AB14" s="9"/>
    </row>
    <row r="15" spans="1:29" ht="14">
      <c r="A15">
        <v>9</v>
      </c>
      <c r="B15" s="29" t="s">
        <v>42</v>
      </c>
      <c r="C15" s="29" t="s">
        <v>43</v>
      </c>
      <c r="D15" s="29">
        <v>31792509</v>
      </c>
      <c r="E15" s="29" t="inlineStr">
        <is>
          <t>20251110112</t>
        </is>
      </c>
      <c r="F15" s="9">
        <v>1</v>
      </c>
      <c r="G15" s="9"/>
      <c r="K15" s="9"/>
      <c r="L15" s="9">
        <v>1</v>
      </c>
      <c r="M15" s="9"/>
      <c r="N15" s="9"/>
      <c r="O15" s="9"/>
      <c r="Q15" s="9"/>
      <c r="T15" s="9"/>
      <c r="U15" s="9"/>
      <c r="V15" s="9"/>
      <c r="X15" s="9"/>
      <c r="Y15" s="9"/>
      <c r="Z15" s="9"/>
      <c r="AB15" s="9"/>
    </row>
    <row r="16" spans="1:29" ht="14">
      <c r="A16">
        <v>10</v>
      </c>
      <c r="B16" s="30" t="s">
        <v>31</v>
      </c>
      <c r="C16" s="30" t="s">
        <v>44</v>
      </c>
      <c r="D16" s="30">
        <v>30942903</v>
      </c>
      <c r="E16" s="30" t="inlineStr">
        <is>
          <t>20241120119</t>
        </is>
      </c>
      <c r="F16" s="9"/>
      <c r="G16" s="9"/>
      <c r="K16" s="9"/>
      <c r="L16" s="9"/>
      <c r="M16" s="9"/>
      <c r="N16" s="9"/>
      <c r="O16" s="9"/>
      <c r="Q16" s="9"/>
      <c r="T16" s="9"/>
      <c r="U16" s="9"/>
      <c r="V16" s="9"/>
      <c r="X16" s="9"/>
      <c r="Y16" s="9"/>
      <c r="Z16" s="9"/>
      <c r="AB16" s="9"/>
    </row>
    <row r="17" spans="1:28" ht="14">
      <c r="A17">
        <v>11</v>
      </c>
      <c r="B17" s="29" t="s">
        <v>46</v>
      </c>
      <c r="C17" s="29" t="s">
        <v>47</v>
      </c>
      <c r="D17" s="29">
        <v>31307971</v>
      </c>
      <c r="E17" s="29" t="inlineStr">
        <is>
          <t>20241110377</t>
        </is>
      </c>
      <c r="F17" s="9"/>
      <c r="G17" s="9"/>
      <c r="K17" s="9"/>
      <c r="L17" s="9"/>
      <c r="M17" s="9"/>
      <c r="N17" s="9"/>
      <c r="O17" s="9"/>
      <c r="Q17" s="9"/>
      <c r="T17" s="9"/>
      <c r="U17" s="9"/>
      <c r="V17" s="9"/>
      <c r="X17" s="9"/>
      <c r="Y17" s="9"/>
      <c r="Z17" s="9"/>
      <c r="AB17" s="9"/>
    </row>
    <row r="18" spans="1:28" ht="14">
      <c r="A18">
        <v>12</v>
      </c>
      <c r="B18" s="30" t="s">
        <v>48</v>
      </c>
      <c r="C18" s="30" t="s">
        <v>49</v>
      </c>
      <c r="D18" s="30">
        <v>29948233</v>
      </c>
      <c r="E18" s="30" t="inlineStr">
        <is>
          <t>20241110472</t>
        </is>
      </c>
      <c r="F18" s="9"/>
      <c r="G18" s="9"/>
      <c r="K18" s="9"/>
      <c r="L18" s="9"/>
      <c r="M18" s="9"/>
      <c r="N18" s="9"/>
      <c r="O18" s="9"/>
      <c r="Q18" s="9"/>
      <c r="T18" s="9"/>
      <c r="U18" s="9"/>
      <c r="V18" s="9"/>
      <c r="X18" s="9"/>
      <c r="Y18" s="9"/>
      <c r="Z18" s="9"/>
      <c r="AB18" s="9"/>
    </row>
    <row r="19" spans="1:28" ht="14">
      <c r="A19">
        <v>13</v>
      </c>
      <c r="B19" s="29" t="s">
        <v>52</v>
      </c>
      <c r="C19" s="29" t="s">
        <v>53</v>
      </c>
      <c r="D19" s="29">
        <v>31886469</v>
      </c>
      <c r="E19" s="29" t="inlineStr">
        <is>
          <t>20251110136</t>
        </is>
      </c>
      <c r="F19" s="9"/>
      <c r="G19" s="9"/>
      <c r="K19" s="9"/>
      <c r="L19" s="9"/>
      <c r="M19" s="9"/>
      <c r="N19" s="9"/>
      <c r="O19" s="9"/>
      <c r="Q19" s="9"/>
      <c r="T19" s="9"/>
      <c r="U19" s="9"/>
      <c r="V19" s="9"/>
      <c r="X19" s="9"/>
      <c r="Y19" s="9"/>
      <c r="Z19" s="9"/>
      <c r="AB19" s="9"/>
    </row>
    <row r="20" spans="1:28" ht="14">
      <c r="A20">
        <v>14</v>
      </c>
      <c r="B20" s="30" t="s">
        <v>54</v>
      </c>
      <c r="C20" s="30" t="s">
        <v>55</v>
      </c>
      <c r="D20" s="30">
        <v>26794618</v>
      </c>
      <c r="E20" s="30" t="inlineStr">
        <is>
          <t>20171130051</t>
        </is>
      </c>
      <c r="F20" s="9"/>
      <c r="G20" s="9"/>
      <c r="K20" s="9"/>
      <c r="L20" s="9"/>
      <c r="M20" s="9"/>
      <c r="N20" s="9"/>
      <c r="O20" s="9"/>
      <c r="Q20" s="9"/>
      <c r="T20" s="9"/>
      <c r="U20" s="9"/>
      <c r="V20" s="9"/>
      <c r="X20" s="9"/>
      <c r="Y20" s="9"/>
      <c r="Z20" s="9"/>
      <c r="AB20" s="9"/>
    </row>
    <row r="21" spans="1:28" ht="14">
      <c r="A21">
        <v>15</v>
      </c>
      <c r="B21" s="29" t="s">
        <v>57</v>
      </c>
      <c r="C21" s="29" t="s">
        <v>58</v>
      </c>
      <c r="D21" s="29">
        <v>30245943</v>
      </c>
      <c r="E21" s="29" t="inlineStr">
        <is>
          <t>20231110360</t>
        </is>
      </c>
      <c r="F21" s="9"/>
      <c r="G21" s="9"/>
      <c r="K21" s="9"/>
      <c r="L21" s="9"/>
      <c r="M21" s="9"/>
      <c r="N21" s="9"/>
      <c r="O21" s="9"/>
      <c r="Q21" s="9"/>
      <c r="T21" s="9"/>
      <c r="U21" s="9"/>
      <c r="V21" s="9"/>
      <c r="X21" s="9"/>
      <c r="Y21" s="9"/>
      <c r="Z21" s="9"/>
      <c r="AB21" s="9"/>
    </row>
    <row r="22" spans="1:28">
      <c r="A22">
        <v>16</v>
      </c>
      <c r="B22" s="31" t="s">
        <v>96</v>
      </c>
      <c r="C22" s="31" t="s">
        <v>97</v>
      </c>
      <c r="D22" s="31">
        <v>31985260</v>
      </c>
      <c r="E22" s="31" t="inlineStr">
        <is>
          <t>20251110299</t>
        </is>
      </c>
      <c r="F22" s="33"/>
      <c r="G22" s="33"/>
      <c r="K22" s="9"/>
      <c r="L22" s="9"/>
      <c r="M22" s="9">
        <v>2</v>
      </c>
      <c r="N22" s="9"/>
      <c r="O22" s="9"/>
      <c r="Q22" s="9">
        <v>1</v>
      </c>
      <c r="T22" s="9"/>
      <c r="U22" s="9">
        <v>2</v>
      </c>
      <c r="V22" s="9">
        <v>4</v>
      </c>
      <c r="X22" s="9">
        <v>4</v>
      </c>
      <c r="Y22" s="9">
        <v>5</v>
      </c>
      <c r="Z22" s="9">
        <v>1</v>
      </c>
      <c r="AB22" s="9">
        <v>2</v>
      </c>
    </row>
    <row r="23" spans="1:28" ht="14">
      <c r="A23">
        <v>17</v>
      </c>
      <c r="B23" s="30" t="s">
        <v>60</v>
      </c>
      <c r="C23" s="30" t="s">
        <v>61</v>
      </c>
      <c r="D23" s="30">
        <v>31229787</v>
      </c>
      <c r="E23" s="30" t="inlineStr">
        <is>
          <t>20241110455</t>
        </is>
      </c>
      <c r="F23" s="9"/>
      <c r="G23" s="9">
        <v>1</v>
      </c>
      <c r="K23" s="9">
        <v>1</v>
      </c>
      <c r="L23" s="9"/>
      <c r="M23" s="9"/>
      <c r="N23" s="9">
        <v>3</v>
      </c>
      <c r="O23" s="9"/>
      <c r="Q23" s="9"/>
      <c r="T23" s="9"/>
      <c r="U23" s="9"/>
      <c r="V23" s="9"/>
      <c r="X23" s="9"/>
      <c r="Y23" s="9"/>
      <c r="Z23" s="9"/>
      <c r="AB23" s="9"/>
    </row>
    <row r="24" spans="1:28" ht="14">
      <c r="A24">
        <v>18</v>
      </c>
      <c r="B24" s="29" t="s">
        <v>63</v>
      </c>
      <c r="C24" s="29" t="s">
        <v>64</v>
      </c>
      <c r="D24" s="29">
        <v>30719195</v>
      </c>
      <c r="E24" s="29" t="inlineStr">
        <is>
          <t>20231110418</t>
        </is>
      </c>
      <c r="F24" s="9"/>
      <c r="G24" s="9"/>
      <c r="K24" s="9"/>
      <c r="L24" s="9"/>
      <c r="M24" s="9"/>
      <c r="N24" s="9"/>
      <c r="O24" s="9"/>
      <c r="Q24" s="9"/>
      <c r="T24" s="9"/>
      <c r="U24" s="9"/>
      <c r="V24" s="9"/>
      <c r="X24" s="9"/>
      <c r="Y24" s="9"/>
      <c r="Z24" s="9"/>
      <c r="AB24" s="9"/>
    </row>
    <row r="25" spans="1:28" ht="14">
      <c r="A25">
        <v>19</v>
      </c>
      <c r="B25" s="30" t="s">
        <v>65</v>
      </c>
      <c r="C25" s="30" t="s">
        <v>66</v>
      </c>
      <c r="D25" s="30">
        <v>31785756</v>
      </c>
      <c r="E25" s="30" t="inlineStr">
        <is>
          <t>20241130167</t>
        </is>
      </c>
      <c r="F25" s="9"/>
      <c r="G25" s="9"/>
      <c r="K25" s="9"/>
      <c r="L25" s="9"/>
      <c r="M25" s="9"/>
      <c r="N25" s="9"/>
      <c r="O25" s="9"/>
      <c r="Q25" s="9"/>
      <c r="T25" s="9"/>
      <c r="U25" s="9"/>
      <c r="V25" s="9"/>
      <c r="X25" s="9"/>
      <c r="Y25" s="9"/>
      <c r="Z25" s="9"/>
      <c r="AB25" s="9"/>
    </row>
    <row r="26" spans="1:28" ht="14">
      <c r="A26">
        <v>20</v>
      </c>
      <c r="B26" s="29" t="s">
        <v>68</v>
      </c>
      <c r="C26" s="29" t="s">
        <v>69</v>
      </c>
      <c r="D26" s="29">
        <v>31020400</v>
      </c>
      <c r="E26" s="29" t="inlineStr">
        <is>
          <t>20231130043</t>
        </is>
      </c>
      <c r="F26" s="9"/>
      <c r="G26" s="9"/>
      <c r="K26" s="9"/>
      <c r="L26" s="9"/>
      <c r="M26" s="9"/>
      <c r="N26" s="9"/>
      <c r="O26" s="9"/>
      <c r="Q26" s="9"/>
      <c r="T26" s="9"/>
      <c r="U26" s="9"/>
      <c r="V26" s="9"/>
      <c r="X26" s="9"/>
      <c r="Y26" s="9"/>
      <c r="Z26" s="9"/>
      <c r="AB26" s="9"/>
    </row>
    <row r="27" spans="1:28" ht="14">
      <c r="A27">
        <v>21</v>
      </c>
      <c r="B27" s="30" t="s">
        <v>70</v>
      </c>
      <c r="C27" s="30" t="s">
        <v>71</v>
      </c>
      <c r="D27" s="30">
        <v>29611077</v>
      </c>
      <c r="E27" s="30" t="inlineStr">
        <is>
          <t>20221110015</t>
        </is>
      </c>
      <c r="F27" s="9"/>
      <c r="G27" s="9"/>
      <c r="K27" s="9"/>
      <c r="L27" s="9"/>
      <c r="M27" s="9"/>
      <c r="N27" s="9"/>
      <c r="O27" s="9"/>
      <c r="Q27" s="9"/>
      <c r="T27" s="9"/>
      <c r="U27" s="9"/>
      <c r="V27" s="9"/>
      <c r="X27" s="9"/>
      <c r="Y27" s="9"/>
      <c r="Z27" s="9"/>
      <c r="AB27" s="9"/>
    </row>
    <row r="28" spans="1:28" ht="14">
      <c r="A28">
        <v>22</v>
      </c>
      <c r="B28" s="29" t="s">
        <v>73</v>
      </c>
      <c r="C28" s="29" t="s">
        <v>74</v>
      </c>
      <c r="D28" s="29">
        <v>31587327</v>
      </c>
      <c r="E28" s="29" t="inlineStr">
        <is>
          <t>20241130168</t>
        </is>
      </c>
      <c r="F28" s="9"/>
      <c r="G28" s="9">
        <v>1</v>
      </c>
      <c r="K28" s="9"/>
      <c r="L28" s="9"/>
      <c r="M28" s="9"/>
      <c r="N28" s="9"/>
      <c r="O28" s="9"/>
      <c r="Q28" s="9"/>
      <c r="T28" s="9"/>
      <c r="U28" s="9"/>
      <c r="V28" s="9"/>
      <c r="X28" s="9"/>
      <c r="Y28" s="9"/>
      <c r="Z28" s="9"/>
      <c r="AB28" s="9"/>
    </row>
    <row r="29" spans="1:28" ht="14">
      <c r="A29">
        <v>23</v>
      </c>
      <c r="B29" s="30" t="s">
        <v>75</v>
      </c>
      <c r="C29" s="30" t="s">
        <v>76</v>
      </c>
      <c r="D29" s="30">
        <v>30229939</v>
      </c>
      <c r="E29" s="30" t="inlineStr">
        <is>
          <t>20221120020</t>
        </is>
      </c>
      <c r="F29" s="9"/>
      <c r="G29" s="9"/>
      <c r="K29" s="9"/>
      <c r="L29" s="9"/>
      <c r="M29" s="9">
        <v>4</v>
      </c>
      <c r="N29" s="9"/>
      <c r="O29" s="9"/>
      <c r="Q29" s="9"/>
      <c r="T29" s="9"/>
      <c r="U29" s="9"/>
      <c r="V29" s="9"/>
      <c r="X29" s="9"/>
      <c r="Y29" s="9"/>
      <c r="Z29" s="9"/>
      <c r="AB29" s="9"/>
    </row>
    <row r="30" spans="1:28" ht="14">
      <c r="A30">
        <v>24</v>
      </c>
      <c r="B30" s="29" t="s">
        <v>78</v>
      </c>
      <c r="C30" s="29" t="s">
        <v>79</v>
      </c>
      <c r="D30" s="29">
        <v>27985520</v>
      </c>
      <c r="E30" s="29" t="inlineStr">
        <is>
          <t>20201110250</t>
        </is>
      </c>
      <c r="F30" s="9">
        <v>1</v>
      </c>
      <c r="G30" s="9">
        <v>1</v>
      </c>
      <c r="K30" s="9">
        <v>1</v>
      </c>
      <c r="L30" s="9"/>
      <c r="M30" s="9"/>
      <c r="N30" s="9">
        <v>8</v>
      </c>
      <c r="O30" s="9"/>
      <c r="Q30" s="9"/>
      <c r="T30" s="9">
        <v>1</v>
      </c>
      <c r="U30" s="9">
        <v>2</v>
      </c>
      <c r="V30" s="9">
        <v>4</v>
      </c>
      <c r="X30" s="9"/>
      <c r="Y30" s="9">
        <v>3</v>
      </c>
      <c r="Z30" s="9">
        <v>1</v>
      </c>
      <c r="AB30" s="9">
        <v>1</v>
      </c>
    </row>
    <row r="31" spans="1:28" ht="14">
      <c r="A31">
        <v>25</v>
      </c>
      <c r="B31" s="30" t="s">
        <v>81</v>
      </c>
      <c r="C31" s="30" t="s">
        <v>82</v>
      </c>
      <c r="D31" s="30">
        <v>31623487</v>
      </c>
      <c r="E31" s="30" t="inlineStr">
        <is>
          <t>20231110186</t>
        </is>
      </c>
      <c r="F31" s="9"/>
      <c r="G31" s="9"/>
      <c r="K31" s="9"/>
      <c r="L31" s="9"/>
      <c r="M31" s="9"/>
      <c r="N31" s="9"/>
      <c r="O31" s="9"/>
      <c r="Q31" s="9"/>
      <c r="T31" s="9"/>
      <c r="U31" s="9"/>
      <c r="V31" s="9"/>
      <c r="X31" s="9"/>
      <c r="Y31" s="9"/>
      <c r="Z31" s="9"/>
      <c r="AB31" s="9"/>
    </row>
    <row r="32" spans="1:28" ht="14">
      <c r="A32">
        <v>26</v>
      </c>
      <c r="B32" s="29" t="s">
        <v>83</v>
      </c>
      <c r="C32" s="29" t="s">
        <v>84</v>
      </c>
      <c r="D32" s="29">
        <v>27714324</v>
      </c>
      <c r="E32" s="29" t="inlineStr">
        <is>
          <t>20241130162</t>
        </is>
      </c>
      <c r="F32" s="9">
        <v>2</v>
      </c>
      <c r="G32" s="9">
        <v>1</v>
      </c>
      <c r="K32" s="9"/>
      <c r="L32" s="9"/>
      <c r="M32" s="9"/>
      <c r="N32" s="9">
        <v>3</v>
      </c>
      <c r="O32" s="9"/>
      <c r="Q32" s="9"/>
      <c r="T32" s="9"/>
      <c r="U32" s="9"/>
      <c r="V32" s="9"/>
      <c r="X32" s="9"/>
      <c r="Y32" s="9"/>
      <c r="Z32" s="9"/>
      <c r="AB32" s="9"/>
    </row>
    <row r="33" spans="1:28" ht="14">
      <c r="A33">
        <v>27</v>
      </c>
      <c r="B33" s="30" t="s">
        <v>86</v>
      </c>
      <c r="C33" s="30" t="s">
        <v>87</v>
      </c>
      <c r="D33" s="30">
        <v>32001374</v>
      </c>
      <c r="E33" s="30" t="inlineStr">
        <is>
          <t>20251110189</t>
        </is>
      </c>
      <c r="F33" s="9"/>
      <c r="G33" s="9">
        <v>2</v>
      </c>
      <c r="K33" s="9">
        <v>1</v>
      </c>
      <c r="L33" s="9"/>
      <c r="M33" s="9"/>
      <c r="N33" s="9"/>
      <c r="O33" s="9">
        <v>5</v>
      </c>
      <c r="Q33" s="9">
        <v>1</v>
      </c>
      <c r="T33" s="9">
        <v>1</v>
      </c>
      <c r="U33" s="9"/>
      <c r="V33" s="9">
        <v>4</v>
      </c>
      <c r="X33" s="9"/>
      <c r="Y33" s="9"/>
      <c r="Z33" s="9"/>
      <c r="AB33" s="9"/>
    </row>
    <row r="34" spans="1:28" ht="14">
      <c r="A34">
        <v>28</v>
      </c>
      <c r="B34" s="29" t="s">
        <v>88</v>
      </c>
      <c r="C34" s="29" t="s">
        <v>89</v>
      </c>
      <c r="D34" s="29">
        <v>30394855</v>
      </c>
      <c r="E34" s="29" t="inlineStr">
        <is>
          <t>20241110467</t>
        </is>
      </c>
      <c r="F34" s="9">
        <v>1</v>
      </c>
      <c r="G34" s="9">
        <v>1</v>
      </c>
      <c r="K34" s="9"/>
      <c r="L34" s="9"/>
      <c r="M34" s="9"/>
      <c r="N34" s="9"/>
      <c r="O34" s="9"/>
      <c r="Q34" s="9"/>
      <c r="T34" s="9"/>
      <c r="U34" s="9"/>
      <c r="V34" s="9"/>
      <c r="X34" s="9"/>
      <c r="Y34" s="9"/>
      <c r="Z34" s="9"/>
      <c r="AB34" s="9"/>
    </row>
    <row r="35" spans="1:28" ht="14">
      <c r="A35">
        <v>29</v>
      </c>
      <c r="B35" s="30" t="s">
        <v>91</v>
      </c>
      <c r="C35" s="30" t="s">
        <v>92</v>
      </c>
      <c r="D35" s="30">
        <v>31872806</v>
      </c>
      <c r="E35" s="30" t="inlineStr">
        <is>
          <t>20251110273</t>
        </is>
      </c>
      <c r="F35" s="9">
        <v>1</v>
      </c>
      <c r="G35" s="9"/>
      <c r="K35" s="9"/>
      <c r="L35" s="9"/>
      <c r="M35" s="9"/>
      <c r="N35" s="9"/>
      <c r="O35" s="9"/>
      <c r="Q35" s="9"/>
      <c r="T35" s="9"/>
      <c r="U35" s="9"/>
      <c r="V35" s="9"/>
      <c r="X35" s="9"/>
      <c r="Y35" s="9"/>
      <c r="Z35" s="9"/>
      <c r="AB35" s="9">
        <v>1</v>
      </c>
    </row>
    <row r="36" spans="1:28" ht="14">
      <c r="A36">
        <v>30</v>
      </c>
      <c r="B36" s="29" t="s">
        <v>93</v>
      </c>
      <c r="C36" s="29" t="s">
        <v>94</v>
      </c>
      <c r="D36" s="29">
        <v>31963201</v>
      </c>
      <c r="E36" s="29" t="inlineStr">
        <is>
          <t>20241110508</t>
        </is>
      </c>
      <c r="F36" s="9"/>
      <c r="G36" s="9"/>
      <c r="K36" s="9">
        <v>1</v>
      </c>
      <c r="L36" s="9"/>
      <c r="M36" s="9"/>
      <c r="N36" s="9"/>
      <c r="O36" s="9"/>
      <c r="Q36" s="9">
        <v>1</v>
      </c>
      <c r="T36" s="9"/>
      <c r="U36" s="9"/>
      <c r="V36" s="9"/>
      <c r="X36" s="9"/>
      <c r="Y36" s="9"/>
      <c r="Z36" s="9"/>
      <c r="AB36" s="9"/>
    </row>
    <row r="37" spans="1:28">
      <c r="F37" s="28"/>
      <c r="G37" s="28"/>
    </row>
    <row r="38" spans="1:28">
      <c r="F38" s="28"/>
      <c r="G38" s="28"/>
    </row>
  </sheetData>
  <mergeCells count="17">
    <mergeCell ref="AB5:AC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  <mergeCell ref="A5:A6"/>
    <mergeCell ref="B5:B6"/>
    <mergeCell ref="C5:C6"/>
    <mergeCell ref="D5:D6"/>
    <mergeCell ref="F5:G5"/>
    <mergeCell ref="E5:E6"/>
  </mergeCells>
  <phoneticPr fontId="18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1</v>
      </c>
    </row>
    <row r="3">
      <c r="A3">
        <v>1</v>
      </c>
      <c r="B3">
        <v>2</v>
      </c>
      <c r="C3">
        <v>1</v>
      </c>
    </row>
    <row r="4">
      <c r="A4">
        <v>2</v>
      </c>
      <c r="B4">
        <v>1</v>
      </c>
      <c r="C4">
        <v>2</v>
      </c>
    </row>
    <row r="5">
      <c r="A5">
        <v>2</v>
      </c>
      <c r="B5">
        <v>2</v>
      </c>
      <c r="C5">
        <v>2</v>
      </c>
    </row>
    <row r="6">
      <c r="A6">
        <v>3</v>
      </c>
      <c r="B6">
        <v>1</v>
      </c>
      <c r="C6">
        <v>3</v>
      </c>
    </row>
    <row r="7">
      <c r="A7">
        <v>3</v>
      </c>
      <c r="B7">
        <v>2</v>
      </c>
      <c r="C7">
        <v>4</v>
      </c>
    </row>
    <row r="8">
      <c r="A8">
        <v>4</v>
      </c>
      <c r="B8">
        <v>1</v>
      </c>
      <c r="C8">
        <v>5</v>
      </c>
    </row>
    <row r="9">
      <c r="A9">
        <v>4</v>
      </c>
      <c r="B9">
        <v>2</v>
      </c>
      <c r="C9">
        <v>5</v>
      </c>
    </row>
    <row r="10">
      <c r="A10">
        <v>5</v>
      </c>
      <c r="B10">
        <v>1</v>
      </c>
      <c r="C10">
        <v>6</v>
      </c>
    </row>
    <row r="11">
      <c r="A11">
        <v>5</v>
      </c>
      <c r="B11">
        <v>2</v>
      </c>
      <c r="C11">
        <v>6</v>
      </c>
    </row>
    <row r="12">
      <c r="A12">
        <v>6</v>
      </c>
      <c r="B12">
        <v>1</v>
      </c>
      <c r="C12">
        <v>0</v>
      </c>
      <c r="D12" t="inlineStr">
        <is>
          <t xml:space="preserve">evaluacion</t>
        </is>
      </c>
    </row>
    <row r="13">
      <c r="A13">
        <v>6</v>
      </c>
      <c r="B13">
        <v>2</v>
      </c>
      <c r="C13">
        <v>7</v>
      </c>
    </row>
    <row r="14">
      <c r="A14">
        <v>7</v>
      </c>
      <c r="B14">
        <v>1</v>
      </c>
      <c r="C14">
        <v>8</v>
      </c>
    </row>
    <row r="15">
      <c r="A15">
        <v>7</v>
      </c>
      <c r="B15">
        <v>2</v>
      </c>
      <c r="C15">
        <v>0</v>
      </c>
      <c r="D15" t="inlineStr">
        <is>
          <t xml:space="preserve">evaluacion</t>
        </is>
      </c>
    </row>
    <row r="16">
      <c r="A16">
        <v>8</v>
      </c>
      <c r="B16">
        <v>1</v>
      </c>
      <c r="C16">
        <v>9</v>
      </c>
    </row>
    <row r="17">
      <c r="A17">
        <v>8</v>
      </c>
      <c r="B17">
        <v>2</v>
      </c>
      <c r="C17">
        <v>9</v>
      </c>
    </row>
    <row r="18">
      <c r="A18">
        <v>9</v>
      </c>
      <c r="B18">
        <v>1</v>
      </c>
      <c r="C18">
        <v>10</v>
      </c>
    </row>
    <row r="19">
      <c r="A19">
        <v>9</v>
      </c>
      <c r="B19">
        <v>2</v>
      </c>
      <c r="C19">
        <v>10</v>
      </c>
    </row>
    <row r="20">
      <c r="A20">
        <v>10</v>
      </c>
      <c r="B20">
        <v>1</v>
      </c>
      <c r="C20">
        <v>11</v>
      </c>
    </row>
    <row r="21">
      <c r="A21">
        <v>10</v>
      </c>
      <c r="B21">
        <v>2</v>
      </c>
      <c r="C21">
        <v>11</v>
      </c>
    </row>
    <row r="22">
      <c r="A22">
        <v>11</v>
      </c>
      <c r="B22">
        <v>1</v>
      </c>
      <c r="C22">
        <v>12</v>
      </c>
    </row>
    <row r="23">
      <c r="A23">
        <v>11</v>
      </c>
      <c r="B23">
        <v>2</v>
      </c>
      <c r="C23">
        <v>0</v>
      </c>
      <c r="D23" t="inlineStr">
        <is>
          <t xml:space="preserve">evaluacion</t>
        </is>
      </c>
    </row>
    <row r="24">
      <c r="A24">
        <v>12</v>
      </c>
      <c r="B24">
        <v>1</v>
      </c>
      <c r="C24">
        <v>13</v>
      </c>
    </row>
    <row r="25">
      <c r="A25">
        <v>12</v>
      </c>
      <c r="B25">
        <v>2</v>
      </c>
      <c r="C25">
        <v>0</v>
      </c>
      <c r="D25" t="inlineStr">
        <is>
          <t xml:space="preserve">evaluacion</t>
        </is>
      </c>
    </row>
    <row r="27">
      <c r="A27" t="inlineStr">
        <is>
          <t xml:space="preserve">Nota:</t>
        </is>
      </c>
      <c r="B27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Totales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2026-08-31T05:03:08Z</dcterms:modified>
</cp:coreProperties>
</file>