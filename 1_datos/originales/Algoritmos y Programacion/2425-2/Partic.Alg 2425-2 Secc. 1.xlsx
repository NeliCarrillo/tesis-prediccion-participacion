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worksheets/sheet1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nelsoncarrillo/Downloads/tesis-prediccion-participacion/Datos Tesis Upstream/Algoritmos y Programacion/2425-2/"/>
    </mc:Choice>
  </mc:AlternateContent>
  <xr:revisionPtr revIDLastSave="0" documentId="13_ncr:1_{F28C20C0-33E8-174B-9803-E05BE73E6AC6}" xr6:coauthVersionLast="47" xr6:coauthVersionMax="47" xr10:uidLastSave="{00000000-0000-0000-0000-000000000000}"/>
  <bookViews>
    <workbookView xWindow="0" yWindow="600" windowWidth="28800" windowHeight="15980" activeTab="10" xr2:uid="{00000000-000D-0000-FFFF-FFFF00000000}"/>
  </bookViews>
  <sheets>
    <sheet name="Acum" sheetId="1" r:id="rId1"/>
    <sheet name="Quiz 1" sheetId="2" r:id="rId2"/>
    <sheet name="Parcial 1" sheetId="3" r:id="rId3"/>
    <sheet name="Quiz 2" sheetId="4" r:id="rId4"/>
    <sheet name="Parcial 2" sheetId="5" r:id="rId5"/>
    <sheet name="Proyecto" sheetId="6" r:id="rId6"/>
    <sheet name="Eval. Cont." sheetId="7" r:id="rId7"/>
    <sheet name="Partic" sheetId="8" r:id="rId8"/>
    <sheet name="Tareas" sheetId="9" r:id="rId9"/>
    <sheet name="Xtra" sheetId="10" r:id="rId10"/>
    <sheet name="Estandar" sheetId="11" r:id="rId11"/>
    <sheet name="Cronograma" sheetId="12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4" roundtripDataChecksum="HjhtgkQ6dwPkqQ+TH79DCb7vmZWs/tqBw7O6+WssrwQ="/>
    </ext>
  </extLst>
</workbook>
</file>

<file path=xl/calcChain.xml><?xml version="1.0" encoding="utf-8"?>
<calcChain xmlns="http://schemas.openxmlformats.org/spreadsheetml/2006/main">
  <c r="M53" i="10" l="1"/>
  <c r="N53" i="10" s="1"/>
  <c r="L13" i="1" s="1"/>
  <c r="M52" i="10"/>
  <c r="N52" i="10" s="1"/>
  <c r="N51" i="10"/>
  <c r="M51" i="10"/>
  <c r="N50" i="10"/>
  <c r="M50" i="10"/>
  <c r="M49" i="10"/>
  <c r="N49" i="10" s="1"/>
  <c r="M48" i="10"/>
  <c r="N48" i="10" s="1"/>
  <c r="N47" i="10"/>
  <c r="M47" i="10"/>
  <c r="N46" i="10"/>
  <c r="M46" i="10"/>
  <c r="M45" i="10"/>
  <c r="N45" i="10" s="1"/>
  <c r="M44" i="10"/>
  <c r="N44" i="10" s="1"/>
  <c r="L28" i="1" s="1"/>
  <c r="N43" i="10"/>
  <c r="M43" i="10"/>
  <c r="N42" i="10"/>
  <c r="M42" i="10"/>
  <c r="M41" i="10"/>
  <c r="N41" i="10" s="1"/>
  <c r="M40" i="10"/>
  <c r="N40" i="10" s="1"/>
  <c r="N39" i="10"/>
  <c r="M39" i="10"/>
  <c r="N38" i="10"/>
  <c r="M38" i="10"/>
  <c r="M37" i="10"/>
  <c r="N37" i="10" s="1"/>
  <c r="K36" i="10"/>
  <c r="J36" i="10"/>
  <c r="M36" i="10" s="1"/>
  <c r="N36" i="10" s="1"/>
  <c r="L4" i="1" s="1"/>
  <c r="N35" i="10"/>
  <c r="M35" i="10"/>
  <c r="M34" i="10"/>
  <c r="N34" i="10" s="1"/>
  <c r="M33" i="10"/>
  <c r="N33" i="10" s="1"/>
  <c r="N32" i="10"/>
  <c r="M32" i="10"/>
  <c r="N31" i="10"/>
  <c r="M31" i="10"/>
  <c r="M30" i="10"/>
  <c r="N30" i="10" s="1"/>
  <c r="M29" i="10"/>
  <c r="N29" i="10" s="1"/>
  <c r="N28" i="10"/>
  <c r="M28" i="10"/>
  <c r="N27" i="10"/>
  <c r="M27" i="10"/>
  <c r="M26" i="10"/>
  <c r="N26" i="10" s="1"/>
  <c r="M25" i="10"/>
  <c r="N25" i="10" s="1"/>
  <c r="N24" i="10"/>
  <c r="M24" i="10"/>
  <c r="N23" i="10"/>
  <c r="M23" i="10"/>
  <c r="M22" i="10"/>
  <c r="N22" i="10" s="1"/>
  <c r="L23" i="1" s="1"/>
  <c r="M21" i="10"/>
  <c r="N21" i="10" s="1"/>
  <c r="N20" i="10"/>
  <c r="M20" i="10"/>
  <c r="N19" i="10"/>
  <c r="M19" i="10"/>
  <c r="M18" i="10"/>
  <c r="N18" i="10" s="1"/>
  <c r="M17" i="10"/>
  <c r="N17" i="10" s="1"/>
  <c r="N16" i="10"/>
  <c r="M16" i="10"/>
  <c r="N15" i="10"/>
  <c r="M15" i="10"/>
  <c r="M14" i="10"/>
  <c r="N14" i="10" s="1"/>
  <c r="M13" i="10"/>
  <c r="N13" i="10" s="1"/>
  <c r="N12" i="10"/>
  <c r="M12" i="10"/>
  <c r="N11" i="10"/>
  <c r="M11" i="10"/>
  <c r="K10" i="10"/>
  <c r="J10" i="10"/>
  <c r="M10" i="10" s="1"/>
  <c r="N10" i="10" s="1"/>
  <c r="L19" i="1" s="1"/>
  <c r="N9" i="10"/>
  <c r="M9" i="10"/>
  <c r="N8" i="10"/>
  <c r="M8" i="10"/>
  <c r="M7" i="10"/>
  <c r="N7" i="10" s="1"/>
  <c r="M6" i="10"/>
  <c r="N6" i="10" s="1"/>
  <c r="A3" i="10"/>
  <c r="Q31" i="9"/>
  <c r="Q30" i="9"/>
  <c r="Q29" i="9"/>
  <c r="Q28" i="9"/>
  <c r="Q27" i="9"/>
  <c r="Q26" i="9"/>
  <c r="Q25" i="9"/>
  <c r="Q24" i="9"/>
  <c r="Q23" i="9"/>
  <c r="Q22" i="9"/>
  <c r="Q21" i="9"/>
  <c r="Q20" i="9"/>
  <c r="Q19" i="9"/>
  <c r="Q18" i="9"/>
  <c r="Q17" i="9"/>
  <c r="Q16" i="9"/>
  <c r="Q15" i="9"/>
  <c r="Q14" i="9"/>
  <c r="Q13" i="9"/>
  <c r="Q12" i="9"/>
  <c r="Q11" i="9"/>
  <c r="Q10" i="9"/>
  <c r="Q9" i="9"/>
  <c r="Q8" i="9"/>
  <c r="Q7" i="9"/>
  <c r="Q6" i="9"/>
  <c r="Q5" i="9"/>
  <c r="Q4" i="9"/>
  <c r="Q3" i="9"/>
  <c r="Q2" i="9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T32" i="8" s="1"/>
  <c r="T31" i="8"/>
  <c r="T30" i="8"/>
  <c r="T29" i="8"/>
  <c r="T28" i="8"/>
  <c r="T27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T8" i="8"/>
  <c r="T7" i="8"/>
  <c r="T6" i="8"/>
  <c r="T5" i="8"/>
  <c r="T4" i="8"/>
  <c r="T3" i="8"/>
  <c r="T2" i="8"/>
  <c r="Q31" i="7"/>
  <c r="Q30" i="7"/>
  <c r="Q29" i="7"/>
  <c r="Q28" i="7"/>
  <c r="Q27" i="7"/>
  <c r="Q26" i="7"/>
  <c r="Q25" i="7"/>
  <c r="Q24" i="7"/>
  <c r="Q23" i="7"/>
  <c r="Q22" i="7"/>
  <c r="Q21" i="7"/>
  <c r="Q20" i="7"/>
  <c r="Q19" i="7"/>
  <c r="Q18" i="7"/>
  <c r="Q17" i="7"/>
  <c r="Q16" i="7"/>
  <c r="Q15" i="7"/>
  <c r="Q14" i="7"/>
  <c r="Q13" i="7"/>
  <c r="Q12" i="7"/>
  <c r="Q11" i="7"/>
  <c r="Q10" i="7"/>
  <c r="Q9" i="7"/>
  <c r="Q8" i="7"/>
  <c r="Q7" i="7"/>
  <c r="Q6" i="7"/>
  <c r="Q5" i="7"/>
  <c r="Q4" i="7"/>
  <c r="Q3" i="7"/>
  <c r="Q2" i="7"/>
  <c r="P20" i="6"/>
  <c r="V19" i="6"/>
  <c r="P19" i="6"/>
  <c r="P10" i="6"/>
  <c r="AA3" i="6"/>
  <c r="G21" i="5"/>
  <c r="L30" i="4"/>
  <c r="L29" i="4"/>
  <c r="L28" i="4"/>
  <c r="L27" i="4"/>
  <c r="L25" i="4"/>
  <c r="L24" i="4"/>
  <c r="L23" i="4"/>
  <c r="L21" i="4"/>
  <c r="L19" i="4"/>
  <c r="L18" i="4"/>
  <c r="L17" i="4"/>
  <c r="L16" i="4"/>
  <c r="L15" i="4"/>
  <c r="L14" i="4"/>
  <c r="L13" i="4"/>
  <c r="L11" i="4"/>
  <c r="L10" i="4"/>
  <c r="L9" i="4"/>
  <c r="L6" i="4"/>
  <c r="L5" i="4"/>
  <c r="L4" i="4"/>
  <c r="L3" i="4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H2" i="3"/>
  <c r="P31" i="1"/>
  <c r="O31" i="1"/>
  <c r="L31" i="1"/>
  <c r="K31" i="1"/>
  <c r="J31" i="1"/>
  <c r="I31" i="1"/>
  <c r="H31" i="1"/>
  <c r="G31" i="1"/>
  <c r="F31" i="1"/>
  <c r="P30" i="1"/>
  <c r="O30" i="1"/>
  <c r="L30" i="1"/>
  <c r="K30" i="1"/>
  <c r="J30" i="1"/>
  <c r="H30" i="1"/>
  <c r="F30" i="1"/>
  <c r="P29" i="1"/>
  <c r="O29" i="1"/>
  <c r="L29" i="1"/>
  <c r="K29" i="1"/>
  <c r="J29" i="1"/>
  <c r="I29" i="1"/>
  <c r="H29" i="1"/>
  <c r="G29" i="1"/>
  <c r="F29" i="1"/>
  <c r="P28" i="1"/>
  <c r="O28" i="1"/>
  <c r="K28" i="1"/>
  <c r="J28" i="1"/>
  <c r="I28" i="1"/>
  <c r="H28" i="1"/>
  <c r="G28" i="1"/>
  <c r="F28" i="1"/>
  <c r="P27" i="1"/>
  <c r="O27" i="1"/>
  <c r="L27" i="1"/>
  <c r="K27" i="1"/>
  <c r="J27" i="1"/>
  <c r="I27" i="1"/>
  <c r="H27" i="1"/>
  <c r="G27" i="1"/>
  <c r="F27" i="1"/>
  <c r="Q26" i="1"/>
  <c r="P26" i="1"/>
  <c r="O26" i="1"/>
  <c r="L26" i="1"/>
  <c r="K26" i="1"/>
  <c r="J26" i="1"/>
  <c r="H26" i="1"/>
  <c r="G26" i="1"/>
  <c r="F26" i="1"/>
  <c r="P25" i="1"/>
  <c r="O25" i="1"/>
  <c r="L25" i="1"/>
  <c r="K25" i="1"/>
  <c r="J25" i="1"/>
  <c r="I25" i="1"/>
  <c r="H25" i="1"/>
  <c r="M25" i="1" s="1"/>
  <c r="N25" i="1" s="1"/>
  <c r="G25" i="1"/>
  <c r="F25" i="1"/>
  <c r="P24" i="1"/>
  <c r="O24" i="1"/>
  <c r="L24" i="1"/>
  <c r="K24" i="1"/>
  <c r="J24" i="1"/>
  <c r="I24" i="1"/>
  <c r="H24" i="1"/>
  <c r="G24" i="1"/>
  <c r="F24" i="1"/>
  <c r="P23" i="1"/>
  <c r="O23" i="1"/>
  <c r="K23" i="1"/>
  <c r="J23" i="1"/>
  <c r="I23" i="1"/>
  <c r="H23" i="1"/>
  <c r="M23" i="1" s="1"/>
  <c r="N23" i="1" s="1"/>
  <c r="Q23" i="1" s="1"/>
  <c r="G23" i="1"/>
  <c r="F23" i="1"/>
  <c r="P22" i="1"/>
  <c r="O22" i="1"/>
  <c r="L22" i="1"/>
  <c r="K22" i="1"/>
  <c r="J22" i="1"/>
  <c r="I22" i="1"/>
  <c r="H22" i="1"/>
  <c r="G22" i="1"/>
  <c r="F22" i="1"/>
  <c r="Q21" i="1"/>
  <c r="P21" i="1"/>
  <c r="O21" i="1"/>
  <c r="L21" i="1"/>
  <c r="K21" i="1"/>
  <c r="J21" i="1"/>
  <c r="H21" i="1"/>
  <c r="G21" i="1"/>
  <c r="F21" i="1"/>
  <c r="Q20" i="1"/>
  <c r="P20" i="1"/>
  <c r="O20" i="1"/>
  <c r="L20" i="1"/>
  <c r="K20" i="1"/>
  <c r="J20" i="1"/>
  <c r="H20" i="1"/>
  <c r="G20" i="1"/>
  <c r="F20" i="1"/>
  <c r="P19" i="1"/>
  <c r="O19" i="1"/>
  <c r="K19" i="1"/>
  <c r="J19" i="1"/>
  <c r="I19" i="1"/>
  <c r="H19" i="1"/>
  <c r="G19" i="1"/>
  <c r="F19" i="1"/>
  <c r="P18" i="1"/>
  <c r="O18" i="1"/>
  <c r="L18" i="1"/>
  <c r="K18" i="1"/>
  <c r="J18" i="1"/>
  <c r="H18" i="1"/>
  <c r="G18" i="1"/>
  <c r="F18" i="1"/>
  <c r="Q17" i="1"/>
  <c r="P17" i="1"/>
  <c r="O17" i="1"/>
  <c r="L17" i="1"/>
  <c r="K17" i="1"/>
  <c r="J17" i="1"/>
  <c r="I17" i="1"/>
  <c r="H17" i="1"/>
  <c r="M17" i="1" s="1"/>
  <c r="N17" i="1" s="1"/>
  <c r="F17" i="1"/>
  <c r="P16" i="1"/>
  <c r="O16" i="1"/>
  <c r="L16" i="1"/>
  <c r="K16" i="1"/>
  <c r="J16" i="1"/>
  <c r="I16" i="1"/>
  <c r="H16" i="1"/>
  <c r="G16" i="1"/>
  <c r="F16" i="1"/>
  <c r="P15" i="1"/>
  <c r="O15" i="1"/>
  <c r="L15" i="1"/>
  <c r="K15" i="1"/>
  <c r="J15" i="1"/>
  <c r="I15" i="1"/>
  <c r="H15" i="1"/>
  <c r="G15" i="1"/>
  <c r="F15" i="1"/>
  <c r="P14" i="1"/>
  <c r="O14" i="1"/>
  <c r="L14" i="1"/>
  <c r="K14" i="1"/>
  <c r="J14" i="1"/>
  <c r="I14" i="1"/>
  <c r="H14" i="1"/>
  <c r="G14" i="1"/>
  <c r="F14" i="1"/>
  <c r="P13" i="1"/>
  <c r="O13" i="1"/>
  <c r="K13" i="1"/>
  <c r="J13" i="1"/>
  <c r="I13" i="1"/>
  <c r="H13" i="1"/>
  <c r="G13" i="1"/>
  <c r="F13" i="1"/>
  <c r="P12" i="1"/>
  <c r="O12" i="1"/>
  <c r="L12" i="1"/>
  <c r="K12" i="1"/>
  <c r="J12" i="1"/>
  <c r="I12" i="1"/>
  <c r="H12" i="1"/>
  <c r="G12" i="1"/>
  <c r="F12" i="1"/>
  <c r="P11" i="1"/>
  <c r="O11" i="1"/>
  <c r="L11" i="1"/>
  <c r="K11" i="1"/>
  <c r="J11" i="1"/>
  <c r="H11" i="1"/>
  <c r="G11" i="1"/>
  <c r="F11" i="1"/>
  <c r="P10" i="1"/>
  <c r="O10" i="1"/>
  <c r="L10" i="1"/>
  <c r="K10" i="1"/>
  <c r="J10" i="1"/>
  <c r="I10" i="1"/>
  <c r="H10" i="1"/>
  <c r="G10" i="1"/>
  <c r="F10" i="1"/>
  <c r="P9" i="1"/>
  <c r="O9" i="1"/>
  <c r="L9" i="1"/>
  <c r="K9" i="1"/>
  <c r="J9" i="1"/>
  <c r="I9" i="1"/>
  <c r="H9" i="1"/>
  <c r="G9" i="1"/>
  <c r="F9" i="1"/>
  <c r="P8" i="1"/>
  <c r="O8" i="1"/>
  <c r="L8" i="1"/>
  <c r="K8" i="1"/>
  <c r="J8" i="1"/>
  <c r="I8" i="1"/>
  <c r="H8" i="1"/>
  <c r="G8" i="1"/>
  <c r="F8" i="1"/>
  <c r="Q7" i="1"/>
  <c r="P7" i="1"/>
  <c r="O7" i="1"/>
  <c r="L7" i="1"/>
  <c r="K7" i="1"/>
  <c r="J7" i="1"/>
  <c r="H7" i="1"/>
  <c r="G7" i="1"/>
  <c r="F7" i="1"/>
  <c r="Q6" i="1"/>
  <c r="P6" i="1"/>
  <c r="O6" i="1"/>
  <c r="L6" i="1"/>
  <c r="K6" i="1"/>
  <c r="J6" i="1"/>
  <c r="H6" i="1"/>
  <c r="M6" i="1" s="1"/>
  <c r="N6" i="1" s="1"/>
  <c r="G6" i="1"/>
  <c r="F6" i="1"/>
  <c r="P5" i="1"/>
  <c r="O5" i="1"/>
  <c r="L5" i="1"/>
  <c r="K5" i="1"/>
  <c r="J5" i="1"/>
  <c r="I5" i="1"/>
  <c r="H5" i="1"/>
  <c r="M5" i="1" s="1"/>
  <c r="N5" i="1" s="1"/>
  <c r="Q5" i="1" s="1"/>
  <c r="G5" i="1"/>
  <c r="F5" i="1"/>
  <c r="P4" i="1"/>
  <c r="O4" i="1"/>
  <c r="K4" i="1"/>
  <c r="J4" i="1"/>
  <c r="I4" i="1"/>
  <c r="H4" i="1"/>
  <c r="M4" i="1" s="1"/>
  <c r="N4" i="1" s="1"/>
  <c r="Q4" i="1" s="1"/>
  <c r="G4" i="1"/>
  <c r="F4" i="1"/>
  <c r="P3" i="1"/>
  <c r="O3" i="1"/>
  <c r="L3" i="1"/>
  <c r="K3" i="1"/>
  <c r="J3" i="1"/>
  <c r="I3" i="1"/>
  <c r="H3" i="1"/>
  <c r="M3" i="1" s="1"/>
  <c r="N3" i="1" s="1"/>
  <c r="Q3" i="1" s="1"/>
  <c r="G3" i="1"/>
  <c r="F3" i="1"/>
  <c r="P2" i="1"/>
  <c r="O2" i="1"/>
  <c r="L2" i="1"/>
  <c r="K2" i="1"/>
  <c r="J2" i="1"/>
  <c r="I2" i="1"/>
  <c r="H2" i="1"/>
  <c r="M2" i="1" s="1"/>
  <c r="N2" i="1" s="1"/>
  <c r="Q2" i="1" s="1"/>
  <c r="G2" i="1"/>
  <c r="F2" i="1"/>
  <c r="M30" i="1" l="1"/>
  <c r="N30" i="1" s="1"/>
  <c r="Q30" i="1" s="1"/>
  <c r="M28" i="1"/>
  <c r="N28" i="1" s="1"/>
  <c r="Q28" i="1" s="1"/>
  <c r="M29" i="1"/>
  <c r="N29" i="1" s="1"/>
  <c r="Q29" i="1" s="1"/>
  <c r="M31" i="1"/>
  <c r="N31" i="1" s="1"/>
  <c r="Q31" i="1" s="1"/>
  <c r="M8" i="1"/>
  <c r="N8" i="1" s="1"/>
  <c r="Q8" i="1" s="1"/>
  <c r="M14" i="1"/>
  <c r="N14" i="1" s="1"/>
  <c r="Q14" i="1" s="1"/>
  <c r="M15" i="1"/>
  <c r="N15" i="1" s="1"/>
  <c r="Q15" i="1" s="1"/>
  <c r="M7" i="1"/>
  <c r="N7" i="1" s="1"/>
  <c r="M16" i="1"/>
  <c r="N16" i="1" s="1"/>
  <c r="Q16" i="1" s="1"/>
  <c r="M27" i="1"/>
  <c r="N27" i="1" s="1"/>
  <c r="Q27" i="1" s="1"/>
  <c r="M18" i="1"/>
  <c r="N18" i="1" s="1"/>
  <c r="Q18" i="1" s="1"/>
  <c r="M19" i="1"/>
  <c r="N19" i="1" s="1"/>
  <c r="Q19" i="1" s="1"/>
  <c r="M20" i="1"/>
  <c r="N20" i="1" s="1"/>
  <c r="M26" i="1"/>
  <c r="N26" i="1" s="1"/>
  <c r="M12" i="1"/>
  <c r="N12" i="1" s="1"/>
  <c r="Q12" i="1" s="1"/>
  <c r="M13" i="1"/>
  <c r="N13" i="1" s="1"/>
  <c r="Q13" i="1" s="1"/>
  <c r="M24" i="1"/>
  <c r="N24" i="1" s="1"/>
  <c r="Q24" i="1" s="1"/>
  <c r="M9" i="1"/>
  <c r="N9" i="1" s="1"/>
  <c r="Q9" i="1" s="1"/>
  <c r="M10" i="1"/>
  <c r="N10" i="1" s="1"/>
  <c r="Q10" i="1" s="1"/>
  <c r="M11" i="1"/>
  <c r="N11" i="1" s="1"/>
  <c r="Q11" i="1" s="1"/>
  <c r="M21" i="1"/>
  <c r="N21" i="1" s="1"/>
  <c r="M22" i="1"/>
  <c r="N22" i="1" s="1"/>
  <c r="Q2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30" authorId="0" shapeId="0" xr:uid="{00000000-0006-0000-0200-000001000000}">
      <text>
        <r>
          <rPr>
            <sz val="11"/>
            <color rgb="FF000000"/>
            <rFont val="Calibri"/>
            <family val="2"/>
            <scheme val="minor"/>
          </rPr>
          <t>Recuperación Sem 12
======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700-00001B000000}">
      <text>
        <r>
          <rPr>
            <sz val="11"/>
            <color rgb="FF000000"/>
            <rFont val="Calibri"/>
            <family val="2"/>
            <scheme val="minor"/>
          </rPr>
          <t>======
ID#AAABbtTgSso
Fernando Javier Torre Mora    (2025-01-27 16:05:20)
Faltó contar intervenciones</t>
        </r>
      </text>
    </comment>
    <comment ref="L1" authorId="0" shapeId="0" xr:uid="{00000000-0006-0000-0700-000001000000}">
      <text>
        <r>
          <rPr>
            <sz val="11"/>
            <color rgb="FF000000"/>
            <rFont val="Calibri"/>
            <family val="2"/>
            <scheme val="minor"/>
          </rPr>
          <t>partic. alta
======</t>
        </r>
      </text>
    </comment>
    <comment ref="F4" authorId="0" shapeId="0" xr:uid="{00000000-0006-0000-0700-00001C000000}">
      <text>
        <r>
          <rPr>
            <sz val="11"/>
            <color rgb="FF000000"/>
            <rFont val="Calibri"/>
            <family val="2"/>
            <scheme val="minor"/>
          </rPr>
          <t>======
ID#AAABbmVhGZw
Fernando Torre    (2025-01-13 20:58:36)
Tarea</t>
        </r>
      </text>
    </comment>
    <comment ref="M4" authorId="0" shapeId="0" xr:uid="{00000000-0006-0000-0700-000002000000}">
      <text>
        <r>
          <rPr>
            <sz val="11"/>
            <color rgb="FF000000"/>
            <rFont val="Calibri"/>
            <family val="2"/>
            <scheme val="minor"/>
          </rPr>
          <t>Tarea
======</t>
        </r>
      </text>
    </comment>
    <comment ref="P4" authorId="0" shapeId="0" xr:uid="{00000000-0006-0000-0700-000003000000}">
      <text>
        <r>
          <rPr>
            <sz val="11"/>
            <color rgb="FF000000"/>
            <rFont val="Calibri"/>
            <family val="2"/>
            <scheme val="minor"/>
          </rPr>
          <t>Tarea
======</t>
        </r>
      </text>
    </comment>
    <comment ref="E5" authorId="0" shapeId="0" xr:uid="{00000000-0006-0000-0700-000023000000}">
      <text>
        <r>
          <rPr>
            <sz val="11"/>
            <color rgb="FF000000"/>
            <rFont val="Calibri"/>
            <family val="2"/>
            <scheme val="minor"/>
          </rPr>
          <t>======
ID#AAABbmVhGZY
Fernando Torre    (2025-01-13 20:58:36)
Tarea</t>
        </r>
      </text>
    </comment>
    <comment ref="F6" authorId="0" shapeId="0" xr:uid="{00000000-0006-0000-0700-000020000000}">
      <text>
        <r>
          <rPr>
            <sz val="11"/>
            <color rgb="FF000000"/>
            <rFont val="Calibri"/>
            <family val="2"/>
            <scheme val="minor"/>
          </rPr>
          <t>======
ID#AAABbmVhGZc
Fernando Torre    (2025-01-13 20:58:36)
Tarea</t>
        </r>
      </text>
    </comment>
    <comment ref="E9" authorId="0" shapeId="0" xr:uid="{00000000-0006-0000-0700-00001E000000}">
      <text>
        <r>
          <rPr>
            <sz val="11"/>
            <color rgb="FF000000"/>
            <rFont val="Calibri"/>
            <family val="2"/>
            <scheme val="minor"/>
          </rPr>
          <t>======
ID#AAABbmVhGZ0
Fernando Torre    (2025-01-13 20:58:36)
Tarea</t>
        </r>
      </text>
    </comment>
    <comment ref="H10" authorId="0" shapeId="0" xr:uid="{00000000-0006-0000-0700-000004000000}">
      <text>
        <r>
          <rPr>
            <sz val="11"/>
            <color rgb="FF000000"/>
            <rFont val="Calibri"/>
            <family val="2"/>
            <scheme val="minor"/>
          </rPr>
          <t>Tarea
======</t>
        </r>
      </text>
    </comment>
    <comment ref="J10" authorId="0" shapeId="0" xr:uid="{00000000-0006-0000-0700-000005000000}">
      <text>
        <r>
          <rPr>
            <sz val="11"/>
            <color rgb="FF000000"/>
            <rFont val="Calibri"/>
            <family val="2"/>
            <scheme val="minor"/>
          </rPr>
          <t>Tarea
======</t>
        </r>
      </text>
    </comment>
    <comment ref="P10" authorId="0" shapeId="0" xr:uid="{00000000-0006-0000-0700-000006000000}">
      <text>
        <r>
          <rPr>
            <sz val="11"/>
            <color rgb="FF000000"/>
            <rFont val="Calibri"/>
            <family val="2"/>
            <scheme val="minor"/>
          </rPr>
          <t>Tarea
======</t>
        </r>
      </text>
    </comment>
    <comment ref="H11" authorId="0" shapeId="0" xr:uid="{00000000-0006-0000-0700-000007000000}">
      <text>
        <r>
          <rPr>
            <sz val="11"/>
            <color rgb="FF000000"/>
            <rFont val="Calibri"/>
            <family val="2"/>
            <scheme val="minor"/>
          </rPr>
          <t>Tarea
======</t>
        </r>
      </text>
    </comment>
    <comment ref="M11" authorId="0" shapeId="0" xr:uid="{00000000-0006-0000-0700-000008000000}">
      <text>
        <r>
          <rPr>
            <sz val="11"/>
            <color rgb="FF000000"/>
            <rFont val="Calibri"/>
            <family val="2"/>
            <scheme val="minor"/>
          </rPr>
          <t>Dinámica
======</t>
        </r>
      </text>
    </comment>
    <comment ref="F12" authorId="0" shapeId="0" xr:uid="{00000000-0006-0000-0700-000021000000}">
      <text>
        <r>
          <rPr>
            <sz val="11"/>
            <color rgb="FF000000"/>
            <rFont val="Calibri"/>
            <family val="2"/>
            <scheme val="minor"/>
          </rPr>
          <t>======
ID#AAABbmVhGZo
Fernando Torre    (2025-01-13 20:58:36)
Tarea 1/2</t>
        </r>
      </text>
    </comment>
    <comment ref="E15" authorId="0" shapeId="0" xr:uid="{00000000-0006-0000-0700-00001F000000}">
      <text>
        <r>
          <rPr>
            <sz val="11"/>
            <color rgb="FF000000"/>
            <rFont val="Calibri"/>
            <family val="2"/>
            <scheme val="minor"/>
          </rPr>
          <t>======
ID#AAABbmVhGZg
Fernando Torre    (2025-01-13 20:58:36)
Tarea</t>
        </r>
      </text>
    </comment>
    <comment ref="F15" authorId="0" shapeId="0" xr:uid="{00000000-0006-0000-0700-00001D000000}">
      <text>
        <r>
          <rPr>
            <sz val="11"/>
            <color rgb="FF000000"/>
            <rFont val="Calibri"/>
            <family val="2"/>
            <scheme val="minor"/>
          </rPr>
          <t>======
ID#AAABbmVhGZs
Fernando Torre    (2025-01-13 20:58:36)
Tarea</t>
        </r>
      </text>
    </comment>
    <comment ref="G15" authorId="0" shapeId="0" xr:uid="{00000000-0006-0000-0700-000009000000}">
      <text>
        <r>
          <rPr>
            <sz val="11"/>
            <color rgb="FF000000"/>
            <rFont val="Calibri"/>
            <family val="2"/>
            <scheme val="minor"/>
          </rPr>
          <t>Tarea
======</t>
        </r>
      </text>
    </comment>
    <comment ref="J16" authorId="0" shapeId="0" xr:uid="{00000000-0006-0000-0700-00000A000000}">
      <text>
        <r>
          <rPr>
            <sz val="11"/>
            <color rgb="FF000000"/>
            <rFont val="Calibri"/>
            <family val="2"/>
            <scheme val="minor"/>
          </rPr>
          <t>Tarea
======</t>
        </r>
      </text>
    </comment>
    <comment ref="N16" authorId="0" shapeId="0" xr:uid="{00000000-0006-0000-0700-00000B000000}">
      <text>
        <r>
          <rPr>
            <sz val="11"/>
            <color rgb="FF000000"/>
            <rFont val="Calibri"/>
            <family val="2"/>
            <scheme val="minor"/>
          </rPr>
          <t>Tarea
======</t>
        </r>
      </text>
    </comment>
    <comment ref="H19" authorId="0" shapeId="0" xr:uid="{00000000-0006-0000-0700-00000C000000}">
      <text>
        <r>
          <rPr>
            <sz val="11"/>
            <color rgb="FF000000"/>
            <rFont val="Calibri"/>
            <family val="2"/>
            <scheme val="minor"/>
          </rPr>
          <t>Tarea
======</t>
        </r>
      </text>
    </comment>
    <comment ref="I19" authorId="0" shapeId="0" xr:uid="{00000000-0006-0000-0700-00000D000000}">
      <text>
        <r>
          <rPr>
            <sz val="11"/>
            <color rgb="FF000000"/>
            <rFont val="Calibri"/>
            <family val="2"/>
            <scheme val="minor"/>
          </rPr>
          <t>Tarea
(GALLETA PENDIENTE)
======</t>
        </r>
      </text>
    </comment>
    <comment ref="M19" authorId="0" shapeId="0" xr:uid="{00000000-0006-0000-0700-00000E000000}">
      <text>
        <r>
          <rPr>
            <sz val="11"/>
            <color rgb="FF000000"/>
            <rFont val="Calibri"/>
            <family val="2"/>
            <scheme val="minor"/>
          </rPr>
          <t>Tarea y Dinámica
======</t>
        </r>
      </text>
    </comment>
    <comment ref="O19" authorId="0" shapeId="0" xr:uid="{00000000-0006-0000-0700-00000F000000}">
      <text>
        <r>
          <rPr>
            <sz val="11"/>
            <color rgb="FF000000"/>
            <rFont val="Calibri"/>
            <family val="2"/>
            <scheme val="minor"/>
          </rPr>
          <t>Tarea
======</t>
        </r>
      </text>
    </comment>
    <comment ref="F21" authorId="0" shapeId="0" xr:uid="{00000000-0006-0000-0700-000024000000}">
      <text>
        <r>
          <rPr>
            <sz val="11"/>
            <color rgb="FF000000"/>
            <rFont val="Calibri"/>
            <family val="2"/>
            <scheme val="minor"/>
          </rPr>
          <t>======
ID#AAABbmVhGZU
Fernando Torre    (2025-01-13 20:58:36)
Tarea</t>
        </r>
      </text>
    </comment>
    <comment ref="M23" authorId="0" shapeId="0" xr:uid="{00000000-0006-0000-0700-000010000000}">
      <text>
        <r>
          <rPr>
            <sz val="11"/>
            <color rgb="FF000000"/>
            <rFont val="Calibri"/>
            <family val="2"/>
            <scheme val="minor"/>
          </rPr>
          <t>Tarea
======</t>
        </r>
      </text>
    </comment>
    <comment ref="N23" authorId="0" shapeId="0" xr:uid="{00000000-0006-0000-0700-000011000000}">
      <text>
        <r>
          <rPr>
            <sz val="11"/>
            <color rgb="FF000000"/>
            <rFont val="Calibri"/>
            <family val="2"/>
            <scheme val="minor"/>
          </rPr>
          <t>Tarea
======</t>
        </r>
      </text>
    </comment>
    <comment ref="O23" authorId="0" shapeId="0" xr:uid="{00000000-0006-0000-0700-000012000000}">
      <text>
        <r>
          <rPr>
            <sz val="11"/>
            <color rgb="FF000000"/>
            <rFont val="Calibri"/>
            <family val="2"/>
            <scheme val="minor"/>
          </rPr>
          <t>Tarea
======</t>
        </r>
      </text>
    </comment>
    <comment ref="G24" authorId="0" shapeId="0" xr:uid="{00000000-0006-0000-0700-000013000000}">
      <text>
        <r>
          <rPr>
            <sz val="11"/>
            <color rgb="FF000000"/>
            <rFont val="Calibri"/>
            <family val="2"/>
            <scheme val="minor"/>
          </rPr>
          <t>Tarea
======</t>
        </r>
      </text>
    </comment>
    <comment ref="G28" authorId="0" shapeId="0" xr:uid="{00000000-0006-0000-0700-000014000000}">
      <text>
        <r>
          <rPr>
            <sz val="11"/>
            <color rgb="FF000000"/>
            <rFont val="Calibri"/>
            <family val="2"/>
            <scheme val="minor"/>
          </rPr>
          <t>Tarea
======</t>
        </r>
      </text>
    </comment>
    <comment ref="E29" authorId="0" shapeId="0" xr:uid="{00000000-0006-0000-0700-000022000000}">
      <text>
        <r>
          <rPr>
            <sz val="11"/>
            <color rgb="FF000000"/>
            <rFont val="Calibri"/>
            <family val="2"/>
            <scheme val="minor"/>
          </rPr>
          <t>======
ID#AAABbmVhGZk
Fernando Torre    (2025-01-13 20:58:36)
Tarea</t>
        </r>
      </text>
    </comment>
    <comment ref="F29" authorId="0" shapeId="0" xr:uid="{00000000-0006-0000-0700-000025000000}">
      <text>
        <r>
          <rPr>
            <sz val="11"/>
            <color rgb="FF000000"/>
            <rFont val="Calibri"/>
            <family val="2"/>
            <scheme val="minor"/>
          </rPr>
          <t>======
ID#AAABbmVhGZQ
Fernando Torre    (2025-01-13 20:58:36)
Tarea</t>
        </r>
      </text>
    </comment>
    <comment ref="G29" authorId="0" shapeId="0" xr:uid="{00000000-0006-0000-0700-000015000000}">
      <text>
        <r>
          <rPr>
            <sz val="11"/>
            <color rgb="FF000000"/>
            <rFont val="Calibri"/>
            <family val="2"/>
            <scheme val="minor"/>
          </rPr>
          <t>Tarea
======</t>
        </r>
      </text>
    </comment>
    <comment ref="I29" authorId="0" shapeId="0" xr:uid="{00000000-0006-0000-0700-000016000000}">
      <text>
        <r>
          <rPr>
            <sz val="11"/>
            <color rgb="FF000000"/>
            <rFont val="Calibri"/>
            <family val="2"/>
            <scheme val="minor"/>
          </rPr>
          <t>Tarea
(GALLETA PENDIENTE)
======</t>
        </r>
      </text>
    </comment>
    <comment ref="N29" authorId="0" shapeId="0" xr:uid="{00000000-0006-0000-0700-000017000000}">
      <text>
        <r>
          <rPr>
            <sz val="11"/>
            <color rgb="FF000000"/>
            <rFont val="Calibri"/>
            <family val="2"/>
            <scheme val="minor"/>
          </rPr>
          <t>Dinámica
======</t>
        </r>
      </text>
    </comment>
    <comment ref="G31" authorId="0" shapeId="0" xr:uid="{00000000-0006-0000-0700-000018000000}">
      <text>
        <r>
          <rPr>
            <sz val="11"/>
            <color rgb="FF000000"/>
            <rFont val="Calibri"/>
            <family val="2"/>
            <scheme val="minor"/>
          </rPr>
          <t>Tarea
======</t>
        </r>
      </text>
    </comment>
    <comment ref="H31" authorId="0" shapeId="0" xr:uid="{00000000-0006-0000-0700-000019000000}">
      <text>
        <r>
          <rPr>
            <sz val="11"/>
            <color rgb="FF000000"/>
            <rFont val="Calibri"/>
            <family val="2"/>
            <scheme val="minor"/>
          </rPr>
          <t>Tarea
======</t>
        </r>
      </text>
    </comment>
    <comment ref="I31" authorId="0" shapeId="0" xr:uid="{00000000-0006-0000-0700-00001A000000}">
      <text>
        <r>
          <rPr>
            <sz val="11"/>
            <color rgb="FF000000"/>
            <rFont val="Calibri"/>
            <family val="2"/>
            <scheme val="minor"/>
          </rPr>
          <t>Tarea
(GALLETA PENDIENTE)
======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8bPaHpQGghCa0ippmnP3foYRIzw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9" authorId="0" shapeId="0" xr:uid="{994E8CB0-49CB-3545-87B6-2362AAFCA677}">
      <text>
        <r>
          <rPr>
            <sz val="11"/>
            <color rgb="FF000000"/>
            <rFont val="Calibri"/>
            <family val="2"/>
            <scheme val="minor"/>
          </rPr>
          <t>======
ID#AAABbmVhGZw
Fernando Torre    (2025-01-13 20:58:36)
Tarea</t>
        </r>
      </text>
    </comment>
    <comment ref="Q9" authorId="0" shapeId="0" xr:uid="{62B7A32A-8C0D-304B-B21A-85FC14FE7167}">
      <text>
        <r>
          <rPr>
            <sz val="11"/>
            <color rgb="FF000000"/>
            <rFont val="Calibri"/>
            <family val="2"/>
            <scheme val="minor"/>
          </rPr>
          <t>Tarea
======</t>
        </r>
      </text>
    </comment>
    <comment ref="T9" authorId="0" shapeId="0" xr:uid="{6548CB0E-96B2-6948-8788-20433F669065}">
      <text>
        <r>
          <rPr>
            <sz val="11"/>
            <color rgb="FF000000"/>
            <rFont val="Calibri"/>
            <family val="2"/>
            <scheme val="minor"/>
          </rPr>
          <t>Tarea
======</t>
        </r>
      </text>
    </comment>
    <comment ref="H11" authorId="0" shapeId="0" xr:uid="{0468BF06-317B-3746-AEA4-F90B0E05FC8E}">
      <text>
        <r>
          <rPr>
            <sz val="11"/>
            <color rgb="FF000000"/>
            <rFont val="Calibri"/>
            <family val="2"/>
            <scheme val="minor"/>
          </rPr>
          <t>======
ID#AAABbmVhGZc
Fernando Torre    (2025-01-13 20:58:36)
Tarea</t>
        </r>
      </text>
    </comment>
    <comment ref="J15" authorId="0" shapeId="0" xr:uid="{A25B3EAB-6DF5-5E4C-B61E-94E268A78F85}">
      <text>
        <r>
          <rPr>
            <sz val="11"/>
            <color rgb="FF000000"/>
            <rFont val="Calibri"/>
            <family val="2"/>
            <scheme val="minor"/>
          </rPr>
          <t>Tarea
======</t>
        </r>
      </text>
    </comment>
    <comment ref="L15" authorId="0" shapeId="0" xr:uid="{9D76DEF9-E673-4D4E-B25E-CFB77F55766D}">
      <text>
        <r>
          <rPr>
            <sz val="11"/>
            <color rgb="FF000000"/>
            <rFont val="Calibri"/>
            <family val="2"/>
            <scheme val="minor"/>
          </rPr>
          <t>Tarea
======</t>
        </r>
      </text>
    </comment>
    <comment ref="T15" authorId="0" shapeId="0" xr:uid="{71E32D29-685E-5945-BBF3-1FA464FDE009}">
      <text>
        <r>
          <rPr>
            <sz val="11"/>
            <color rgb="FF000000"/>
            <rFont val="Calibri"/>
            <family val="2"/>
            <scheme val="minor"/>
          </rPr>
          <t>Tarea
======</t>
        </r>
      </text>
    </comment>
    <comment ref="J16" authorId="0" shapeId="0" xr:uid="{BF91A6AB-E26F-884D-8C2F-235117C30B59}">
      <text>
        <r>
          <rPr>
            <sz val="11"/>
            <color rgb="FF000000"/>
            <rFont val="Calibri"/>
            <family val="2"/>
            <scheme val="minor"/>
          </rPr>
          <t>Tarea
======</t>
        </r>
      </text>
    </comment>
    <comment ref="Q16" authorId="0" shapeId="0" xr:uid="{9FAC2580-2975-4E45-B18C-1E5E7F8ABB53}">
      <text>
        <r>
          <rPr>
            <sz val="11"/>
            <color rgb="FF000000"/>
            <rFont val="Calibri"/>
            <family val="2"/>
            <scheme val="minor"/>
          </rPr>
          <t>Dinámica
======</t>
        </r>
      </text>
    </comment>
    <comment ref="H17" authorId="0" shapeId="0" xr:uid="{2D7A3FD8-AE8B-7D43-B03F-C94FD0FD7518}">
      <text>
        <r>
          <rPr>
            <sz val="11"/>
            <color rgb="FF000000"/>
            <rFont val="Calibri"/>
            <family val="2"/>
          </rPr>
          <t xml:space="preserve">======
</t>
        </r>
        <r>
          <rPr>
            <sz val="11"/>
            <color rgb="FF000000"/>
            <rFont val="Calibri"/>
            <family val="2"/>
          </rPr>
          <t xml:space="preserve">ID#AAABbmVhGZo
</t>
        </r>
        <r>
          <rPr>
            <sz val="11"/>
            <color rgb="FF000000"/>
            <rFont val="Calibri"/>
            <family val="2"/>
          </rPr>
          <t xml:space="preserve">Fernando Torre    (2025-01-13 20:58:36)
</t>
        </r>
        <r>
          <rPr>
            <sz val="11"/>
            <color rgb="FF000000"/>
            <rFont val="Calibri"/>
            <family val="2"/>
          </rPr>
          <t>Tarea 1/2</t>
        </r>
      </text>
    </comment>
    <comment ref="H20" authorId="0" shapeId="0" xr:uid="{CC76BF2A-E6A1-9745-801E-C4656E9ABF9C}">
      <text>
        <r>
          <rPr>
            <sz val="11"/>
            <color rgb="FF000000"/>
            <rFont val="Calibri"/>
            <family val="2"/>
            <scheme val="minor"/>
          </rPr>
          <t>======
ID#AAABbmVhGZs
Fernando Torre    (2025-01-13 20:58:36)
Tarea</t>
        </r>
      </text>
    </comment>
    <comment ref="I20" authorId="0" shapeId="0" xr:uid="{AC1290A2-09DB-4B4B-96AE-2D8300577FD3}">
      <text>
        <r>
          <rPr>
            <sz val="11"/>
            <color rgb="FF000000"/>
            <rFont val="Calibri"/>
            <family val="2"/>
            <scheme val="minor"/>
          </rPr>
          <t>Tarea
======</t>
        </r>
      </text>
    </comment>
    <comment ref="L21" authorId="0" shapeId="0" xr:uid="{FE5D04D3-30C8-5248-A9F8-01F10D91DC19}">
      <text>
        <r>
          <rPr>
            <sz val="11"/>
            <color rgb="FF000000"/>
            <rFont val="Calibri"/>
            <family val="2"/>
            <scheme val="minor"/>
          </rPr>
          <t>Tarea
======</t>
        </r>
      </text>
    </comment>
    <comment ref="R21" authorId="0" shapeId="0" xr:uid="{9AB704A9-0D4A-DD43-B2C5-FC6814A6E63F}">
      <text>
        <r>
          <rPr>
            <sz val="11"/>
            <color rgb="FF000000"/>
            <rFont val="Calibri"/>
            <family val="2"/>
            <scheme val="minor"/>
          </rPr>
          <t>Tarea
======</t>
        </r>
      </text>
    </comment>
    <comment ref="J24" authorId="0" shapeId="0" xr:uid="{4EA10B4B-2772-7041-BE80-0D81EC79DD4D}">
      <text>
        <r>
          <rPr>
            <sz val="11"/>
            <color rgb="FF000000"/>
            <rFont val="Calibri"/>
            <family val="2"/>
            <scheme val="minor"/>
          </rPr>
          <t>Tarea
======</t>
        </r>
      </text>
    </comment>
    <comment ref="K24" authorId="0" shapeId="0" xr:uid="{9188C0EA-B879-5A4D-B6EA-E1DC7B6D0155}">
      <text>
        <r>
          <rPr>
            <sz val="11"/>
            <color rgb="FF000000"/>
            <rFont val="Calibri"/>
            <family val="2"/>
            <scheme val="minor"/>
          </rPr>
          <t>Tarea
(GALLETA PENDIENTE)
======</t>
        </r>
      </text>
    </comment>
    <comment ref="Q24" authorId="0" shapeId="0" xr:uid="{204D0ECE-1FAB-D343-B51E-F6A1C37895AE}">
      <text>
        <r>
          <rPr>
            <sz val="11"/>
            <color rgb="FF000000"/>
            <rFont val="Calibri"/>
            <family val="2"/>
            <scheme val="minor"/>
          </rPr>
          <t>Tarea y Dinámica
======</t>
        </r>
      </text>
    </comment>
    <comment ref="S24" authorId="0" shapeId="0" xr:uid="{363A62D1-EB87-5C40-9A77-0E9E7B83AED7}">
      <text>
        <r>
          <rPr>
            <sz val="11"/>
            <color rgb="FF000000"/>
            <rFont val="Calibri"/>
            <family val="2"/>
            <scheme val="minor"/>
          </rPr>
          <t>Tarea
======</t>
        </r>
      </text>
    </comment>
    <comment ref="H26" authorId="0" shapeId="0" xr:uid="{A05E896E-AEB5-6449-A9A0-5CD4E823C28B}">
      <text>
        <r>
          <rPr>
            <sz val="11"/>
            <color rgb="FF000000"/>
            <rFont val="Calibri"/>
            <family val="2"/>
            <scheme val="minor"/>
          </rPr>
          <t>======
ID#AAABbmVhGZU
Fernando Torre    (2025-01-13 20:58:36)
Tarea</t>
        </r>
      </text>
    </comment>
    <comment ref="Q28" authorId="0" shapeId="0" xr:uid="{AD378E21-BA7A-6141-A939-1386B810BBF0}">
      <text>
        <r>
          <rPr>
            <sz val="11"/>
            <color rgb="FF000000"/>
            <rFont val="Calibri"/>
            <family val="2"/>
            <scheme val="minor"/>
          </rPr>
          <t>Tarea
======</t>
        </r>
      </text>
    </comment>
    <comment ref="R28" authorId="0" shapeId="0" xr:uid="{5D6DB1A7-E969-AD49-950F-8706A5CE779E}">
      <text>
        <r>
          <rPr>
            <sz val="11"/>
            <color rgb="FF000000"/>
            <rFont val="Calibri"/>
            <family val="2"/>
            <scheme val="minor"/>
          </rPr>
          <t>Tarea
======</t>
        </r>
      </text>
    </comment>
    <comment ref="S28" authorId="0" shapeId="0" xr:uid="{C95B9813-A03A-174F-B026-14C5755DDDB0}">
      <text>
        <r>
          <rPr>
            <sz val="11"/>
            <color rgb="FF000000"/>
            <rFont val="Calibri"/>
            <family val="2"/>
            <scheme val="minor"/>
          </rPr>
          <t>Tarea
======</t>
        </r>
      </text>
    </comment>
    <comment ref="I29" authorId="0" shapeId="0" xr:uid="{069DC1D5-A2EF-D043-9197-68F1DBA36891}">
      <text>
        <r>
          <rPr>
            <sz val="11"/>
            <color rgb="FF000000"/>
            <rFont val="Calibri"/>
            <family val="2"/>
            <scheme val="minor"/>
          </rPr>
          <t>Tarea
======</t>
        </r>
      </text>
    </comment>
    <comment ref="I33" authorId="0" shapeId="0" xr:uid="{A290E633-4242-FF45-B601-5B400A42C14F}">
      <text>
        <r>
          <rPr>
            <sz val="11"/>
            <color rgb="FF000000"/>
            <rFont val="Calibri"/>
            <family val="2"/>
            <scheme val="minor"/>
          </rPr>
          <t>Tarea
======</t>
        </r>
      </text>
    </comment>
    <comment ref="H34" authorId="0" shapeId="0" xr:uid="{AA80A1BA-195C-2149-A5CF-2003FEAE0BD0}">
      <text>
        <r>
          <rPr>
            <sz val="11"/>
            <color rgb="FF000000"/>
            <rFont val="Calibri"/>
            <family val="2"/>
            <scheme val="minor"/>
          </rPr>
          <t>======
ID#AAABbmVhGZQ
Fernando Torre    (2025-01-13 20:58:36)
Tarea</t>
        </r>
      </text>
    </comment>
    <comment ref="I34" authorId="0" shapeId="0" xr:uid="{4DB83B3C-CD28-D349-A796-AFC0781C7DC1}">
      <text>
        <r>
          <rPr>
            <sz val="11"/>
            <color rgb="FF000000"/>
            <rFont val="Calibri"/>
            <family val="2"/>
            <scheme val="minor"/>
          </rPr>
          <t>Tarea
======</t>
        </r>
      </text>
    </comment>
    <comment ref="K34" authorId="0" shapeId="0" xr:uid="{EB636BF7-F8C5-364E-8DFF-CE8441657C32}">
      <text>
        <r>
          <rPr>
            <sz val="11"/>
            <color rgb="FF000000"/>
            <rFont val="Calibri"/>
            <family val="2"/>
            <scheme val="minor"/>
          </rPr>
          <t>Tarea
(GALLETA PENDIENTE)
======</t>
        </r>
      </text>
    </comment>
    <comment ref="R34" authorId="0" shapeId="0" xr:uid="{028FEE78-C371-6647-AEBC-E2C54F102C5B}">
      <text>
        <r>
          <rPr>
            <sz val="11"/>
            <color rgb="FF000000"/>
            <rFont val="Calibri"/>
            <family val="2"/>
            <scheme val="minor"/>
          </rPr>
          <t>Dinámica
======</t>
        </r>
      </text>
    </comment>
    <comment ref="I36" authorId="0" shapeId="0" xr:uid="{54E4D6B4-C125-A747-8C66-48345C6F928D}">
      <text>
        <r>
          <rPr>
            <sz val="11"/>
            <color rgb="FF000000"/>
            <rFont val="Calibri"/>
            <family val="2"/>
            <scheme val="minor"/>
          </rPr>
          <t>Tarea
======</t>
        </r>
      </text>
    </comment>
    <comment ref="J36" authorId="0" shapeId="0" xr:uid="{B7E2D48F-7052-7248-ABB2-9C21566265B7}">
      <text>
        <r>
          <rPr>
            <sz val="11"/>
            <color rgb="FF000000"/>
            <rFont val="Calibri"/>
            <family val="2"/>
            <scheme val="minor"/>
          </rPr>
          <t>Tarea
======</t>
        </r>
      </text>
    </comment>
    <comment ref="K36" authorId="0" shapeId="0" xr:uid="{F96959EB-8E3E-FE44-8A18-D7DCED7104C4}">
      <text>
        <r>
          <rPr>
            <sz val="11"/>
            <color rgb="FF000000"/>
            <rFont val="Calibri"/>
            <family val="2"/>
            <scheme val="minor"/>
          </rPr>
          <t>Tarea
(GALLETA PENDIENTE)
======</t>
        </r>
      </text>
    </comment>
  </commentList>
</comments>
</file>

<file path=xl/sharedStrings.xml><?xml version="1.0" encoding="utf-8"?>
<sst xmlns="http://schemas.openxmlformats.org/spreadsheetml/2006/main" count="979" uniqueCount="532">
  <si>
    <t>CEDULA</t>
  </si>
  <si>
    <t>APELLIDO</t>
  </si>
  <si>
    <t>NOMBRE</t>
  </si>
  <si>
    <t>Correo Unimet</t>
  </si>
  <si>
    <t>Estatus</t>
  </si>
  <si>
    <t>Eval Cont</t>
  </si>
  <si>
    <t>Quiz 1</t>
  </si>
  <si>
    <t>Parcial 1</t>
  </si>
  <si>
    <t>Quiz 2</t>
  </si>
  <si>
    <t>Proyecto</t>
  </si>
  <si>
    <t>Parcial 2</t>
  </si>
  <si>
    <t>XTRA</t>
  </si>
  <si>
    <t>Total</t>
  </si>
  <si>
    <t>Escala 20</t>
  </si>
  <si>
    <t>Partic</t>
  </si>
  <si>
    <t>Tareas</t>
  </si>
  <si>
    <t>Def</t>
  </si>
  <si>
    <t>30612256</t>
  </si>
  <si>
    <t>Alcantarini</t>
  </si>
  <si>
    <t>Marco</t>
  </si>
  <si>
    <t>marco.alcantarini@correo.unimet.edu.ve.</t>
  </si>
  <si>
    <t>31985209</t>
  </si>
  <si>
    <t>Aponte</t>
  </si>
  <si>
    <t>Pedro</t>
  </si>
  <si>
    <t>pedro.aponte@correo.unimet.edu.ve.</t>
  </si>
  <si>
    <t>27670956</t>
  </si>
  <si>
    <t>Araque</t>
  </si>
  <si>
    <t>Maria</t>
  </si>
  <si>
    <t>maria.araque@correo.unimet.edu.ve.</t>
  </si>
  <si>
    <t>32241977</t>
  </si>
  <si>
    <t>Bezara</t>
  </si>
  <si>
    <t>Cesar</t>
  </si>
  <si>
    <t>cbezara@correo.unimet.edu.ve.</t>
  </si>
  <si>
    <t>30888238</t>
  </si>
  <si>
    <t>Briceño</t>
  </si>
  <si>
    <t>Ignacio</t>
  </si>
  <si>
    <t>ignacio.briceno@correo.unimet.edu.ve.</t>
  </si>
  <si>
    <t>Retirado</t>
  </si>
  <si>
    <t>30539028</t>
  </si>
  <si>
    <t>El Chaer</t>
  </si>
  <si>
    <t>José</t>
  </si>
  <si>
    <t>jelchaer@correo.unimet.edu.ve.</t>
  </si>
  <si>
    <t>31423864</t>
  </si>
  <si>
    <t>García</t>
  </si>
  <si>
    <t>Rocco</t>
  </si>
  <si>
    <t>rocco.garcia@correo.unimet.edu.ve.</t>
  </si>
  <si>
    <t>31979046</t>
  </si>
  <si>
    <t>Gonzalez</t>
  </si>
  <si>
    <t>Salomon</t>
  </si>
  <si>
    <t>salo-gonzalez@correo.unimet.edu.ve.</t>
  </si>
  <si>
    <t>32042714</t>
  </si>
  <si>
    <t>González</t>
  </si>
  <si>
    <t>Manuel</t>
  </si>
  <si>
    <t>go.manuel@correo.unimet.edu.ve.</t>
  </si>
  <si>
    <t>31696701</t>
  </si>
  <si>
    <t>Guillén</t>
  </si>
  <si>
    <t>Sebastián</t>
  </si>
  <si>
    <t>s.guillen@correo.unimet.edu.ve.</t>
  </si>
  <si>
    <t>31935772</t>
  </si>
  <si>
    <t>Guzzo</t>
  </si>
  <si>
    <t>Antonio</t>
  </si>
  <si>
    <t>antonio.guzzo@correo.unimet.edu.ve.</t>
  </si>
  <si>
    <t>31886469</t>
  </si>
  <si>
    <t>Hernández</t>
  </si>
  <si>
    <t>Victoria</t>
  </si>
  <si>
    <t>h.victoria@correo.unimet.edu.ve.</t>
  </si>
  <si>
    <t>32121959</t>
  </si>
  <si>
    <t>Jaspe</t>
  </si>
  <si>
    <t>Gabriel</t>
  </si>
  <si>
    <t>g.jaspe@correo.unimet.edu.ve.</t>
  </si>
  <si>
    <t>32235827</t>
  </si>
  <si>
    <t>Lahrssen</t>
  </si>
  <si>
    <t>Thomas</t>
  </si>
  <si>
    <t>thomas.lahrssen@correo.unimet.edu.ve.</t>
  </si>
  <si>
    <t>31873119</t>
  </si>
  <si>
    <t>Mosquera</t>
  </si>
  <si>
    <t>Isabella</t>
  </si>
  <si>
    <t>isabella.mosquera@correo.unimet.edu.ve.</t>
  </si>
  <si>
    <t>27007813</t>
  </si>
  <si>
    <t>Ortega</t>
  </si>
  <si>
    <t>Carlos</t>
  </si>
  <si>
    <t>carlos.ortega@correo.unimet.edu.ve.</t>
  </si>
  <si>
    <t>31460623</t>
  </si>
  <si>
    <t>Ostos</t>
  </si>
  <si>
    <t>Samuel</t>
  </si>
  <si>
    <t>samuel.ostos@correo.unimet.edu.ve.</t>
  </si>
  <si>
    <t>33186550</t>
  </si>
  <si>
    <t>Pacheco</t>
  </si>
  <si>
    <t>Daniela</t>
  </si>
  <si>
    <t>danipacheco@correo.unimet.edu.ve.</t>
  </si>
  <si>
    <t>33219652</t>
  </si>
  <si>
    <t>Pedroza</t>
  </si>
  <si>
    <t>Gustavo</t>
  </si>
  <si>
    <t>gustavo.pedroza@correo.unimet.edu.ve.</t>
  </si>
  <si>
    <t>31935917</t>
  </si>
  <si>
    <t>Poleo</t>
  </si>
  <si>
    <t>Raul</t>
  </si>
  <si>
    <t>raul.poleo@correo.unimet.edu.ve.</t>
  </si>
  <si>
    <t>31745168</t>
  </si>
  <si>
    <t>Prieto</t>
  </si>
  <si>
    <t>Andrés</t>
  </si>
  <si>
    <t>andres.prieto@correo.unimet.edu.ve.</t>
  </si>
  <si>
    <t>32511604</t>
  </si>
  <si>
    <t>Pérez</t>
  </si>
  <si>
    <t>Henmary</t>
  </si>
  <si>
    <t>henmary.perez@correo.unimet.edu.ve.</t>
  </si>
  <si>
    <t>31701229</t>
  </si>
  <si>
    <t>Quintero</t>
  </si>
  <si>
    <t>Santiago</t>
  </si>
  <si>
    <t>quintero.santiago@correo.unimet.edu.ve.</t>
  </si>
  <si>
    <t>30538673</t>
  </si>
  <si>
    <t>Rienzo</t>
  </si>
  <si>
    <t>Fabiana</t>
  </si>
  <si>
    <t>frienzo@correo.unimet.edu.ve.</t>
  </si>
  <si>
    <t>32001850</t>
  </si>
  <si>
    <t>Rodrigues</t>
  </si>
  <si>
    <t>Sergio</t>
  </si>
  <si>
    <t>rodrigues.sergio@correo.unimet.edu.ve.</t>
  </si>
  <si>
    <t>31873242</t>
  </si>
  <si>
    <t>Tamma</t>
  </si>
  <si>
    <t>Anna</t>
  </si>
  <si>
    <t>a.tamma@correo.unimet.edu.ve.</t>
  </si>
  <si>
    <t>30849483</t>
  </si>
  <si>
    <t>Valdez</t>
  </si>
  <si>
    <t>Paola</t>
  </si>
  <si>
    <t>pvaldez@correo.unimet.edu.ve.</t>
  </si>
  <si>
    <t>31382931</t>
  </si>
  <si>
    <t>Velásquez</t>
  </si>
  <si>
    <t>Luis</t>
  </si>
  <si>
    <t>velasquez.luis@correo.unimet.edu.ve.</t>
  </si>
  <si>
    <t>32336250</t>
  </si>
  <si>
    <t>Villarroel</t>
  </si>
  <si>
    <t>Abdallah</t>
  </si>
  <si>
    <t>abdallah.villarroel@correo.unimet.edu.ve.</t>
  </si>
  <si>
    <t>32001498</t>
  </si>
  <si>
    <t>Zambrano</t>
  </si>
  <si>
    <t>s.zambrano@correo.unimet.edu.ve.</t>
  </si>
  <si>
    <t>P1 (4.00)</t>
  </si>
  <si>
    <t>P2 (9.00)</t>
  </si>
  <si>
    <t>P3(3.00)</t>
  </si>
  <si>
    <t>P4(4.00)</t>
  </si>
  <si>
    <t>BONO (3.00)</t>
  </si>
  <si>
    <t>TOTAL (23.00)</t>
  </si>
  <si>
    <t>Funcionamiento</t>
  </si>
  <si>
    <t>Fun+Mtx+Fact</t>
  </si>
  <si>
    <t>Marco Alcantarini</t>
  </si>
  <si>
    <t>Pedro Aponte</t>
  </si>
  <si>
    <t>Maria Araque</t>
  </si>
  <si>
    <t>Cesar Bezara</t>
  </si>
  <si>
    <t>Ignacio Briceño</t>
  </si>
  <si>
    <t>Jose El Chaer</t>
  </si>
  <si>
    <t>Rocco Garcia</t>
  </si>
  <si>
    <t>Salomon Gonzalez</t>
  </si>
  <si>
    <t>Manuel Gonzalez</t>
  </si>
  <si>
    <t>Sebastian Guillen</t>
  </si>
  <si>
    <t>Antonio Guzzo</t>
  </si>
  <si>
    <t>Victoria Hernandez</t>
  </si>
  <si>
    <t>Gabriel Jaspe</t>
  </si>
  <si>
    <t>Thomas Lahrssen</t>
  </si>
  <si>
    <t>Isabella Mosquera</t>
  </si>
  <si>
    <t>Carlos Ortega</t>
  </si>
  <si>
    <t>Samuel Ostos</t>
  </si>
  <si>
    <t>Daniela Pacheco</t>
  </si>
  <si>
    <t>Henmary Perez</t>
  </si>
  <si>
    <t>Raul Poleo</t>
  </si>
  <si>
    <t>Andres Prieto</t>
  </si>
  <si>
    <t>Santiago Quintero</t>
  </si>
  <si>
    <t>Fabiana Rienzo</t>
  </si>
  <si>
    <t>Sergio Rodrigues</t>
  </si>
  <si>
    <t>Anna Tamma</t>
  </si>
  <si>
    <t>Paola Valdez</t>
  </si>
  <si>
    <t>Luis Velasquez</t>
  </si>
  <si>
    <t>Abdallah Villarroel</t>
  </si>
  <si>
    <t>Santiago Zambrano</t>
  </si>
  <si>
    <t>V/F</t>
  </si>
  <si>
    <t>Selec</t>
  </si>
  <si>
    <t>Complet</t>
  </si>
  <si>
    <t>Desarrollo</t>
  </si>
  <si>
    <t>Raul David</t>
  </si>
  <si>
    <t>Anna Paola</t>
  </si>
  <si>
    <t>Maria Emilia</t>
  </si>
  <si>
    <t>César</t>
  </si>
  <si>
    <t xml:space="preserve"> Bezara</t>
  </si>
  <si>
    <t>Ejercicio (20.00)</t>
  </si>
  <si>
    <t>Clases (6)</t>
  </si>
  <si>
    <t>Carga de info (4)</t>
  </si>
  <si>
    <t>Carrito (3)</t>
  </si>
  <si>
    <t>Ver (2)</t>
  </si>
  <si>
    <t>Usuario (1)</t>
  </si>
  <si>
    <t>Menú (1)</t>
  </si>
  <si>
    <t>Robustez (1)</t>
  </si>
  <si>
    <t>Est (2)</t>
  </si>
  <si>
    <t>Est 1 (1.5)</t>
  </si>
  <si>
    <t>Registro (1.5)</t>
  </si>
  <si>
    <t>Gustavo Pedroza</t>
  </si>
  <si>
    <t>Anna Tamm</t>
  </si>
  <si>
    <t>Cédula</t>
  </si>
  <si>
    <t>Nombre</t>
  </si>
  <si>
    <t>E.Error</t>
  </si>
  <si>
    <t>Andrés Prieto</t>
  </si>
  <si>
    <t>Manuel González</t>
  </si>
  <si>
    <t>César Bezara</t>
  </si>
  <si>
    <t>Maria Emilia Araque</t>
  </si>
  <si>
    <t>Luis Velásquez</t>
  </si>
  <si>
    <t>Henmary Pérez</t>
  </si>
  <si>
    <t>Sebastian Guillén</t>
  </si>
  <si>
    <t>Defensa</t>
  </si>
  <si>
    <t>Módulo 1: reactivos</t>
  </si>
  <si>
    <t>Módulo 2: experimentos</t>
  </si>
  <si>
    <t>Módulo 3: resultados</t>
  </si>
  <si>
    <t>Módulo 4: Estadísticas</t>
  </si>
  <si>
    <t>Uso API</t>
  </si>
  <si>
    <t>Archivos</t>
  </si>
  <si>
    <t>Apellido</t>
  </si>
  <si>
    <t>Ord.
 Entrega</t>
  </si>
  <si>
    <t>Ord.
 Defensa</t>
  </si>
  <si>
    <t>Expo-sicion</t>
  </si>
  <si>
    <t>Pregunta Prof</t>
  </si>
  <si>
    <t>Preg. de público</t>
  </si>
  <si>
    <t>Preg. a Compañero</t>
  </si>
  <si>
    <t>Diagra-ma</t>
  </si>
  <si>
    <t>Reagent Code</t>
  </si>
  <si>
    <t>Reagent Exec</t>
  </si>
  <si>
    <t>Reagent Bonus</t>
  </si>
  <si>
    <t>Exprmt. Code</t>
  </si>
  <si>
    <t>Exprmt. Exec</t>
  </si>
  <si>
    <t>Exprmt. Bonus</t>
  </si>
  <si>
    <t>Result Code</t>
  </si>
  <si>
    <t>Result Exec</t>
  </si>
  <si>
    <t>Result Bonus</t>
  </si>
  <si>
    <t>Stat Code</t>
  </si>
  <si>
    <t>Stat Exec</t>
  </si>
  <si>
    <t>Stat Bonus</t>
  </si>
  <si>
    <t>API Code</t>
  </si>
  <si>
    <t>API exec</t>
  </si>
  <si>
    <t>File Mgmt</t>
  </si>
  <si>
    <t>File struc</t>
  </si>
  <si>
    <t>0/1</t>
  </si>
  <si>
    <t>1.5/0.5</t>
  </si>
  <si>
    <t>0.5/1</t>
  </si>
  <si>
    <t>0.50/1</t>
  </si>
  <si>
    <t>0/2</t>
  </si>
  <si>
    <t>1.9/2</t>
  </si>
  <si>
    <t>3.0/0.5</t>
  </si>
  <si>
    <t>2.0/0.5</t>
  </si>
  <si>
    <t>1.0/1</t>
  </si>
  <si>
    <t>0.0/1</t>
  </si>
  <si>
    <t>0.5/2</t>
  </si>
  <si>
    <t>0.25/2</t>
  </si>
  <si>
    <t>0.5/0.5</t>
  </si>
  <si>
    <t>0.00/1</t>
  </si>
  <si>
    <t>Correo unimet</t>
  </si>
  <si>
    <t>Quiz 1 de EvaluaciÃ³n Continua - IntroducciÃ³n (52110139)</t>
  </si>
  <si>
    <t>Quiz 2 de EvaluaciÃ³n Continua - Operaciones (52110120)</t>
  </si>
  <si>
    <t>Quiz 3 de EvaluaciÃ³n Continua - Condicionales (52110140)</t>
  </si>
  <si>
    <t>Quiz 4 de EvaluaciÃ³n continua - Bucles (52110129)</t>
  </si>
  <si>
    <t>Quiz 5 de EvaluaciÃ³n continua - Listas (52110132)</t>
  </si>
  <si>
    <t>Quiz 6 de EvaluaciÃ³n Continua - diccionarios (52110122)</t>
  </si>
  <si>
    <t>Quiz 7 de EvaluaciÃ³n Continua - Funciones (52110136)</t>
  </si>
  <si>
    <t>Quiz 8 de EvaluaciÃ³n Continua - ProgramaciÃ³n Orientada a Objetos (52110123)</t>
  </si>
  <si>
    <t>Quiz 9 de EvaluaciÃ³n Continua - Herencia (52110124)</t>
  </si>
  <si>
    <t>Quiz 10 de EvaluaciÃ³n Continua - Diagrama de Clases (52110128)</t>
  </si>
  <si>
    <t>Quiz 11 de EvaluaciÃ³n Continua - APIs y Archivos (52110138)</t>
  </si>
  <si>
    <t>Quiz 13 de EvaluaciÃ³n ContÃ­nua - Recursividad (52110127)</t>
  </si>
  <si>
    <t>Quiz 14 de EvaluaciÃ³n ContÃ­nua - Ordenamiento (52110126)</t>
  </si>
  <si>
    <t>Quiz 15 de EvaluaciÃ³n ContÃ­nua - Complejidad (52110133)</t>
  </si>
  <si>
    <t>Acum</t>
  </si>
  <si>
    <t>marco.alcantarini@correo.unimet.edu.ve</t>
  </si>
  <si>
    <t>Alcantarini. Marco</t>
  </si>
  <si>
    <t>pedro.aponte@correo.unimet.edu.ve</t>
  </si>
  <si>
    <t>Aponte. Pedro</t>
  </si>
  <si>
    <t>maria.araque@correo.unimet.edu.ve</t>
  </si>
  <si>
    <t>Araque. Maria</t>
  </si>
  <si>
    <t>cbezara@correo.unimet.edu.ve</t>
  </si>
  <si>
    <t>Bezara. Cesar</t>
  </si>
  <si>
    <t>ignacio.briceno@correo.unimet.edu.ve</t>
  </si>
  <si>
    <t>BriceÃ±o. Ignacio</t>
  </si>
  <si>
    <t>jelchaer@correo.unimet.edu.ve</t>
  </si>
  <si>
    <t>Chaer. JosÃ© El</t>
  </si>
  <si>
    <t>rocco.garcia@correo.unimet.edu.ve</t>
  </si>
  <si>
    <t>GarcÃ­a. Rocco</t>
  </si>
  <si>
    <t>go.manuel@correo.unimet.edu.ve</t>
  </si>
  <si>
    <t>GonzÃ¡lez. Manuel</t>
  </si>
  <si>
    <t>salo-gonzalez@correo.unimet.edu.ve</t>
  </si>
  <si>
    <t>Gonzalez. Salomon</t>
  </si>
  <si>
    <t>s.guillen@correo.unimet.edu.ve</t>
  </si>
  <si>
    <t>GuillÃ©n. SebastiÃ¡n</t>
  </si>
  <si>
    <t>antonio.guzzo@correo.unimet.edu.ve</t>
  </si>
  <si>
    <t>Guzzo. Antonio</t>
  </si>
  <si>
    <t>h.victoria@correo.unimet.edu.ve</t>
  </si>
  <si>
    <t>HerÃ¡ndez. Victoria</t>
  </si>
  <si>
    <t>carlos.ortega@correo.unimet.edu.ve</t>
  </si>
  <si>
    <t>Iannacci. Carlos Daniel Ortega</t>
  </si>
  <si>
    <t>g.jaspe@correo.unimet.edu.ve</t>
  </si>
  <si>
    <t>Jaspe. Gabriel</t>
  </si>
  <si>
    <t>thomas.lahrssen@correo.unimet.edu.ve</t>
  </si>
  <si>
    <t>Lahrssen. Thomas</t>
  </si>
  <si>
    <t>isabella.mosquera@correo.unimet.edu.ve</t>
  </si>
  <si>
    <t>Mosquera. Isabella</t>
  </si>
  <si>
    <t>samuel.ostos@correo.unimet.edu.ve</t>
  </si>
  <si>
    <t>Ostos. Samuel</t>
  </si>
  <si>
    <t>danipacheco@correo.unimet.edu.ve</t>
  </si>
  <si>
    <t>Pacheco. Daniela</t>
  </si>
  <si>
    <t>gustavo.pedroza@correo.unimet.edu.ve</t>
  </si>
  <si>
    <t>Pedroza. Gustavo</t>
  </si>
  <si>
    <t>henmary.perez@correo.unimet.edu.ve</t>
  </si>
  <si>
    <t>PÃ©rez. Henmary</t>
  </si>
  <si>
    <t>raul.poleo@correo.unimet.edu.ve</t>
  </si>
  <si>
    <t>Poleo. Raul</t>
  </si>
  <si>
    <t>andres.prieto@correo.unimet.edu.ve</t>
  </si>
  <si>
    <t>Prieto. AndrÃ©s</t>
  </si>
  <si>
    <t>quintero.santiago@correo.unimet.edu.ve</t>
  </si>
  <si>
    <t>Quintero. Santiago</t>
  </si>
  <si>
    <t>frienzo@correo.unimet.edu.ve</t>
  </si>
  <si>
    <t>Rienzo. Fabiana</t>
  </si>
  <si>
    <t>rodrigues.sergio@correo.unimet.edu.ve</t>
  </si>
  <si>
    <t>Rodrigues. Sergio</t>
  </si>
  <si>
    <t>a.tamma@correo.unimet.edu.ve</t>
  </si>
  <si>
    <t>Tamm. Anna</t>
  </si>
  <si>
    <t>pvaldez@correo.unimet.edu.ve</t>
  </si>
  <si>
    <t>Valdez. Paola</t>
  </si>
  <si>
    <t>velasquez.luis@correo.unimet.edu.ve</t>
  </si>
  <si>
    <t>VelÃ¡squez. Luis</t>
  </si>
  <si>
    <t>abdallah.villarroel@correo.unimet.edu.ve</t>
  </si>
  <si>
    <t>Villarroel. Abdallah</t>
  </si>
  <si>
    <t>s.zambrano@correo.unimet.edu.ve</t>
  </si>
  <si>
    <t>Zambrano. Santiago</t>
  </si>
  <si>
    <t>CI</t>
  </si>
  <si>
    <t>Nombre de Pila</t>
  </si>
  <si>
    <t>Nombre y apellido</t>
  </si>
  <si>
    <t>Jan-06</t>
  </si>
  <si>
    <t>08-Jan</t>
  </si>
  <si>
    <t>13-Jan</t>
  </si>
  <si>
    <t>TOTAL</t>
  </si>
  <si>
    <t>Marco Antonio</t>
  </si>
  <si>
    <t>Pedro Manuel</t>
  </si>
  <si>
    <t>Cesar Miguel</t>
  </si>
  <si>
    <t>Ignacio Javier</t>
  </si>
  <si>
    <t>José Ángel</t>
  </si>
  <si>
    <t>José El Chaer</t>
  </si>
  <si>
    <t>Rocco García</t>
  </si>
  <si>
    <t>Salomon Jose</t>
  </si>
  <si>
    <t>Manuel Ignacio</t>
  </si>
  <si>
    <t>Sebastián José</t>
  </si>
  <si>
    <t>Sebastián Guillén</t>
  </si>
  <si>
    <t>Antonio Alfredo</t>
  </si>
  <si>
    <t>Victoria Coromoto de Jesus</t>
  </si>
  <si>
    <t>Victoria Hernández</t>
  </si>
  <si>
    <t>Gabriel Ali</t>
  </si>
  <si>
    <t>Thomas Alejandro</t>
  </si>
  <si>
    <t>Carlos Daniel</t>
  </si>
  <si>
    <t>Samuel Felipe</t>
  </si>
  <si>
    <t>Daniela Valentina</t>
  </si>
  <si>
    <t>Gustavo Alberto</t>
  </si>
  <si>
    <t>Andrés Alejandro</t>
  </si>
  <si>
    <t>Henmary José</t>
  </si>
  <si>
    <t>Santiago alonso</t>
  </si>
  <si>
    <t>Fabiana Rosa</t>
  </si>
  <si>
    <t>Sergio Rodrigo</t>
  </si>
  <si>
    <t>Paola Daniela</t>
  </si>
  <si>
    <t>Luis Miguel</t>
  </si>
  <si>
    <t>Abdallah Joseph</t>
  </si>
  <si>
    <t>Santiago Enrique</t>
  </si>
  <si>
    <t>Tarea 1: GitHub (52110170)</t>
  </si>
  <si>
    <t>Tarea 2: Arepas DinÃ¡micas (52110169)</t>
  </si>
  <si>
    <t>Tarea 3: Perfil de usuario (52110171)</t>
  </si>
  <si>
    <t>Tarea 4: AÃ±o Bisiesto (52110172)</t>
  </si>
  <si>
    <t>Tarea 5: Â¡Batalla! (juego de cartas) (52110173)</t>
  </si>
  <si>
    <t>Tarea 6: Batalla pokÃ©mon (52110174)</t>
  </si>
  <si>
    <t>Tarea 7: Batalla PokÃ©mon con Funciones (52110175)</t>
  </si>
  <si>
    <t>Tarea 8: Registro de vehÃ­culos (52110176)</t>
  </si>
  <si>
    <t>Tarea 9: Marcar tarjeta (52110177)</t>
  </si>
  <si>
    <t>Tarea 10: Diagrama de Clases (52110162)</t>
  </si>
  <si>
    <t>Tarea 11: PokÃ©dex (52110163)</t>
  </si>
  <si>
    <t>Tarea 13: RecursiÃ³n (52110165)</t>
  </si>
  <si>
    <t>Tarea 14: Algoritmos de Ordenamiento (52110166)</t>
  </si>
  <si>
    <t>Tarea 15: Complejidad (52110168)</t>
  </si>
  <si>
    <t>Código Naranja 2425-2</t>
  </si>
  <si>
    <t/>
  </si>
  <si>
    <t>01</t>
  </si>
  <si>
    <t>Ejercicio #1</t>
  </si>
  <si>
    <t>Ejercicio #2</t>
  </si>
  <si>
    <t>Ejercicio #3</t>
  </si>
  <si>
    <t>Ejercicio #4</t>
  </si>
  <si>
    <t>Ejercicio #5</t>
  </si>
  <si>
    <t>Ejercicio #6</t>
  </si>
  <si>
    <t>Ejercicio #8</t>
  </si>
  <si>
    <t>RPC 02</t>
  </si>
  <si>
    <t>Media de la clase</t>
  </si>
  <si>
    <t>TOTAL NARANJA</t>
  </si>
  <si>
    <t>Total pts de 100</t>
  </si>
  <si>
    <t>Marcano</t>
  </si>
  <si>
    <t>Alejandro</t>
  </si>
  <si>
    <t>marcano.alejandro@correo.unimet.edu.ve</t>
  </si>
  <si>
    <t>Leon</t>
  </si>
  <si>
    <t>Alexia</t>
  </si>
  <si>
    <t>a.leon2020@correo.unimet.edu.ve</t>
  </si>
  <si>
    <t>Tucci</t>
  </si>
  <si>
    <t>Andres</t>
  </si>
  <si>
    <t>atucci@correo.unimet.edu.ve</t>
  </si>
  <si>
    <t>Atencio</t>
  </si>
  <si>
    <t>c.atencio@correo.unimet.edu.ve</t>
  </si>
  <si>
    <t>Arreaza</t>
  </si>
  <si>
    <t>Diego</t>
  </si>
  <si>
    <t>diego.arreaza@correo.unimet.edu.ve</t>
  </si>
  <si>
    <t>Baron</t>
  </si>
  <si>
    <t>baronb@correo.unimet.edu.ve</t>
  </si>
  <si>
    <t>Callender</t>
  </si>
  <si>
    <t>diego.callender@correo.unimet.edu.ve</t>
  </si>
  <si>
    <t>De Jesús</t>
  </si>
  <si>
    <t>di.dejesus@correo.unimet.edu.ve</t>
  </si>
  <si>
    <t>Casais</t>
  </si>
  <si>
    <t>Elohym</t>
  </si>
  <si>
    <t>casais.elohym@correo.unimet.edu.ve</t>
  </si>
  <si>
    <t>Aray</t>
  </si>
  <si>
    <t>Flavia</t>
  </si>
  <si>
    <t>flavia.aray@correo.unimet.edu.ve</t>
  </si>
  <si>
    <t>Jimenez</t>
  </si>
  <si>
    <t>gabriel.jimenez@correo.unimet.edu.ve</t>
  </si>
  <si>
    <t>Viñas</t>
  </si>
  <si>
    <t>gvinas@correo.unimet.edu.ve</t>
  </si>
  <si>
    <t>Costa</t>
  </si>
  <si>
    <t>Gabriela</t>
  </si>
  <si>
    <t>gcosta@correo.unimet.edu.ve</t>
  </si>
  <si>
    <t>Mongiello</t>
  </si>
  <si>
    <t>Gianfranco</t>
  </si>
  <si>
    <t>gianfranco.mongiello@correo.unimet.edu.ve</t>
  </si>
  <si>
    <t>Bazzi</t>
  </si>
  <si>
    <t>Haidar</t>
  </si>
  <si>
    <t>bazzi.haidar@correo.unimet.edu.ve</t>
  </si>
  <si>
    <t>Perez</t>
  </si>
  <si>
    <t>Ildemar</t>
  </si>
  <si>
    <t>ildemar.perez@correo.unimet.edu.ve</t>
  </si>
  <si>
    <t>Charco</t>
  </si>
  <si>
    <t>Isaac</t>
  </si>
  <si>
    <t>i.charco@correo.unimet.edu.ve</t>
  </si>
  <si>
    <t>Viana</t>
  </si>
  <si>
    <t>Jose</t>
  </si>
  <si>
    <t>jose.viana@correo.unimet.edu.ve</t>
  </si>
  <si>
    <t>Moreno</t>
  </si>
  <si>
    <t>Joseph</t>
  </si>
  <si>
    <t>jo.moreno@correo.unimet.edu.ve</t>
  </si>
  <si>
    <t>Moreira</t>
  </si>
  <si>
    <t>Juan</t>
  </si>
  <si>
    <t>j.moreira@correo.unimet.edu.ve</t>
  </si>
  <si>
    <t>Hurtado</t>
  </si>
  <si>
    <t>Kelvin</t>
  </si>
  <si>
    <t>h.kelvin@correo.unimet.edu.ve</t>
  </si>
  <si>
    <t>Medina</t>
  </si>
  <si>
    <t>Laura</t>
  </si>
  <si>
    <t>laura.medina@correo.unimet.edu.ve</t>
  </si>
  <si>
    <t>Roa</t>
  </si>
  <si>
    <t>Leopoldo</t>
  </si>
  <si>
    <t>roa-leopoldo@correo.unimet.edu.ve</t>
  </si>
  <si>
    <t>Ugas</t>
  </si>
  <si>
    <t>Liz</t>
  </si>
  <si>
    <t>liz.ugas@correo.unimet.edu.ve</t>
  </si>
  <si>
    <t>Velasquez</t>
  </si>
  <si>
    <t>Lovera</t>
  </si>
  <si>
    <t>Luis Mariano</t>
  </si>
  <si>
    <t>l.lovera@correo.unimet.edu.ve</t>
  </si>
  <si>
    <t>Junco</t>
  </si>
  <si>
    <t>Luriannys</t>
  </si>
  <si>
    <t>ljunco@correo.unimet.edu.ve</t>
  </si>
  <si>
    <t>Almonte</t>
  </si>
  <si>
    <t>maria.almonte@correo.unimet.edu.ve</t>
  </si>
  <si>
    <t>Graffe</t>
  </si>
  <si>
    <t>Marie</t>
  </si>
  <si>
    <t>m.graffe@correo.unimet.edu.ve</t>
  </si>
  <si>
    <t>Mujica</t>
  </si>
  <si>
    <t>Maximo</t>
  </si>
  <si>
    <t>m.maximo@correo.unimet.edu.ve</t>
  </si>
  <si>
    <t>Maiz</t>
  </si>
  <si>
    <t>Miguelangel</t>
  </si>
  <si>
    <t>miguelangel.maiz@correo.unimet.edu.ve</t>
  </si>
  <si>
    <t>Kchour</t>
  </si>
  <si>
    <t>Mohamad</t>
  </si>
  <si>
    <t>mohamad.kchour@correo.unimet.edu.ve</t>
  </si>
  <si>
    <t>Demian</t>
  </si>
  <si>
    <t>Naim</t>
  </si>
  <si>
    <t>naim.demian@correo.unimet.edu.ve</t>
  </si>
  <si>
    <t>Valtetsiotis</t>
  </si>
  <si>
    <t>Nikos</t>
  </si>
  <si>
    <t>nvaltetsiotis@correo.unimet.edu.ve</t>
  </si>
  <si>
    <t>Livinaly</t>
  </si>
  <si>
    <t>plivinaly@correo.unimet.edu.ve</t>
  </si>
  <si>
    <t>Marquez</t>
  </si>
  <si>
    <t>Roxana</t>
  </si>
  <si>
    <t>roxana.marquez@correo.unimet.edu.ve</t>
  </si>
  <si>
    <t>Cedeno</t>
  </si>
  <si>
    <t>samuel.cedeno@correo.unimet.edu.ve</t>
  </si>
  <si>
    <t>Atacho</t>
  </si>
  <si>
    <t>satacho@correo.unimet.edu.ve</t>
  </si>
  <si>
    <t>GomezCornejo</t>
  </si>
  <si>
    <t>s.gomezcornejo@correo.unimet.edu.ve</t>
  </si>
  <si>
    <t>Quijada</t>
  </si>
  <si>
    <t>Sebastian</t>
  </si>
  <si>
    <t>sebastian.quijada@correo.unimet.edu.ve</t>
  </si>
  <si>
    <t>Boschetti</t>
  </si>
  <si>
    <t>Stefano</t>
  </si>
  <si>
    <t>stefano.boschetti@correo.unimet.edu.ve</t>
  </si>
  <si>
    <t>Giron</t>
  </si>
  <si>
    <t>Veronica</t>
  </si>
  <si>
    <t>veronica.giron@correo.unimet.edu.ve</t>
  </si>
  <si>
    <t>Luna</t>
  </si>
  <si>
    <t>Verónica</t>
  </si>
  <si>
    <t>veronica.luna@correo.unimet.edu.ve</t>
  </si>
  <si>
    <t>Hernandez</t>
  </si>
  <si>
    <r>
      <rPr>
        <b/>
        <sz val="11"/>
        <rFont val="Calibri"/>
        <family val="2"/>
      </rPr>
      <t>Materia:</t>
    </r>
  </si>
  <si>
    <r>
      <rPr>
        <b/>
        <sz val="11"/>
        <rFont val="Calibri"/>
        <family val="2"/>
      </rPr>
      <t>Trimestre:</t>
    </r>
  </si>
  <si>
    <r>
      <rPr>
        <b/>
        <sz val="11"/>
        <rFont val="Calibri"/>
        <family val="2"/>
      </rPr>
      <t>Sección:</t>
    </r>
  </si>
  <si>
    <r>
      <rPr>
        <b/>
        <sz val="11"/>
        <rFont val="Calibri"/>
        <family val="2"/>
      </rPr>
      <t>numero_lista</t>
    </r>
  </si>
  <si>
    <r>
      <rPr>
        <b/>
        <sz val="11"/>
        <rFont val="Calibri"/>
        <family val="2"/>
      </rPr>
      <t>nombre</t>
    </r>
  </si>
  <si>
    <r>
      <rPr>
        <b/>
        <sz val="11"/>
        <rFont val="Calibri"/>
        <family val="2"/>
      </rPr>
      <t>apellido</t>
    </r>
  </si>
  <si>
    <r>
      <rPr>
        <b/>
        <sz val="11"/>
        <rFont val="Calibri"/>
        <family val="2"/>
      </rPr>
      <t>cedula</t>
    </r>
  </si>
  <si>
    <r>
      <rPr>
        <b/>
        <sz val="11"/>
        <rFont val="Calibri"/>
        <family val="2"/>
      </rPr>
      <t>Semana 1</t>
    </r>
  </si>
  <si>
    <r>
      <rPr>
        <b/>
        <sz val="11"/>
        <rFont val="Calibri"/>
        <family val="2"/>
      </rPr>
      <t>Semana 2</t>
    </r>
  </si>
  <si>
    <r>
      <rPr>
        <b/>
        <sz val="11"/>
        <rFont val="Calibri"/>
        <family val="2"/>
      </rPr>
      <t>Semana 3</t>
    </r>
  </si>
  <si>
    <r>
      <rPr>
        <b/>
        <sz val="11"/>
        <rFont val="Calibri"/>
        <family val="2"/>
      </rPr>
      <t>Semana 4</t>
    </r>
  </si>
  <si>
    <r>
      <rPr>
        <b/>
        <sz val="11"/>
        <rFont val="Calibri"/>
        <family val="2"/>
      </rPr>
      <t>Semana 5</t>
    </r>
  </si>
  <si>
    <r>
      <rPr>
        <b/>
        <sz val="11"/>
        <rFont val="Calibri"/>
        <family val="2"/>
      </rPr>
      <t>Semana 6</t>
    </r>
  </si>
  <si>
    <r>
      <rPr>
        <b/>
        <sz val="11"/>
        <rFont val="Calibri"/>
        <family val="2"/>
      </rPr>
      <t>Semana 7</t>
    </r>
  </si>
  <si>
    <r>
      <rPr>
        <b/>
        <sz val="11"/>
        <rFont val="Calibri"/>
        <family val="2"/>
      </rPr>
      <t>Semana 8</t>
    </r>
  </si>
  <si>
    <r>
      <rPr>
        <b/>
        <sz val="11"/>
        <rFont val="Calibri"/>
        <family val="2"/>
      </rPr>
      <t>Semana 9</t>
    </r>
  </si>
  <si>
    <r>
      <rPr>
        <b/>
        <sz val="11"/>
        <rFont val="Calibri"/>
        <family val="2"/>
      </rPr>
      <t>Semana 10</t>
    </r>
  </si>
  <si>
    <r>
      <rPr>
        <b/>
        <sz val="11"/>
        <rFont val="Calibri"/>
        <family val="2"/>
      </rPr>
      <t>Semana 11</t>
    </r>
  </si>
  <si>
    <r>
      <rPr>
        <b/>
        <sz val="11"/>
        <rFont val="Calibri"/>
        <family val="2"/>
      </rPr>
      <t>Semana 12</t>
    </r>
  </si>
  <si>
    <t>Algoritmos Y Programación</t>
  </si>
  <si>
    <t>2425-2</t>
  </si>
  <si>
    <t>lunes</t>
  </si>
  <si>
    <t>miercoles</t>
  </si>
  <si>
    <t>carnet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</si>
</sst>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164" formatCode="0.0&quot;/20&quot;"/>
    <numFmt numFmtId="165" formatCode="0.00&quot;/10&quot;"/>
    <numFmt numFmtId="166" formatCode="0&quot;/20&quot;"/>
    <numFmt numFmtId="167" formatCode="0.0&quot;/10&quot;"/>
    <numFmt numFmtId="168" formatCode="0.0&quot;/100&quot;"/>
    <numFmt numFmtId="169" formatCode="0&quot;/4&quot;"/>
    <numFmt numFmtId="170" formatCode="0&quot;/3&quot;"/>
    <numFmt numFmtId="171" formatCode="0&quot;/10&quot;"/>
    <numFmt numFmtId="172" formatCode="m/d"/>
    <numFmt numFmtId="173" formatCode="d\ mmm"/>
    <numFmt numFmtId="174" formatCode="mmm\ d"/>
    <numFmt numFmtId="175" formatCode="#0.0#%"/>
    <numFmt numFmtId="176" formatCode="0.0#"/>
  </numFmts>
  <fonts count="37">
    <font>
      <sz val="11"/>
      <color rgb="FF000000"/>
      <name val="Calibri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212529"/>
      <name val="&quot;Segoe UI&quot;"/>
    </font>
    <font>
      <b/>
      <sz val="11"/>
      <color rgb="FF1155CC"/>
      <name val="Calibri"/>
      <family val="2"/>
      <scheme val="minor"/>
    </font>
    <font>
      <b/>
      <sz val="11"/>
      <color rgb="FF000000"/>
      <name val="Rubik"/>
    </font>
    <font>
      <sz val="11"/>
      <name val="Calibri"/>
      <family val="2"/>
    </font>
    <font>
      <sz val="8"/>
      <color rgb="FF000000"/>
      <name val="Rubik"/>
    </font>
    <font>
      <sz val="11"/>
      <color rgb="FF000000"/>
      <name val="Rubik"/>
    </font>
    <font>
      <sz val="11"/>
      <color rgb="FF000000"/>
      <name val="Arial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sz val="11"/>
      <color rgb="FFFFFFFF"/>
      <name val="Rubik"/>
    </font>
    <font>
      <sz val="8"/>
      <color theme="1"/>
      <name val="Rubik"/>
    </font>
    <font>
      <sz val="11"/>
      <color theme="1"/>
      <name val="Verdana"/>
      <family val="2"/>
    </font>
    <font>
      <sz val="11"/>
      <color theme="1"/>
      <name val="Rubik"/>
    </font>
    <font>
      <b/>
      <sz val="11"/>
      <color theme="1"/>
      <name val="Rubik"/>
    </font>
    <font>
      <sz val="11"/>
      <color theme="1"/>
      <name val="Arial"/>
      <family val="2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rgb="FF000000"/>
      <name val="&quot;Aptos Narrow&quot;"/>
    </font>
    <font>
      <sz val="12"/>
      <color rgb="FF212529"/>
      <name val="Arial"/>
      <family val="2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FFFF"/>
      <name val="Roboto"/>
    </font>
    <font>
      <sz val="14"/>
      <color rgb="FFFFFFFF"/>
      <name val="Roboto"/>
    </font>
    <font>
      <b/>
      <sz val="11"/>
      <color rgb="FFFFFFFF"/>
      <name val="Roboto"/>
    </font>
    <font>
      <u/>
      <sz val="11"/>
      <color rgb="FFFFFFFF"/>
      <name val="Arial"/>
      <family val="2"/>
    </font>
    <font>
      <sz val="11"/>
      <color rgb="FFFFFFFF"/>
      <name val="Roboto"/>
    </font>
    <font>
      <b/>
      <sz val="11"/>
      <color theme="1"/>
      <name val="Roboto"/>
    </font>
    <font>
      <sz val="11"/>
      <color rgb="FF808080"/>
      <name val="Roboto"/>
    </font>
    <font>
      <sz val="11"/>
      <color theme="1"/>
      <name val="Roboto"/>
    </font>
    <font>
      <b/>
      <sz val="11"/>
      <name val="Calibri"/>
      <family val="2"/>
    </font>
    <font>
      <b/>
      <sz val="11"/>
      <color rgb="FF0000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E59A"/>
        <bgColor rgb="FFFFE59A"/>
      </patternFill>
    </fill>
    <fill>
      <patternFill patternType="solid">
        <fgColor rgb="FF3C78D8"/>
        <bgColor rgb="FF3C78D8"/>
      </patternFill>
    </fill>
    <fill>
      <patternFill patternType="solid">
        <fgColor rgb="FFC9DAF8"/>
        <bgColor rgb="FFC9DAF8"/>
      </patternFill>
    </fill>
    <fill>
      <patternFill patternType="solid">
        <fgColor rgb="FFFFC000"/>
        <bgColor rgb="FFFFC000"/>
      </patternFill>
    </fill>
    <fill>
      <patternFill patternType="solid">
        <fgColor rgb="FFFFF2CC"/>
        <bgColor rgb="FFFFF2CC"/>
      </patternFill>
    </fill>
    <fill>
      <patternFill patternType="solid">
        <fgColor rgb="FF70AD47"/>
        <bgColor rgb="FF70AD47"/>
      </patternFill>
    </fill>
    <fill>
      <patternFill patternType="solid">
        <fgColor rgb="FFC6E0B4"/>
        <bgColor rgb="FFC6E0B4"/>
      </patternFill>
    </fill>
    <fill>
      <patternFill patternType="solid">
        <fgColor rgb="FFE2EFDA"/>
        <bgColor rgb="FFE2EFDA"/>
      </patternFill>
    </fill>
    <fill>
      <patternFill patternType="solid">
        <fgColor rgb="FFE8710A"/>
        <bgColor rgb="FFE8710A"/>
      </patternFill>
    </fill>
    <fill>
      <patternFill patternType="solid">
        <fgColor rgb="FF434343"/>
        <bgColor rgb="FF434343"/>
      </patternFill>
    </fill>
    <fill>
      <patternFill patternType="solid">
        <fgColor rgb="FFEEEEEE"/>
        <bgColor rgb="FFEEEEEE"/>
      </patternFill>
    </fill>
    <fill>
      <patternFill patternType="solid">
        <fgColor rgb="FFFCE5CD"/>
        <bgColor rgb="FFFCE5CD"/>
      </patternFill>
    </fill>
    <fill>
      <patternFill patternType="solid">
        <fgColor rgb="FFF3F3F3"/>
        <bgColor rgb="FFF3F3F3"/>
      </patternFill>
    </fill>
    <fill>
      <patternFill patternType="solid">
        <fgColor rgb="FFDEEAF6"/>
        <bgColor rgb="FFDEEAF6"/>
      </patternFill>
    </fill>
    <fill>
      <patternFill patternType="solid">
        <fgColor rgb="FFBDD6EE"/>
        <bgColor rgb="FFBDD6EE"/>
      </patternFill>
    </fill>
  </fills>
  <borders count="51">
    <border>
      <left/>
      <right/>
      <top/>
      <bottom/>
      <diagonal/>
    </border>
    <border>
      <left/>
      <right/>
      <top style="thin">
        <color rgb="FF9BC2E6"/>
      </top>
      <bottom style="thin">
        <color rgb="FF9BC2E6"/>
      </bottom>
      <diagonal/>
    </border>
    <border>
      <left/>
      <right style="thin">
        <color rgb="FFFFC93D"/>
      </right>
      <top style="thin">
        <color rgb="FFFFC93D"/>
      </top>
      <bottom/>
      <diagonal/>
    </border>
    <border>
      <left/>
      <right style="thin">
        <color rgb="FF000000"/>
      </right>
      <top style="thin">
        <color rgb="FFFFC93D"/>
      </top>
      <bottom/>
      <diagonal/>
    </border>
    <border>
      <left/>
      <right/>
      <top style="thin">
        <color rgb="FFFFC93D"/>
      </top>
      <bottom/>
      <diagonal/>
    </border>
    <border>
      <left/>
      <right style="thin">
        <color rgb="FFFFC93D"/>
      </right>
      <top/>
      <bottom style="thin">
        <color rgb="FFFFC93D"/>
      </bottom>
      <diagonal/>
    </border>
    <border>
      <left/>
      <right style="thin">
        <color rgb="FF000000"/>
      </right>
      <top/>
      <bottom style="thin">
        <color rgb="FFFFC93D"/>
      </bottom>
      <diagonal/>
    </border>
    <border>
      <left/>
      <right style="thin">
        <color rgb="FF000000"/>
      </right>
      <top/>
      <bottom/>
      <diagonal/>
    </border>
    <border>
      <left style="thin">
        <color rgb="FFF4B084"/>
      </left>
      <right/>
      <top style="thin">
        <color rgb="FFF4B084"/>
      </top>
      <bottom style="thin">
        <color rgb="FFF4B084"/>
      </bottom>
      <diagonal/>
    </border>
    <border>
      <left/>
      <right/>
      <top style="thin">
        <color rgb="FFF4B084"/>
      </top>
      <bottom style="thin">
        <color rgb="FFF4B084"/>
      </bottom>
      <diagonal/>
    </border>
    <border>
      <left/>
      <right style="thin">
        <color rgb="FFF4B084"/>
      </right>
      <top style="thin">
        <color rgb="FFF4B084"/>
      </top>
      <bottom style="thin">
        <color rgb="FFF4B084"/>
      </bottom>
      <diagonal/>
    </border>
    <border>
      <left style="thin">
        <color rgb="FFF4B084"/>
      </left>
      <right/>
      <top style="thin">
        <color rgb="FF9BC2E6"/>
      </top>
      <bottom style="thin">
        <color rgb="FF9BC2E6"/>
      </bottom>
      <diagonal/>
    </border>
    <border>
      <left/>
      <right/>
      <top style="thin">
        <color rgb="FFF4B084"/>
      </top>
      <bottom style="thin">
        <color rgb="FF9BC2E6"/>
      </bottom>
      <diagonal/>
    </border>
    <border>
      <left style="thin">
        <color rgb="FFF4B084"/>
      </left>
      <right/>
      <top style="thin">
        <color rgb="FF9BC2E6"/>
      </top>
      <bottom style="thin">
        <color rgb="FFF4B084"/>
      </bottom>
      <diagonal/>
    </border>
    <border>
      <left/>
      <right/>
      <top style="thin">
        <color rgb="FF9BC2E6"/>
      </top>
      <bottom style="thin">
        <color rgb="FFF4B084"/>
      </bottom>
      <diagonal/>
    </border>
    <border>
      <left/>
      <right style="thin">
        <color rgb="FF4285F4"/>
      </right>
      <top style="thin">
        <color rgb="FF3C78D8"/>
      </top>
      <bottom/>
      <diagonal/>
    </border>
    <border>
      <left/>
      <right/>
      <top style="thin">
        <color rgb="FF3C78D8"/>
      </top>
      <bottom style="thick">
        <color rgb="FF3C78D8"/>
      </bottom>
      <diagonal/>
    </border>
    <border>
      <left/>
      <right style="thin">
        <color rgb="FFFFC93D"/>
      </right>
      <top style="thin">
        <color rgb="FF3C78D8"/>
      </top>
      <bottom style="thick">
        <color rgb="FF3C78D8"/>
      </bottom>
      <diagonal/>
    </border>
    <border>
      <left style="thin">
        <color rgb="FF4285F4"/>
      </left>
      <right/>
      <top style="thin">
        <color rgb="FF3C78D8"/>
      </top>
      <bottom style="thick">
        <color rgb="FF3C78D8"/>
      </bottom>
      <diagonal/>
    </border>
    <border>
      <left/>
      <right style="thin">
        <color rgb="FF4285F4"/>
      </right>
      <top style="thin">
        <color rgb="FF3C78D8"/>
      </top>
      <bottom style="thick">
        <color rgb="FF3C78D8"/>
      </bottom>
      <diagonal/>
    </border>
    <border>
      <left style="thin">
        <color rgb="FF4285F4"/>
      </left>
      <right style="thin">
        <color rgb="FF4285F4"/>
      </right>
      <top style="thin">
        <color rgb="FF3C78D8"/>
      </top>
      <bottom/>
      <diagonal/>
    </border>
    <border>
      <left/>
      <right style="thin">
        <color rgb="FF4285F4"/>
      </right>
      <top/>
      <bottom style="medium">
        <color rgb="FF4285F4"/>
      </bottom>
      <diagonal/>
    </border>
    <border>
      <left style="thin">
        <color rgb="FF4285F4"/>
      </left>
      <right style="thin">
        <color rgb="FF4285F4"/>
      </right>
      <top/>
      <bottom style="medium">
        <color rgb="FF4285F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4285F4"/>
      </left>
      <right/>
      <top/>
      <bottom style="thin">
        <color rgb="FF4285F4"/>
      </bottom>
      <diagonal/>
    </border>
    <border>
      <left/>
      <right/>
      <top/>
      <bottom style="thin">
        <color rgb="FF4285F4"/>
      </bottom>
      <diagonal/>
    </border>
    <border>
      <left/>
      <right style="thin">
        <color rgb="FF4285F4"/>
      </right>
      <top/>
      <bottom style="thin">
        <color rgb="FF4285F4"/>
      </bottom>
      <diagonal/>
    </border>
    <border>
      <left style="thin">
        <color rgb="FF4285F4"/>
      </left>
      <right style="thin">
        <color rgb="FF4285F4"/>
      </right>
      <top/>
      <bottom style="thin">
        <color rgb="FF4285F4"/>
      </bottom>
      <diagonal/>
    </border>
    <border>
      <left style="thin">
        <color rgb="FF4285F4"/>
      </left>
      <right/>
      <top style="thin">
        <color rgb="FF4285F4"/>
      </top>
      <bottom style="thin">
        <color rgb="FF4285F4"/>
      </bottom>
      <diagonal/>
    </border>
    <border>
      <left/>
      <right/>
      <top style="thin">
        <color rgb="FF4285F4"/>
      </top>
      <bottom style="thin">
        <color rgb="FF4285F4"/>
      </bottom>
      <diagonal/>
    </border>
    <border>
      <left style="thin">
        <color rgb="FF4285F4"/>
      </left>
      <right style="thin">
        <color rgb="FF4285F4"/>
      </right>
      <top style="thin">
        <color rgb="FF4285F4"/>
      </top>
      <bottom style="thin">
        <color rgb="FF4285F4"/>
      </bottom>
      <diagonal/>
    </border>
    <border>
      <left/>
      <right style="thin">
        <color rgb="FF4285F4"/>
      </right>
      <top style="thin">
        <color rgb="FF4285F4"/>
      </top>
      <bottom style="thin">
        <color rgb="FF4285F4"/>
      </bottom>
      <diagonal/>
    </border>
    <border>
      <left style="thin">
        <color rgb="FFFFD966"/>
      </left>
      <right/>
      <top style="thin">
        <color rgb="FFFFD966"/>
      </top>
      <bottom style="thin">
        <color rgb="FFFFD966"/>
      </bottom>
      <diagonal/>
    </border>
    <border>
      <left/>
      <right/>
      <top style="thin">
        <color rgb="FFFFD966"/>
      </top>
      <bottom style="thin">
        <color rgb="FFFFD966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000000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000000"/>
      </right>
      <top/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000000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000000"/>
      </right>
      <top style="thin">
        <color rgb="FFFFFFFF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E8710A"/>
      </left>
      <right style="thin">
        <color rgb="FFE8710A"/>
      </right>
      <top style="thin">
        <color rgb="FFE8710A"/>
      </top>
      <bottom style="thin">
        <color rgb="FFE8710A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8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164" fontId="2" fillId="0" borderId="0" xfId="0" applyNumberFormat="1" applyFont="1"/>
    <xf numFmtId="165" fontId="2" fillId="0" borderId="0" xfId="0" applyNumberFormat="1" applyFont="1"/>
    <xf numFmtId="166" fontId="2" fillId="0" borderId="0" xfId="0" applyNumberFormat="1" applyFont="1"/>
    <xf numFmtId="167" fontId="2" fillId="0" borderId="0" xfId="0" applyNumberFormat="1" applyFont="1"/>
    <xf numFmtId="168" fontId="1" fillId="0" borderId="0" xfId="0" applyNumberFormat="1" applyFont="1"/>
    <xf numFmtId="164" fontId="1" fillId="0" borderId="0" xfId="0" applyNumberFormat="1" applyFont="1"/>
    <xf numFmtId="9" fontId="2" fillId="0" borderId="0" xfId="0" applyNumberFormat="1" applyFont="1"/>
    <xf numFmtId="3" fontId="1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8" fillId="0" borderId="5" xfId="0" applyFont="1" applyBorder="1"/>
    <xf numFmtId="0" fontId="8" fillId="0" borderId="6" xfId="0" applyFont="1" applyBorder="1" applyAlignment="1">
      <alignment horizontal="right"/>
    </xf>
    <xf numFmtId="0" fontId="8" fillId="0" borderId="5" xfId="0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0" fontId="9" fillId="0" borderId="7" xfId="0" applyFont="1" applyBorder="1" applyAlignment="1">
      <alignment horizontal="right"/>
    </xf>
    <xf numFmtId="0" fontId="10" fillId="0" borderId="8" xfId="0" applyFont="1" applyBorder="1"/>
    <xf numFmtId="0" fontId="10" fillId="0" borderId="9" xfId="0" applyFont="1" applyBorder="1"/>
    <xf numFmtId="0" fontId="10" fillId="0" borderId="10" xfId="0" applyFont="1" applyBorder="1"/>
    <xf numFmtId="0" fontId="11" fillId="0" borderId="11" xfId="0" applyFont="1" applyBorder="1"/>
    <xf numFmtId="0" fontId="11" fillId="0" borderId="1" xfId="0" applyFont="1" applyBorder="1"/>
    <xf numFmtId="0" fontId="11" fillId="0" borderId="9" xfId="0" applyFont="1" applyBorder="1" applyAlignment="1">
      <alignment horizontal="right"/>
    </xf>
    <xf numFmtId="0" fontId="11" fillId="0" borderId="12" xfId="0" applyFont="1" applyBorder="1" applyAlignment="1">
      <alignment horizontal="right"/>
    </xf>
    <xf numFmtId="0" fontId="11" fillId="0" borderId="9" xfId="0" applyFont="1" applyBorder="1"/>
    <xf numFmtId="0" fontId="12" fillId="0" borderId="10" xfId="0" applyFont="1" applyBorder="1" applyAlignment="1">
      <alignment horizontal="right"/>
    </xf>
    <xf numFmtId="0" fontId="11" fillId="0" borderId="13" xfId="0" applyFont="1" applyBorder="1"/>
    <xf numFmtId="0" fontId="11" fillId="0" borderId="1" xfId="0" applyFont="1" applyBorder="1" applyAlignment="1">
      <alignment horizontal="right"/>
    </xf>
    <xf numFmtId="0" fontId="12" fillId="0" borderId="9" xfId="0" applyFont="1" applyBorder="1" applyAlignment="1">
      <alignment horizontal="right"/>
    </xf>
    <xf numFmtId="0" fontId="12" fillId="0" borderId="1" xfId="0" applyFont="1" applyBorder="1" applyAlignment="1">
      <alignment horizontal="right"/>
    </xf>
    <xf numFmtId="0" fontId="13" fillId="0" borderId="1" xfId="0" applyFont="1" applyBorder="1" applyAlignment="1">
      <alignment horizontal="center"/>
    </xf>
    <xf numFmtId="0" fontId="11" fillId="0" borderId="8" xfId="0" applyFont="1" applyBorder="1"/>
    <xf numFmtId="0" fontId="11" fillId="0" borderId="14" xfId="0" applyFont="1" applyBorder="1" applyAlignment="1">
      <alignment horizontal="right"/>
    </xf>
    <xf numFmtId="0" fontId="11" fillId="0" borderId="0" xfId="0" applyFont="1"/>
    <xf numFmtId="0" fontId="11" fillId="0" borderId="0" xfId="0" applyFont="1" applyAlignment="1">
      <alignment horizontal="right"/>
    </xf>
    <xf numFmtId="0" fontId="15" fillId="5" borderId="21" xfId="0" applyFont="1" applyFill="1" applyBorder="1" applyAlignment="1">
      <alignment horizontal="center" wrapText="1"/>
    </xf>
    <xf numFmtId="0" fontId="15" fillId="5" borderId="22" xfId="0" applyFont="1" applyFill="1" applyBorder="1" applyAlignment="1">
      <alignment horizontal="center" wrapText="1"/>
    </xf>
    <xf numFmtId="0" fontId="16" fillId="0" borderId="23" xfId="0" applyFont="1" applyBorder="1"/>
    <xf numFmtId="0" fontId="17" fillId="0" borderId="24" xfId="0" applyFont="1" applyBorder="1" applyAlignment="1">
      <alignment horizontal="right"/>
    </xf>
    <xf numFmtId="0" fontId="17" fillId="0" borderId="25" xfId="0" applyFont="1" applyBorder="1" applyAlignment="1">
      <alignment horizontal="right"/>
    </xf>
    <xf numFmtId="0" fontId="17" fillId="0" borderId="26" xfId="0" applyFont="1" applyBorder="1" applyAlignment="1">
      <alignment horizontal="right"/>
    </xf>
    <xf numFmtId="0" fontId="17" fillId="0" borderId="27" xfId="0" applyFont="1" applyBorder="1" applyAlignment="1">
      <alignment horizontal="right"/>
    </xf>
    <xf numFmtId="0" fontId="18" fillId="0" borderId="27" xfId="0" applyFont="1" applyBorder="1" applyAlignment="1">
      <alignment horizontal="right" wrapText="1"/>
    </xf>
    <xf numFmtId="0" fontId="17" fillId="0" borderId="28" xfId="0" applyFont="1" applyBorder="1" applyAlignment="1">
      <alignment horizontal="right"/>
    </xf>
    <xf numFmtId="0" fontId="17" fillId="0" borderId="29" xfId="0" applyFont="1" applyBorder="1" applyAlignment="1">
      <alignment horizontal="right"/>
    </xf>
    <xf numFmtId="0" fontId="18" fillId="0" borderId="30" xfId="0" applyFont="1" applyBorder="1" applyAlignment="1">
      <alignment horizontal="right" wrapText="1"/>
    </xf>
    <xf numFmtId="0" fontId="17" fillId="0" borderId="31" xfId="0" applyFont="1" applyBorder="1" applyAlignment="1">
      <alignment horizontal="right"/>
    </xf>
    <xf numFmtId="0" fontId="17" fillId="0" borderId="30" xfId="0" applyFont="1" applyBorder="1" applyAlignment="1">
      <alignment horizontal="right"/>
    </xf>
    <xf numFmtId="0" fontId="19" fillId="0" borderId="29" xfId="0" applyFont="1" applyBorder="1"/>
    <xf numFmtId="0" fontId="10" fillId="6" borderId="32" xfId="0" applyFont="1" applyFill="1" applyBorder="1"/>
    <xf numFmtId="0" fontId="10" fillId="6" borderId="33" xfId="0" applyFont="1" applyFill="1" applyBorder="1"/>
    <xf numFmtId="0" fontId="11" fillId="7" borderId="32" xfId="0" applyFont="1" applyFill="1" applyBorder="1" applyAlignment="1">
      <alignment horizontal="right"/>
    </xf>
    <xf numFmtId="0" fontId="11" fillId="7" borderId="33" xfId="0" applyFont="1" applyFill="1" applyBorder="1"/>
    <xf numFmtId="169" fontId="11" fillId="7" borderId="33" xfId="0" applyNumberFormat="1" applyFont="1" applyFill="1" applyBorder="1" applyAlignment="1">
      <alignment horizontal="right"/>
    </xf>
    <xf numFmtId="170" fontId="11" fillId="7" borderId="33" xfId="0" applyNumberFormat="1" applyFont="1" applyFill="1" applyBorder="1" applyAlignment="1">
      <alignment horizontal="right"/>
    </xf>
    <xf numFmtId="171" fontId="11" fillId="7" borderId="33" xfId="0" applyNumberFormat="1" applyFont="1" applyFill="1" applyBorder="1" applyAlignment="1">
      <alignment horizontal="right"/>
    </xf>
    <xf numFmtId="166" fontId="12" fillId="7" borderId="33" xfId="0" applyNumberFormat="1" applyFont="1" applyFill="1" applyBorder="1" applyAlignment="1">
      <alignment horizontal="right"/>
    </xf>
    <xf numFmtId="0" fontId="11" fillId="0" borderId="32" xfId="0" applyFont="1" applyBorder="1" applyAlignment="1">
      <alignment horizontal="right"/>
    </xf>
    <xf numFmtId="0" fontId="11" fillId="0" borderId="33" xfId="0" applyFont="1" applyBorder="1"/>
    <xf numFmtId="169" fontId="11" fillId="0" borderId="33" xfId="0" applyNumberFormat="1" applyFont="1" applyBorder="1" applyAlignment="1">
      <alignment horizontal="right"/>
    </xf>
    <xf numFmtId="170" fontId="11" fillId="0" borderId="33" xfId="0" applyNumberFormat="1" applyFont="1" applyBorder="1" applyAlignment="1">
      <alignment horizontal="right"/>
    </xf>
    <xf numFmtId="171" fontId="11" fillId="0" borderId="33" xfId="0" applyNumberFormat="1" applyFont="1" applyBorder="1" applyAlignment="1">
      <alignment horizontal="right"/>
    </xf>
    <xf numFmtId="166" fontId="12" fillId="0" borderId="33" xfId="0" applyNumberFormat="1" applyFont="1" applyBorder="1" applyAlignment="1">
      <alignment horizontal="right"/>
    </xf>
    <xf numFmtId="0" fontId="11" fillId="7" borderId="32" xfId="0" applyFont="1" applyFill="1" applyBorder="1"/>
    <xf numFmtId="0" fontId="11" fillId="0" borderId="32" xfId="0" applyFont="1" applyBorder="1"/>
    <xf numFmtId="0" fontId="10" fillId="8" borderId="35" xfId="0" applyFont="1" applyFill="1" applyBorder="1" applyAlignment="1">
      <alignment wrapText="1"/>
    </xf>
    <xf numFmtId="0" fontId="10" fillId="8" borderId="36" xfId="0" applyFont="1" applyFill="1" applyBorder="1" applyAlignment="1">
      <alignment wrapText="1"/>
    </xf>
    <xf numFmtId="0" fontId="10" fillId="8" borderId="37" xfId="0" applyFont="1" applyFill="1" applyBorder="1" applyAlignment="1">
      <alignment wrapText="1"/>
    </xf>
    <xf numFmtId="0" fontId="10" fillId="8" borderId="38" xfId="0" applyFont="1" applyFill="1" applyBorder="1" applyAlignment="1">
      <alignment wrapText="1"/>
    </xf>
    <xf numFmtId="0" fontId="11" fillId="9" borderId="39" xfId="0" applyFont="1" applyFill="1" applyBorder="1"/>
    <xf numFmtId="0" fontId="11" fillId="9" borderId="40" xfId="0" applyFont="1" applyFill="1" applyBorder="1"/>
    <xf numFmtId="0" fontId="11" fillId="9" borderId="40" xfId="0" applyFont="1" applyFill="1" applyBorder="1" applyAlignment="1">
      <alignment horizontal="center"/>
    </xf>
    <xf numFmtId="0" fontId="11" fillId="9" borderId="41" xfId="0" applyFont="1" applyFill="1" applyBorder="1" applyAlignment="1">
      <alignment horizontal="right"/>
    </xf>
    <xf numFmtId="0" fontId="11" fillId="9" borderId="40" xfId="0" applyFont="1" applyFill="1" applyBorder="1" applyAlignment="1">
      <alignment horizontal="right"/>
    </xf>
    <xf numFmtId="0" fontId="11" fillId="9" borderId="42" xfId="0" applyFont="1" applyFill="1" applyBorder="1" applyAlignment="1">
      <alignment horizontal="right"/>
    </xf>
    <xf numFmtId="0" fontId="11" fillId="9" borderId="42" xfId="0" applyFont="1" applyFill="1" applyBorder="1"/>
    <xf numFmtId="0" fontId="12" fillId="9" borderId="40" xfId="0" applyFont="1" applyFill="1" applyBorder="1" applyAlignment="1">
      <alignment horizontal="right"/>
    </xf>
    <xf numFmtId="0" fontId="11" fillId="10" borderId="39" xfId="0" applyFont="1" applyFill="1" applyBorder="1"/>
    <xf numFmtId="0" fontId="11" fillId="10" borderId="40" xfId="0" applyFont="1" applyFill="1" applyBorder="1"/>
    <xf numFmtId="0" fontId="11" fillId="10" borderId="40" xfId="0" applyFont="1" applyFill="1" applyBorder="1" applyAlignment="1">
      <alignment horizontal="center"/>
    </xf>
    <xf numFmtId="172" fontId="20" fillId="8" borderId="41" xfId="0" applyNumberFormat="1" applyFont="1" applyFill="1" applyBorder="1" applyAlignment="1">
      <alignment horizontal="right"/>
    </xf>
    <xf numFmtId="0" fontId="20" fillId="8" borderId="40" xfId="0" applyFont="1" applyFill="1" applyBorder="1" applyAlignment="1">
      <alignment horizontal="right"/>
    </xf>
    <xf numFmtId="0" fontId="20" fillId="8" borderId="42" xfId="0" applyFont="1" applyFill="1" applyBorder="1" applyAlignment="1">
      <alignment horizontal="right"/>
    </xf>
    <xf numFmtId="0" fontId="11" fillId="10" borderId="41" xfId="0" applyFont="1" applyFill="1" applyBorder="1" applyAlignment="1">
      <alignment horizontal="right"/>
    </xf>
    <xf numFmtId="0" fontId="11" fillId="10" borderId="40" xfId="0" applyFont="1" applyFill="1" applyBorder="1" applyAlignment="1">
      <alignment horizontal="right"/>
    </xf>
    <xf numFmtId="0" fontId="11" fillId="10" borderId="42" xfId="0" applyFont="1" applyFill="1" applyBorder="1"/>
    <xf numFmtId="0" fontId="11" fillId="6" borderId="41" xfId="0" applyFont="1" applyFill="1" applyBorder="1" applyAlignment="1">
      <alignment horizontal="right"/>
    </xf>
    <xf numFmtId="0" fontId="11" fillId="10" borderId="42" xfId="0" applyFont="1" applyFill="1" applyBorder="1" applyAlignment="1">
      <alignment horizontal="right"/>
    </xf>
    <xf numFmtId="0" fontId="12" fillId="10" borderId="40" xfId="0" applyFont="1" applyFill="1" applyBorder="1" applyAlignment="1">
      <alignment horizontal="right"/>
    </xf>
    <xf numFmtId="0" fontId="20" fillId="8" borderId="41" xfId="0" applyFont="1" applyFill="1" applyBorder="1" applyAlignment="1">
      <alignment horizontal="right"/>
    </xf>
    <xf numFmtId="0" fontId="11" fillId="6" borderId="40" xfId="0" applyFont="1" applyFill="1" applyBorder="1" applyAlignment="1">
      <alignment horizontal="right"/>
    </xf>
    <xf numFmtId="0" fontId="21" fillId="6" borderId="40" xfId="0" applyFont="1" applyFill="1" applyBorder="1" applyAlignment="1">
      <alignment horizontal="right"/>
    </xf>
    <xf numFmtId="0" fontId="20" fillId="8" borderId="42" xfId="0" applyFont="1" applyFill="1" applyBorder="1"/>
    <xf numFmtId="172" fontId="11" fillId="9" borderId="40" xfId="0" applyNumberFormat="1" applyFont="1" applyFill="1" applyBorder="1" applyAlignment="1">
      <alignment horizontal="right"/>
    </xf>
    <xf numFmtId="172" fontId="11" fillId="9" borderId="42" xfId="0" applyNumberFormat="1" applyFont="1" applyFill="1" applyBorder="1" applyAlignment="1">
      <alignment horizontal="right"/>
    </xf>
    <xf numFmtId="0" fontId="11" fillId="10" borderId="43" xfId="0" applyFont="1" applyFill="1" applyBorder="1"/>
    <xf numFmtId="0" fontId="11" fillId="10" borderId="44" xfId="0" applyFont="1" applyFill="1" applyBorder="1"/>
    <xf numFmtId="0" fontId="11" fillId="10" borderId="44" xfId="0" applyFont="1" applyFill="1" applyBorder="1" applyAlignment="1">
      <alignment horizontal="center"/>
    </xf>
    <xf numFmtId="0" fontId="11" fillId="10" borderId="45" xfId="0" applyFont="1" applyFill="1" applyBorder="1" applyAlignment="1">
      <alignment horizontal="right"/>
    </xf>
    <xf numFmtId="0" fontId="11" fillId="10" borderId="44" xfId="0" applyFont="1" applyFill="1" applyBorder="1" applyAlignment="1">
      <alignment horizontal="right"/>
    </xf>
    <xf numFmtId="0" fontId="11" fillId="10" borderId="46" xfId="0" applyFont="1" applyFill="1" applyBorder="1" applyAlignment="1">
      <alignment horizontal="right"/>
    </xf>
    <xf numFmtId="0" fontId="11" fillId="10" borderId="46" xfId="0" applyFont="1" applyFill="1" applyBorder="1"/>
    <xf numFmtId="0" fontId="11" fillId="10" borderId="45" xfId="0" applyFont="1" applyFill="1" applyBorder="1"/>
    <xf numFmtId="0" fontId="12" fillId="10" borderId="44" xfId="0" applyFont="1" applyFill="1" applyBorder="1" applyAlignment="1">
      <alignment horizontal="right"/>
    </xf>
    <xf numFmtId="172" fontId="20" fillId="8" borderId="40" xfId="0" applyNumberFormat="1" applyFont="1" applyFill="1" applyBorder="1" applyAlignment="1">
      <alignment horizontal="right"/>
    </xf>
    <xf numFmtId="172" fontId="11" fillId="6" borderId="40" xfId="0" applyNumberFormat="1" applyFont="1" applyFill="1" applyBorder="1" applyAlignment="1">
      <alignment horizontal="right"/>
    </xf>
    <xf numFmtId="172" fontId="11" fillId="6" borderId="41" xfId="0" applyNumberFormat="1" applyFont="1" applyFill="1" applyBorder="1" applyAlignment="1">
      <alignment horizontal="right"/>
    </xf>
    <xf numFmtId="172" fontId="20" fillId="8" borderId="42" xfId="0" applyNumberFormat="1" applyFont="1" applyFill="1" applyBorder="1" applyAlignment="1">
      <alignment horizontal="right"/>
    </xf>
    <xf numFmtId="0" fontId="11" fillId="9" borderId="41" xfId="0" applyFont="1" applyFill="1" applyBorder="1"/>
    <xf numFmtId="172" fontId="11" fillId="9" borderId="41" xfId="0" applyNumberFormat="1" applyFont="1" applyFill="1" applyBorder="1" applyAlignment="1">
      <alignment horizontal="right"/>
    </xf>
    <xf numFmtId="0" fontId="11" fillId="10" borderId="41" xfId="0" applyFont="1" applyFill="1" applyBorder="1"/>
    <xf numFmtId="172" fontId="11" fillId="10" borderId="41" xfId="0" applyNumberFormat="1" applyFont="1" applyFill="1" applyBorder="1" applyAlignment="1">
      <alignment horizontal="right"/>
    </xf>
    <xf numFmtId="0" fontId="22" fillId="0" borderId="0" xfId="0" applyFont="1"/>
    <xf numFmtId="164" fontId="22" fillId="0" borderId="0" xfId="0" applyNumberFormat="1" applyFont="1" applyAlignment="1">
      <alignment horizontal="right"/>
    </xf>
    <xf numFmtId="164" fontId="22" fillId="0" borderId="0" xfId="0" applyNumberFormat="1" applyFont="1"/>
    <xf numFmtId="0" fontId="23" fillId="0" borderId="1" xfId="0" applyFont="1" applyBorder="1"/>
    <xf numFmtId="0" fontId="12" fillId="0" borderId="0" xfId="0" applyFont="1"/>
    <xf numFmtId="17" fontId="12" fillId="0" borderId="0" xfId="0" applyNumberFormat="1" applyFont="1"/>
    <xf numFmtId="16" fontId="12" fillId="0" borderId="0" xfId="0" applyNumberFormat="1" applyFont="1"/>
    <xf numFmtId="173" fontId="12" fillId="0" borderId="0" xfId="0" applyNumberFormat="1" applyFont="1"/>
    <xf numFmtId="174" fontId="12" fillId="0" borderId="0" xfId="0" applyNumberFormat="1" applyFont="1"/>
    <xf numFmtId="0" fontId="21" fillId="0" borderId="47" xfId="0" applyFont="1" applyBorder="1"/>
    <xf numFmtId="0" fontId="21" fillId="0" borderId="48" xfId="0" applyFont="1" applyBorder="1"/>
    <xf numFmtId="0" fontId="21" fillId="0" borderId="48" xfId="0" applyFont="1" applyBorder="1" applyAlignment="1">
      <alignment horizontal="right"/>
    </xf>
    <xf numFmtId="0" fontId="24" fillId="0" borderId="0" xfId="0" applyFont="1"/>
    <xf numFmtId="0" fontId="25" fillId="0" borderId="0" xfId="0" applyFont="1"/>
    <xf numFmtId="0" fontId="21" fillId="0" borderId="0" xfId="0" applyFont="1"/>
    <xf numFmtId="0" fontId="26" fillId="0" borderId="0" xfId="0" applyFont="1"/>
    <xf numFmtId="0" fontId="21" fillId="0" borderId="0" xfId="0" applyFont="1" applyAlignment="1">
      <alignment horizontal="right"/>
    </xf>
    <xf numFmtId="9" fontId="1" fillId="0" borderId="0" xfId="0" applyNumberFormat="1" applyFont="1"/>
    <xf numFmtId="0" fontId="27" fillId="11" borderId="49" xfId="0" applyFont="1" applyFill="1" applyBorder="1"/>
    <xf numFmtId="0" fontId="21" fillId="11" borderId="49" xfId="0" applyFont="1" applyFill="1" applyBorder="1"/>
    <xf numFmtId="0" fontId="28" fillId="11" borderId="49" xfId="0" applyFont="1" applyFill="1" applyBorder="1"/>
    <xf numFmtId="0" fontId="29" fillId="11" borderId="49" xfId="0" applyFont="1" applyFill="1" applyBorder="1" applyAlignment="1">
      <alignment horizontal="center" wrapText="1"/>
    </xf>
    <xf numFmtId="0" fontId="30" fillId="11" borderId="49" xfId="0" applyFont="1" applyFill="1" applyBorder="1"/>
    <xf numFmtId="0" fontId="31" fillId="11" borderId="49" xfId="0" applyFont="1" applyFill="1" applyBorder="1" applyAlignment="1">
      <alignment horizontal="center"/>
    </xf>
    <xf numFmtId="0" fontId="21" fillId="12" borderId="50" xfId="0" applyFont="1" applyFill="1" applyBorder="1"/>
    <xf numFmtId="0" fontId="32" fillId="13" borderId="50" xfId="0" applyFont="1" applyFill="1" applyBorder="1"/>
    <xf numFmtId="0" fontId="21" fillId="13" borderId="50" xfId="0" applyFont="1" applyFill="1" applyBorder="1"/>
    <xf numFmtId="175" fontId="33" fillId="13" borderId="50" xfId="0" applyNumberFormat="1" applyFont="1" applyFill="1" applyBorder="1"/>
    <xf numFmtId="176" fontId="34" fillId="13" borderId="50" xfId="0" applyNumberFormat="1" applyFont="1" applyFill="1" applyBorder="1" applyAlignment="1">
      <alignment horizontal="center"/>
    </xf>
    <xf numFmtId="0" fontId="34" fillId="0" borderId="0" xfId="0" applyFont="1"/>
    <xf numFmtId="175" fontId="33" fillId="0" borderId="0" xfId="0" applyNumberFormat="1" applyFont="1"/>
    <xf numFmtId="0" fontId="34" fillId="0" borderId="0" xfId="0" applyFont="1" applyAlignment="1">
      <alignment horizontal="center"/>
    </xf>
    <xf numFmtId="0" fontId="34" fillId="14" borderId="0" xfId="0" applyFont="1" applyFill="1" applyAlignment="1">
      <alignment horizontal="center"/>
    </xf>
    <xf numFmtId="171" fontId="2" fillId="0" borderId="0" xfId="0" applyNumberFormat="1" applyFont="1"/>
    <xf numFmtId="175" fontId="21" fillId="0" borderId="0" xfId="0" applyNumberFormat="1" applyFont="1"/>
    <xf numFmtId="0" fontId="21" fillId="14" borderId="0" xfId="0" applyFont="1" applyFill="1"/>
    <xf numFmtId="0" fontId="21" fillId="17" borderId="47" xfId="0" applyFont="1" applyFill="1" applyBorder="1"/>
    <xf numFmtId="0" fontId="21" fillId="16" borderId="47" xfId="0" applyFont="1" applyFill="1" applyBorder="1"/>
    <xf numFmtId="0" fontId="2" fillId="2" borderId="0" xfId="0" applyFont="1" applyFill="1"/>
    <xf numFmtId="0" fontId="2" fillId="15" borderId="0" xfId="0" applyFont="1" applyFill="1"/>
    <xf numFmtId="0" fontId="2" fillId="17" borderId="0" xfId="0" applyFont="1" applyFill="1"/>
    <xf numFmtId="0" fontId="2" fillId="16" borderId="0" xfId="0" applyFont="1" applyFill="1"/>
    <xf numFmtId="0" fontId="1" fillId="17" borderId="0" xfId="0" applyFont="1" applyFill="1"/>
    <xf numFmtId="0" fontId="25" fillId="17" borderId="50" xfId="0" applyFont="1" applyFill="1" applyBorder="1"/>
    <xf numFmtId="0" fontId="25" fillId="16" borderId="50" xfId="0" applyFont="1" applyFill="1" applyBorder="1"/>
    <xf numFmtId="0" fontId="24" fillId="16" borderId="0" xfId="0" applyFont="1" applyFill="1"/>
    <xf numFmtId="0" fontId="25" fillId="16" borderId="0" xfId="0" applyFont="1" applyFill="1"/>
    <xf numFmtId="0" fontId="1" fillId="16" borderId="0" xfId="0" applyFont="1" applyFill="1"/>
    <xf numFmtId="0" fontId="0" fillId="0" borderId="0" xfId="0"/>
    <xf numFmtId="0" fontId="5" fillId="2" borderId="2" xfId="0" applyFont="1" applyFill="1" applyBorder="1" applyAlignment="1">
      <alignment horizontal="center"/>
    </xf>
    <xf numFmtId="0" fontId="6" fillId="0" borderId="5" xfId="0" applyFont="1" applyBorder="1"/>
    <xf numFmtId="0" fontId="14" fillId="4" borderId="15" xfId="0" applyFont="1" applyFill="1" applyBorder="1" applyAlignment="1">
      <alignment horizontal="center" wrapText="1"/>
    </xf>
    <xf numFmtId="0" fontId="6" fillId="0" borderId="21" xfId="0" applyFont="1" applyBorder="1"/>
    <xf numFmtId="0" fontId="14" fillId="4" borderId="16" xfId="0" applyFont="1" applyFill="1" applyBorder="1" applyAlignment="1">
      <alignment horizontal="center" wrapText="1"/>
    </xf>
    <xf numFmtId="0" fontId="6" fillId="0" borderId="16" xfId="0" applyFont="1" applyBorder="1"/>
    <xf numFmtId="0" fontId="6" fillId="0" borderId="17" xfId="0" applyFont="1" applyBorder="1"/>
    <xf numFmtId="0" fontId="14" fillId="4" borderId="18" xfId="0" applyFont="1" applyFill="1" applyBorder="1" applyAlignment="1">
      <alignment horizontal="center" wrapText="1"/>
    </xf>
    <xf numFmtId="0" fontId="6" fillId="0" borderId="19" xfId="0" applyFont="1" applyBorder="1"/>
    <xf numFmtId="0" fontId="14" fillId="4" borderId="20" xfId="0" applyFont="1" applyFill="1" applyBorder="1" applyAlignment="1">
      <alignment horizontal="center" wrapText="1"/>
    </xf>
    <xf numFmtId="0" fontId="6" fillId="0" borderId="22" xfId="0" applyFont="1" applyBorder="1"/>
    <xf numFmtId="0" fontId="11" fillId="0" borderId="34" xfId="0" applyFont="1" applyBorder="1" applyAlignment="1">
      <alignment horizontal="center"/>
    </xf>
    <xf numFmtId="0" fontId="6" fillId="0" borderId="7" xfId="0" applyFont="1" applyBorder="1"/>
    <xf numFmtId="0" fontId="1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6" fillId="0" borderId="0" xfId="0" applyFont="1" applyAlignment="1">
      <alignment horizontal="center"/>
    </xf>
  </cellXfs>
  <cellStyles count="1">
    <cellStyle name="Normal" xfId="0" builtinId="0"/>
  </cellStyles>
  <dxfs count="9">
    <dxf>
      <fill>
        <patternFill patternType="solid">
          <fgColor rgb="FFBDD6EE"/>
          <bgColor rgb="FFBDD6EE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6524"/>
          <bgColor rgb="FFF46524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3">
    <tableStyle name="Acum-style" pivot="0" count="3" xr9:uid="{00000000-0011-0000-FFFF-FFFF00000000}">
      <tableStyleElement type="headerRow" dxfId="8"/>
      <tableStyleElement type="firstRowStripe" dxfId="7"/>
      <tableStyleElement type="secondRowStripe" dxfId="6"/>
    </tableStyle>
    <tableStyle name="Parcial 1-style" pivot="0" count="3" xr9:uid="{00000000-0011-0000-FFFF-FFFF01000000}">
      <tableStyleElement type="headerRow" dxfId="5"/>
      <tableStyleElement type="firstRowStripe" dxfId="4"/>
      <tableStyleElement type="secondRowStripe" dxfId="3"/>
    </tableStyle>
    <tableStyle name="Partic-style" pivot="0" count="3" xr9:uid="{00000000-0011-0000-FFFF-FFFF02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Relationship Id="rId19" Type="http://schemas.openxmlformats.org/officeDocument/2006/relationships/worksheet" Target="worksheets/sheet1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Q31">
  <tableColumns count="17">
    <tableColumn id="1" xr3:uid="{00000000-0010-0000-0000-000001000000}" name="CEDULA"/>
    <tableColumn id="2" xr3:uid="{00000000-0010-0000-0000-000002000000}" name="APELLIDO"/>
    <tableColumn id="3" xr3:uid="{00000000-0010-0000-0000-000003000000}" name="NOMBRE"/>
    <tableColumn id="4" xr3:uid="{00000000-0010-0000-0000-000004000000}" name="Correo Unimet"/>
    <tableColumn id="5" xr3:uid="{00000000-0010-0000-0000-000005000000}" name="Estatus"/>
    <tableColumn id="6" xr3:uid="{00000000-0010-0000-0000-000006000000}" name="Eval Cont"/>
    <tableColumn id="7" xr3:uid="{00000000-0010-0000-0000-000007000000}" name="Quiz 1"/>
    <tableColumn id="8" xr3:uid="{00000000-0010-0000-0000-000008000000}" name="Parcial 1"/>
    <tableColumn id="9" xr3:uid="{00000000-0010-0000-0000-000009000000}" name="Quiz 2"/>
    <tableColumn id="10" xr3:uid="{00000000-0010-0000-0000-00000A000000}" name="Proyecto"/>
    <tableColumn id="11" xr3:uid="{00000000-0010-0000-0000-00000B000000}" name="Parcial 2"/>
    <tableColumn id="12" xr3:uid="{00000000-0010-0000-0000-00000C000000}" name="XTRA"/>
    <tableColumn id="13" xr3:uid="{00000000-0010-0000-0000-00000D000000}" name="Total"/>
    <tableColumn id="14" xr3:uid="{00000000-0010-0000-0000-00000E000000}" name="Escala 20"/>
    <tableColumn id="15" xr3:uid="{00000000-0010-0000-0000-00000F000000}" name="Partic"/>
    <tableColumn id="16" xr3:uid="{00000000-0010-0000-0000-000010000000}" name="Tareas"/>
    <tableColumn id="17" xr3:uid="{00000000-0010-0000-0000-000011000000}" name="Def"/>
  </tableColumns>
  <tableStyleInfo name="Acum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H30">
  <tableColumns count="8">
    <tableColumn id="1" xr3:uid="{00000000-0010-0000-0100-000001000000}" name="CEDULA"/>
    <tableColumn id="2" xr3:uid="{00000000-0010-0000-0100-000002000000}" name="APELLIDO"/>
    <tableColumn id="3" xr3:uid="{00000000-0010-0000-0100-000003000000}" name="NOMBRE"/>
    <tableColumn id="4" xr3:uid="{00000000-0010-0000-0100-000004000000}" name="V/F"/>
    <tableColumn id="5" xr3:uid="{00000000-0010-0000-0100-000005000000}" name="Selec"/>
    <tableColumn id="6" xr3:uid="{00000000-0010-0000-0100-000006000000}" name="Complet"/>
    <tableColumn id="7" xr3:uid="{00000000-0010-0000-0100-000007000000}" name="Desarrollo"/>
    <tableColumn id="8" xr3:uid="{00000000-0010-0000-0100-000008000000}" name="Total"/>
  </tableColumns>
  <tableStyleInfo name="Parcial 1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T32" headerRowCount="0">
  <tableColumns count="20">
    <tableColumn id="1" xr3:uid="{00000000-0010-0000-0200-000001000000}" name="Column1"/>
    <tableColumn id="2" xr3:uid="{00000000-0010-0000-0200-000002000000}" name="Column2"/>
    <tableColumn id="3" xr3:uid="{00000000-0010-0000-0200-000003000000}" name="Column3"/>
    <tableColumn id="4" xr3:uid="{00000000-0010-0000-0200-000004000000}" name="Column4"/>
    <tableColumn id="5" xr3:uid="{00000000-0010-0000-0200-000005000000}" name="Column5"/>
    <tableColumn id="6" xr3:uid="{00000000-0010-0000-0200-000006000000}" name="Column6"/>
    <tableColumn id="7" xr3:uid="{00000000-0010-0000-0200-000007000000}" name="Column7"/>
    <tableColumn id="8" xr3:uid="{00000000-0010-0000-0200-000008000000}" name="Column8"/>
    <tableColumn id="9" xr3:uid="{00000000-0010-0000-0200-000009000000}" name="Column9"/>
    <tableColumn id="10" xr3:uid="{00000000-0010-0000-0200-00000A000000}" name="Column10"/>
    <tableColumn id="11" xr3:uid="{00000000-0010-0000-0200-00000B000000}" name="Column11"/>
    <tableColumn id="12" xr3:uid="{00000000-0010-0000-0200-00000C000000}" name="Column12"/>
    <tableColumn id="13" xr3:uid="{00000000-0010-0000-0200-00000D000000}" name="Column13"/>
    <tableColumn id="14" xr3:uid="{00000000-0010-0000-0200-00000E000000}" name="Column14"/>
    <tableColumn id="15" xr3:uid="{00000000-0010-0000-0200-00000F000000}" name="Column15"/>
    <tableColumn id="16" xr3:uid="{00000000-0010-0000-0200-000010000000}" name="Column16"/>
    <tableColumn id="17" xr3:uid="{00000000-0010-0000-0200-000011000000}" name="Column17"/>
    <tableColumn id="18" xr3:uid="{00000000-0010-0000-0200-000012000000}" name="Column18"/>
    <tableColumn id="19" xr3:uid="{00000000-0010-0000-0200-000013000000}" name="Column19"/>
    <tableColumn id="20" xr3:uid="{00000000-0010-0000-0200-000014000000}" name="Column20"/>
  </tableColumns>
  <tableStyleInfo name="Partic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2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1000"/>
  <sheetViews>
    <sheetView workbookViewId="0">
      <pane xSplit="3" ySplit="1" topLeftCell="D2" activePane="bottomRight" state="frozen"/>
      <selection activeCell="M29" sqref="M29"/>
      <selection pane="topRight" activeCell="M29" sqref="M29"/>
      <selection pane="bottomLeft" activeCell="M29" sqref="M29"/>
      <selection pane="bottomRight" activeCell="B2" sqref="B2:B31"/>
    </sheetView>
  </sheetViews>
  <sheetFormatPr baseColWidth="10" defaultColWidth="14.5" defaultRowHeight="15" customHeight="1"/>
  <cols>
    <col min="1" max="1" width="9.5" customWidth="1"/>
    <col min="2" max="2" width="10.5" customWidth="1"/>
    <col min="3" max="3" width="9.33203125" customWidth="1"/>
    <col min="4" max="4" width="18.1640625" hidden="1" customWidth="1"/>
    <col min="5" max="6" width="9" customWidth="1"/>
    <col min="7" max="7" width="8.83203125" customWidth="1"/>
    <col min="8" max="8" width="8.33203125" customWidth="1"/>
    <col min="9" max="9" width="7.83203125" customWidth="1"/>
    <col min="10" max="10" width="8.6640625" customWidth="1"/>
    <col min="11" max="11" width="8.33203125" customWidth="1"/>
    <col min="12" max="12" width="6.6640625" customWidth="1"/>
    <col min="13" max="14" width="9" customWidth="1"/>
    <col min="15" max="15" width="6" customWidth="1"/>
    <col min="16" max="16" width="6.5" customWidth="1"/>
    <col min="17" max="17" width="6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 t="s">
        <v>18</v>
      </c>
      <c r="C2" s="2" t="s">
        <v>19</v>
      </c>
      <c r="D2" s="3" t="s">
        <v>20</v>
      </c>
      <c r="E2" s="2"/>
      <c r="F2" s="4">
        <f>VLOOKUP(LEFT(D2,LEN(D2)-1),'Eval. Cont.'!$A$2:$Q$31,17,FALSE)</f>
        <v>16.405000000000001</v>
      </c>
      <c r="G2" s="5">
        <f>'Quiz 1'!G3/2</f>
        <v>10</v>
      </c>
      <c r="H2" s="6" t="e">
        <f ca="1">_xludf.ifna(VLOOKUP(VALUE(A2),'Parcial 1'!$A$2:$H$30,8,FALSE),"")</f>
        <v>#NAME?</v>
      </c>
      <c r="I2" s="5">
        <f>'Quiz 2'!L3/2</f>
        <v>8.5</v>
      </c>
      <c r="J2" s="4" t="e">
        <f ca="1">_xludf.ifna(VLOOKUP(VALUE(A2),Proyecto!$A$3:$AA$24,27, FALSE),"")</f>
        <v>#NAME?</v>
      </c>
      <c r="K2" s="6" t="e">
        <f ca="1">_xludf.ifna(VLOOKUP(VALUE(A2),'Parcial 2'!$A$2:$G$21,7,FALSE),"")</f>
        <v>#NAME?</v>
      </c>
      <c r="L2" s="7" t="e">
        <f ca="1">_xludf.ifna(VLOOKUP(LEFT(D2,LEN(D2)-1),Xtra!$C$6:$N$53,12,FALSE),"")</f>
        <v>#NAME?</v>
      </c>
      <c r="M2" s="8" t="e">
        <f t="shared" ref="M2:M31" ca="1" si="0">SUM(F2:L2)</f>
        <v>#NAME?</v>
      </c>
      <c r="N2" s="9" t="e">
        <f t="shared" ref="N2:N31" ca="1" si="1">M2/5</f>
        <v>#NAME?</v>
      </c>
      <c r="O2" s="10">
        <f>Partic!T2/(COUNTA(Partic!D$1:T$1)-1)</f>
        <v>0.125</v>
      </c>
      <c r="P2" s="10">
        <f>VLOOKUP(LEFT(D2,LEN(D2)-1),Tareas!$A$2:$Q$31,17,FALSE)</f>
        <v>0.2857142857142857</v>
      </c>
      <c r="Q2" s="11" t="e">
        <f t="shared" ref="Q2:Q24" ca="1" si="2">IF(E2="Retirado","R",N2+MAX(O2:P2))</f>
        <v>#NAME?</v>
      </c>
    </row>
    <row r="3" spans="1:17">
      <c r="A3" s="2" t="s">
        <v>21</v>
      </c>
      <c r="B3" s="2" t="s">
        <v>22</v>
      </c>
      <c r="C3" s="2" t="s">
        <v>23</v>
      </c>
      <c r="D3" s="3" t="s">
        <v>24</v>
      </c>
      <c r="E3" s="2"/>
      <c r="F3" s="4">
        <f>VLOOKUP(LEFT(D3,LEN(D3)-1),'Eval. Cont.'!$A$2:$Q$31,17,FALSE)</f>
        <v>17.430714285714284</v>
      </c>
      <c r="G3" s="5">
        <f>'Quiz 1'!G4/2</f>
        <v>11.25</v>
      </c>
      <c r="H3" s="6" t="e">
        <f ca="1">_xludf.ifna(VLOOKUP(VALUE(A3),'Parcial 1'!$A$2:$H$30,8,FALSE),"")</f>
        <v>#NAME?</v>
      </c>
      <c r="I3" s="5">
        <f>'Quiz 2'!L4/2</f>
        <v>2.5</v>
      </c>
      <c r="J3" s="4" t="e">
        <f ca="1">_xludf.ifna(VLOOKUP(VALUE(A3),Proyecto!$A$3:$AA$24,27, FALSE),"")</f>
        <v>#NAME?</v>
      </c>
      <c r="K3" s="6" t="e">
        <f ca="1">_xludf.ifna(VLOOKUP(VALUE(A3),'Parcial 2'!$A$2:$G$21,7,FALSE),"")</f>
        <v>#NAME?</v>
      </c>
      <c r="L3" s="7" t="e">
        <f ca="1">_xludf.ifna(VLOOKUP(LEFT(D3,LEN(D3)-1),Xtra!$C$6:$N$53,12,FALSE),"")</f>
        <v>#NAME?</v>
      </c>
      <c r="M3" s="8" t="e">
        <f t="shared" ca="1" si="0"/>
        <v>#NAME?</v>
      </c>
      <c r="N3" s="9" t="e">
        <f t="shared" ca="1" si="1"/>
        <v>#NAME?</v>
      </c>
      <c r="O3" s="10">
        <f>Partic!T3/(COUNTA(Partic!D$1:T$1)-1)</f>
        <v>0</v>
      </c>
      <c r="P3" s="10">
        <f>VLOOKUP(LEFT(D3,LEN(D3)-1),Tareas!$A$2:$Q$31,17,FALSE)</f>
        <v>0.8571428571428571</v>
      </c>
      <c r="Q3" s="11" t="e">
        <f t="shared" ca="1" si="2"/>
        <v>#NAME?</v>
      </c>
    </row>
    <row r="4" spans="1:17">
      <c r="A4" s="2" t="s">
        <v>25</v>
      </c>
      <c r="B4" s="2" t="s">
        <v>26</v>
      </c>
      <c r="C4" s="2" t="s">
        <v>27</v>
      </c>
      <c r="D4" s="3" t="s">
        <v>28</v>
      </c>
      <c r="E4" s="2"/>
      <c r="F4" s="4">
        <f>VLOOKUP(LEFT(D4,LEN(D4)-1),'Eval. Cont.'!$A$2:$Q$31,17,FALSE)</f>
        <v>18.578571428571429</v>
      </c>
      <c r="G4" s="5">
        <f>'Quiz 1'!G5/2</f>
        <v>0.5</v>
      </c>
      <c r="H4" s="6" t="e">
        <f ca="1">_xludf.ifna(VLOOKUP(VALUE(A4),'Parcial 1'!$A$2:$H$30,8,FALSE),"")</f>
        <v>#NAME?</v>
      </c>
      <c r="I4" s="5">
        <f>'Quiz 2'!L5/2</f>
        <v>2.25</v>
      </c>
      <c r="J4" s="4" t="e">
        <f ca="1">_xludf.ifna(VLOOKUP(VALUE(A4),Proyecto!$A$3:$AA$24,27, FALSE),"")</f>
        <v>#NAME?</v>
      </c>
      <c r="K4" s="6" t="e">
        <f ca="1">_xludf.ifna(VLOOKUP(VALUE(A4),'Parcial 2'!$A$2:$G$21,7,FALSE),"")</f>
        <v>#NAME?</v>
      </c>
      <c r="L4" s="7" t="e">
        <f ca="1">_xludf.ifna(VLOOKUP(LEFT(D4,LEN(D4)-1),Xtra!$C$6:$N$53,12,FALSE),"")</f>
        <v>#NAME?</v>
      </c>
      <c r="M4" s="8" t="e">
        <f t="shared" ca="1" si="0"/>
        <v>#NAME?</v>
      </c>
      <c r="N4" s="9" t="e">
        <f t="shared" ca="1" si="1"/>
        <v>#NAME?</v>
      </c>
      <c r="O4" s="10">
        <f>Partic!T4/(COUNTA(Partic!D$1:T$1)-1)</f>
        <v>1.0625</v>
      </c>
      <c r="P4" s="10">
        <f>VLOOKUP(LEFT(D4,LEN(D4)-1),Tareas!$A$2:$Q$31,17,FALSE)</f>
        <v>0.9285714285714286</v>
      </c>
      <c r="Q4" s="11" t="e">
        <f t="shared" ca="1" si="2"/>
        <v>#NAME?</v>
      </c>
    </row>
    <row r="5" spans="1:17">
      <c r="A5" s="2" t="s">
        <v>29</v>
      </c>
      <c r="B5" s="2" t="s">
        <v>30</v>
      </c>
      <c r="C5" s="2" t="s">
        <v>31</v>
      </c>
      <c r="D5" s="3" t="s">
        <v>32</v>
      </c>
      <c r="E5" s="2"/>
      <c r="F5" s="4">
        <f>VLOOKUP(LEFT(D5,LEN(D5)-1),'Eval. Cont.'!$A$2:$Q$31,17,FALSE)</f>
        <v>17</v>
      </c>
      <c r="G5" s="5">
        <f>'Quiz 1'!G6/2</f>
        <v>11.5</v>
      </c>
      <c r="H5" s="6" t="e">
        <f ca="1">_xludf.ifna(VLOOKUP(VALUE(A5),'Parcial 1'!$A$2:$H$30,8,FALSE),"")</f>
        <v>#NAME?</v>
      </c>
      <c r="I5" s="5">
        <f>'Quiz 2'!L6/2</f>
        <v>2.75</v>
      </c>
      <c r="J5" s="4" t="e">
        <f ca="1">_xludf.ifna(VLOOKUP(VALUE(A5),Proyecto!$A$3:$AA$24,27, FALSE),"")</f>
        <v>#NAME?</v>
      </c>
      <c r="K5" s="6" t="e">
        <f ca="1">_xludf.ifna(VLOOKUP(VALUE(A5),'Parcial 2'!$A$2:$G$21,7,FALSE),"")</f>
        <v>#NAME?</v>
      </c>
      <c r="L5" s="7" t="e">
        <f ca="1">_xludf.ifna(VLOOKUP(LEFT(D5,LEN(D5)-1),Xtra!$C$6:$N$53,12,FALSE),"")</f>
        <v>#NAME?</v>
      </c>
      <c r="M5" s="8" t="e">
        <f t="shared" ca="1" si="0"/>
        <v>#NAME?</v>
      </c>
      <c r="N5" s="9" t="e">
        <f t="shared" ca="1" si="1"/>
        <v>#NAME?</v>
      </c>
      <c r="O5" s="10">
        <f>Partic!T5/(COUNTA(Partic!D$1:T$1)-1)</f>
        <v>0.125</v>
      </c>
      <c r="P5" s="10">
        <f>VLOOKUP(LEFT(D5,LEN(D5)-1),Tareas!$A$2:$Q$31,17,FALSE)</f>
        <v>0.9285714285714286</v>
      </c>
      <c r="Q5" s="11" t="e">
        <f t="shared" ca="1" si="2"/>
        <v>#NAME?</v>
      </c>
    </row>
    <row r="6" spans="1:17">
      <c r="A6" s="2" t="s">
        <v>33</v>
      </c>
      <c r="B6" s="2" t="s">
        <v>34</v>
      </c>
      <c r="C6" s="2" t="s">
        <v>35</v>
      </c>
      <c r="D6" s="3" t="s">
        <v>36</v>
      </c>
      <c r="E6" s="2" t="s">
        <v>37</v>
      </c>
      <c r="F6" s="4">
        <f>VLOOKUP(LEFT(D6,LEN(D6)-1),'Eval. Cont.'!$A$2:$Q$31,17,FALSE)</f>
        <v>11.928571428571429</v>
      </c>
      <c r="G6" s="5">
        <f>'Quiz 1'!G7/2</f>
        <v>4.25</v>
      </c>
      <c r="H6" s="6" t="e">
        <f ca="1">_xludf.ifna(VLOOKUP(VALUE(A6),'Parcial 1'!$A$2:$H$30,8,FALSE),"")</f>
        <v>#NAME?</v>
      </c>
      <c r="I6" s="5"/>
      <c r="J6" s="4" t="e">
        <f ca="1">_xludf.ifna(VLOOKUP(VALUE(A6),Proyecto!$A$3:$AA$24,27, FALSE),"")</f>
        <v>#NAME?</v>
      </c>
      <c r="K6" s="6" t="e">
        <f ca="1">_xludf.ifna(VLOOKUP(VALUE(A6),'Parcial 2'!$A$2:$G$21,7,FALSE),"")</f>
        <v>#NAME?</v>
      </c>
      <c r="L6" s="7" t="e">
        <f ca="1">_xludf.ifna(VLOOKUP(LEFT(D6,LEN(D6)-1),Xtra!$C$6:$N$53,12,FALSE),"")</f>
        <v>#NAME?</v>
      </c>
      <c r="M6" s="8" t="e">
        <f t="shared" ca="1" si="0"/>
        <v>#NAME?</v>
      </c>
      <c r="N6" s="9" t="e">
        <f t="shared" ca="1" si="1"/>
        <v>#NAME?</v>
      </c>
      <c r="O6" s="10">
        <f>Partic!T6/(COUNTA(Partic!D$1:T$1)-1)</f>
        <v>0.625</v>
      </c>
      <c r="P6" s="10">
        <f>VLOOKUP(LEFT(D6,LEN(D6)-1),Tareas!$A$2:$Q$31,17,FALSE)</f>
        <v>0.35714285714285715</v>
      </c>
      <c r="Q6" s="11" t="str">
        <f t="shared" si="2"/>
        <v>R</v>
      </c>
    </row>
    <row r="7" spans="1:17">
      <c r="A7" s="2" t="s">
        <v>38</v>
      </c>
      <c r="B7" s="2" t="s">
        <v>39</v>
      </c>
      <c r="C7" s="2" t="s">
        <v>40</v>
      </c>
      <c r="D7" s="3" t="s">
        <v>41</v>
      </c>
      <c r="E7" s="2" t="s">
        <v>37</v>
      </c>
      <c r="F7" s="4">
        <f>VLOOKUP(LEFT(D7,LEN(D7)-1),'Eval. Cont.'!$A$2:$Q$31,17,FALSE)</f>
        <v>5.8807142857142853</v>
      </c>
      <c r="G7" s="5">
        <f>'Quiz 1'!G8/2</f>
        <v>0</v>
      </c>
      <c r="H7" s="6" t="e">
        <f ca="1">_xludf.ifna(VLOOKUP(VALUE(A7),'Parcial 1'!$A$2:$H$30,8,FALSE),"")</f>
        <v>#NAME?</v>
      </c>
      <c r="I7" s="5"/>
      <c r="J7" s="4" t="e">
        <f ca="1">_xludf.ifna(VLOOKUP(VALUE(A7),Proyecto!$A$3:$AA$24,27, FALSE),"")</f>
        <v>#NAME?</v>
      </c>
      <c r="K7" s="6" t="e">
        <f ca="1">_xludf.ifna(VLOOKUP(VALUE(A7),'Parcial 2'!$A$2:$G$21,7,FALSE),"")</f>
        <v>#NAME?</v>
      </c>
      <c r="L7" s="7" t="e">
        <f ca="1">_xludf.ifna(VLOOKUP(LEFT(D7,LEN(D7)-1),Xtra!$C$6:$N$53,12,FALSE),"")</f>
        <v>#NAME?</v>
      </c>
      <c r="M7" s="8" t="e">
        <f t="shared" ca="1" si="0"/>
        <v>#NAME?</v>
      </c>
      <c r="N7" s="9" t="e">
        <f t="shared" ca="1" si="1"/>
        <v>#NAME?</v>
      </c>
      <c r="O7" s="10">
        <f>Partic!T7/(COUNTA(Partic!D$1:T$1)-1)</f>
        <v>0</v>
      </c>
      <c r="P7" s="10">
        <f>VLOOKUP(LEFT(D7,LEN(D7)-1),Tareas!$A$2:$Q$31,17,FALSE)</f>
        <v>0.35714285714285715</v>
      </c>
      <c r="Q7" s="11" t="str">
        <f t="shared" si="2"/>
        <v>R</v>
      </c>
    </row>
    <row r="8" spans="1:17">
      <c r="A8" s="2" t="s">
        <v>42</v>
      </c>
      <c r="B8" s="2" t="s">
        <v>43</v>
      </c>
      <c r="C8" s="2" t="s">
        <v>44</v>
      </c>
      <c r="D8" s="3" t="s">
        <v>45</v>
      </c>
      <c r="E8" s="2"/>
      <c r="F8" s="4">
        <f>VLOOKUP(LEFT(D8,LEN(D8)-1),'Eval. Cont.'!$A$2:$Q$31,17,FALSE)</f>
        <v>13.078571428571427</v>
      </c>
      <c r="G8" s="5">
        <f>'Quiz 1'!G9/2</f>
        <v>1.75</v>
      </c>
      <c r="H8" s="6" t="e">
        <f ca="1">_xludf.ifna(VLOOKUP(VALUE(A8),'Parcial 1'!$A$2:$H$30,8,FALSE),"")</f>
        <v>#NAME?</v>
      </c>
      <c r="I8" s="5">
        <f>'Quiz 2'!L9/2</f>
        <v>1</v>
      </c>
      <c r="J8" s="4" t="e">
        <f ca="1">_xludf.ifna(VLOOKUP(VALUE(A8),Proyecto!$A$3:$AA$24,27, FALSE),"")</f>
        <v>#NAME?</v>
      </c>
      <c r="K8" s="6" t="e">
        <f ca="1">_xludf.ifna(VLOOKUP(VALUE(A8),'Parcial 2'!$A$2:$G$21,7,FALSE),"")</f>
        <v>#NAME?</v>
      </c>
      <c r="L8" s="7" t="e">
        <f ca="1">_xludf.ifna(VLOOKUP(LEFT(D8,LEN(D8)-1),Xtra!$C$6:$N$53,12,FALSE),"")</f>
        <v>#NAME?</v>
      </c>
      <c r="M8" s="8" t="e">
        <f t="shared" ca="1" si="0"/>
        <v>#NAME?</v>
      </c>
      <c r="N8" s="9" t="e">
        <f t="shared" ca="1" si="1"/>
        <v>#NAME?</v>
      </c>
      <c r="O8" s="10">
        <f>Partic!T8/(COUNTA(Partic!D$1:T$1)-1)</f>
        <v>0</v>
      </c>
      <c r="P8" s="10">
        <f>VLOOKUP(LEFT(D8,LEN(D8)-1),Tareas!$A$2:$Q$31,17,FALSE)</f>
        <v>0.21428571428571427</v>
      </c>
      <c r="Q8" s="11" t="e">
        <f t="shared" ca="1" si="2"/>
        <v>#NAME?</v>
      </c>
    </row>
    <row r="9" spans="1:17">
      <c r="A9" s="2" t="s">
        <v>46</v>
      </c>
      <c r="B9" s="2" t="s">
        <v>47</v>
      </c>
      <c r="C9" s="2" t="s">
        <v>48</v>
      </c>
      <c r="D9" s="3" t="s">
        <v>49</v>
      </c>
      <c r="E9" s="2"/>
      <c r="F9" s="4">
        <f>VLOOKUP(LEFT(D9,LEN(D9)-1),'Eval. Cont.'!$A$2:$Q$31,17,FALSE)</f>
        <v>18.285714285714285</v>
      </c>
      <c r="G9" s="5">
        <f>'Quiz 1'!G10/2</f>
        <v>9.5</v>
      </c>
      <c r="H9" s="6" t="e">
        <f ca="1">_xludf.ifna(VLOOKUP(VALUE(A9),'Parcial 1'!$A$2:$H$30,8,FALSE),"")</f>
        <v>#NAME?</v>
      </c>
      <c r="I9" s="5">
        <f>'Quiz 2'!L10/2</f>
        <v>6.5</v>
      </c>
      <c r="J9" s="4" t="e">
        <f ca="1">_xludf.ifna(VLOOKUP(VALUE(A9),Proyecto!$A$3:$AA$24,27, FALSE),"")</f>
        <v>#NAME?</v>
      </c>
      <c r="K9" s="6" t="e">
        <f ca="1">_xludf.ifna(VLOOKUP(VALUE(A9),'Parcial 2'!$A$2:$G$21,7,FALSE),"")</f>
        <v>#NAME?</v>
      </c>
      <c r="L9" s="7" t="e">
        <f ca="1">_xludf.ifna(VLOOKUP(LEFT(D9,LEN(D9)-1),Xtra!$C$6:$N$53,12,FALSE),"")</f>
        <v>#NAME?</v>
      </c>
      <c r="M9" s="8" t="e">
        <f t="shared" ca="1" si="0"/>
        <v>#NAME?</v>
      </c>
      <c r="N9" s="9" t="e">
        <f t="shared" ca="1" si="1"/>
        <v>#NAME?</v>
      </c>
      <c r="O9" s="10">
        <f>Partic!T9/(COUNTA(Partic!D$1:T$1)-1)</f>
        <v>0.5625</v>
      </c>
      <c r="P9" s="10">
        <f>VLOOKUP(LEFT(D9,LEN(D9)-1),Tareas!$A$2:$Q$31,17,FALSE)</f>
        <v>0.8571428571428571</v>
      </c>
      <c r="Q9" s="11" t="e">
        <f t="shared" ca="1" si="2"/>
        <v>#NAME?</v>
      </c>
    </row>
    <row r="10" spans="1:17">
      <c r="A10" s="2" t="s">
        <v>50</v>
      </c>
      <c r="B10" s="2" t="s">
        <v>51</v>
      </c>
      <c r="C10" s="2" t="s">
        <v>52</v>
      </c>
      <c r="D10" s="3" t="s">
        <v>53</v>
      </c>
      <c r="E10" s="2"/>
      <c r="F10" s="4">
        <f>VLOOKUP(LEFT(D10,LEN(D10)-1),'Eval. Cont.'!$A$2:$Q$31,17,FALSE)</f>
        <v>16.607142857142858</v>
      </c>
      <c r="G10" s="5">
        <f>'Quiz 1'!G11/2</f>
        <v>2.25</v>
      </c>
      <c r="H10" s="6" t="e">
        <f ca="1">_xludf.ifna(VLOOKUP(VALUE(A10),'Parcial 1'!$A$2:$H$30,8,FALSE),"")</f>
        <v>#NAME?</v>
      </c>
      <c r="I10" s="5">
        <f>'Quiz 2'!L11/2</f>
        <v>4.375</v>
      </c>
      <c r="J10" s="4" t="e">
        <f ca="1">_xludf.ifna(VLOOKUP(VALUE(A10),Proyecto!$A$3:$AA$24,27, FALSE),"")</f>
        <v>#NAME?</v>
      </c>
      <c r="K10" s="6" t="e">
        <f ca="1">_xludf.ifna(VLOOKUP(VALUE(A10),'Parcial 2'!$A$2:$G$21,7,FALSE),"")</f>
        <v>#NAME?</v>
      </c>
      <c r="L10" s="7" t="e">
        <f ca="1">_xludf.ifna(VLOOKUP(LEFT(D10,LEN(D10)-1),Xtra!$C$6:$N$53,12,FALSE),"")</f>
        <v>#NAME?</v>
      </c>
      <c r="M10" s="8" t="e">
        <f t="shared" ca="1" si="0"/>
        <v>#NAME?</v>
      </c>
      <c r="N10" s="9" t="e">
        <f t="shared" ca="1" si="1"/>
        <v>#NAME?</v>
      </c>
      <c r="O10" s="10">
        <f>Partic!T10/(COUNTA(Partic!D$1:T$1)-1)</f>
        <v>1</v>
      </c>
      <c r="P10" s="10">
        <f>VLOOKUP(LEFT(D10,LEN(D10)-1),Tareas!$A$2:$Q$31,17,FALSE)</f>
        <v>0.5714285714285714</v>
      </c>
      <c r="Q10" s="11" t="e">
        <f t="shared" ca="1" si="2"/>
        <v>#NAME?</v>
      </c>
    </row>
    <row r="11" spans="1:17">
      <c r="A11" s="2" t="s">
        <v>54</v>
      </c>
      <c r="B11" s="2" t="s">
        <v>55</v>
      </c>
      <c r="C11" s="2" t="s">
        <v>56</v>
      </c>
      <c r="D11" s="3" t="s">
        <v>57</v>
      </c>
      <c r="E11" s="2"/>
      <c r="F11" s="4">
        <f>VLOOKUP(LEFT(D11,LEN(D11)-1),'Eval. Cont.'!$A$2:$Q$31,17,FALSE)</f>
        <v>14.167142857142858</v>
      </c>
      <c r="G11" s="5">
        <f>'Quiz 1'!G12/2</f>
        <v>1</v>
      </c>
      <c r="H11" s="6" t="e">
        <f ca="1">_xludf.ifna(VLOOKUP(VALUE(A11),'Parcial 1'!$A$2:$H$30,8,FALSE),"")</f>
        <v>#NAME?</v>
      </c>
      <c r="I11" s="5"/>
      <c r="J11" s="4" t="e">
        <f ca="1">_xludf.ifna(VLOOKUP(VALUE(A11),Proyecto!$A$3:$AA$24,27, FALSE),"")</f>
        <v>#NAME?</v>
      </c>
      <c r="K11" s="6" t="e">
        <f ca="1">_xludf.ifna(VLOOKUP(VALUE(A11),'Parcial 2'!$A$2:$G$21,7,FALSE),"")</f>
        <v>#NAME?</v>
      </c>
      <c r="L11" s="7" t="e">
        <f ca="1">_xludf.ifna(VLOOKUP(LEFT(D11,LEN(D11)-1),Xtra!$C$6:$N$53,12,FALSE),"")</f>
        <v>#NAME?</v>
      </c>
      <c r="M11" s="8" t="e">
        <f t="shared" ca="1" si="0"/>
        <v>#NAME?</v>
      </c>
      <c r="N11" s="9" t="e">
        <f t="shared" ca="1" si="1"/>
        <v>#NAME?</v>
      </c>
      <c r="O11" s="10">
        <f>Partic!T11/(COUNTA(Partic!D$1:T$1)-1)</f>
        <v>1.375</v>
      </c>
      <c r="P11" s="10">
        <f>VLOOKUP(LEFT(D11,LEN(D11)-1),Tareas!$A$2:$Q$31,17,FALSE)</f>
        <v>0.35714285714285715</v>
      </c>
      <c r="Q11" s="11" t="e">
        <f t="shared" ca="1" si="2"/>
        <v>#NAME?</v>
      </c>
    </row>
    <row r="12" spans="1:17">
      <c r="A12" s="2" t="s">
        <v>58</v>
      </c>
      <c r="B12" s="2" t="s">
        <v>59</v>
      </c>
      <c r="C12" s="2" t="s">
        <v>60</v>
      </c>
      <c r="D12" s="3" t="s">
        <v>61</v>
      </c>
      <c r="E12" s="2"/>
      <c r="F12" s="4">
        <f>VLOOKUP(LEFT(D12,LEN(D12)-1),'Eval. Cont.'!$A$2:$Q$31,17,FALSE)</f>
        <v>12.202142857142858</v>
      </c>
      <c r="G12" s="5">
        <f>'Quiz 1'!G13/2</f>
        <v>7.5</v>
      </c>
      <c r="H12" s="6" t="e">
        <f ca="1">_xludf.ifna(VLOOKUP(VALUE(A12),'Parcial 1'!$A$2:$H$30,8,FALSE),"")</f>
        <v>#NAME?</v>
      </c>
      <c r="I12" s="5">
        <f>'Quiz 2'!L13/2</f>
        <v>2.875</v>
      </c>
      <c r="J12" s="4" t="e">
        <f ca="1">_xludf.ifna(VLOOKUP(VALUE(A12),Proyecto!$A$3:$AA$24,27, FALSE),"")</f>
        <v>#NAME?</v>
      </c>
      <c r="K12" s="6" t="e">
        <f ca="1">_xludf.ifna(VLOOKUP(VALUE(A12),'Parcial 2'!$A$2:$G$21,7,FALSE),"")</f>
        <v>#NAME?</v>
      </c>
      <c r="L12" s="7" t="e">
        <f ca="1">_xludf.ifna(VLOOKUP(LEFT(D12,LEN(D12)-1),Xtra!$C$6:$N$53,12,FALSE),"")</f>
        <v>#NAME?</v>
      </c>
      <c r="M12" s="8" t="e">
        <f t="shared" ca="1" si="0"/>
        <v>#NAME?</v>
      </c>
      <c r="N12" s="9" t="e">
        <f t="shared" ca="1" si="1"/>
        <v>#NAME?</v>
      </c>
      <c r="O12" s="10">
        <f>Partic!T12/(COUNTA(Partic!D$1:T$1)-1)</f>
        <v>0.375</v>
      </c>
      <c r="P12" s="10">
        <f>VLOOKUP(LEFT(D12,LEN(D12)-1),Tareas!$A$2:$Q$31,17,FALSE)</f>
        <v>7.1428571428571425E-2</v>
      </c>
      <c r="Q12" s="11" t="e">
        <f t="shared" ca="1" si="2"/>
        <v>#NAME?</v>
      </c>
    </row>
    <row r="13" spans="1:17">
      <c r="A13" s="2" t="s">
        <v>62</v>
      </c>
      <c r="B13" s="2" t="s">
        <v>63</v>
      </c>
      <c r="C13" s="2" t="s">
        <v>64</v>
      </c>
      <c r="D13" s="3" t="s">
        <v>65</v>
      </c>
      <c r="E13" s="2"/>
      <c r="F13" s="4">
        <f>VLOOKUP(LEFT(D13,LEN(D13)-1),'Eval. Cont.'!$A$2:$Q$31,17,FALSE)</f>
        <v>12.762142857142859</v>
      </c>
      <c r="G13" s="5">
        <f>'Quiz 1'!G14/2</f>
        <v>0</v>
      </c>
      <c r="H13" s="6" t="e">
        <f ca="1">_xludf.ifna(VLOOKUP(VALUE(A13),'Parcial 1'!$A$2:$H$30,8,FALSE),"")</f>
        <v>#NAME?</v>
      </c>
      <c r="I13" s="5">
        <f>'Quiz 2'!L14/2</f>
        <v>1</v>
      </c>
      <c r="J13" s="4" t="e">
        <f ca="1">_xludf.ifna(VLOOKUP(VALUE(A13),Proyecto!$A$3:$AA$24,27, FALSE),"")</f>
        <v>#NAME?</v>
      </c>
      <c r="K13" s="6" t="e">
        <f ca="1">_xludf.ifna(VLOOKUP(VALUE(A13),'Parcial 2'!$A$2:$G$21,7,FALSE),"")</f>
        <v>#NAME?</v>
      </c>
      <c r="L13" s="7" t="e">
        <f ca="1">_xludf.ifna(VLOOKUP(LEFT(D13,LEN(D13)-1),Xtra!$C$6:$N$53,12,FALSE),"")</f>
        <v>#NAME?</v>
      </c>
      <c r="M13" s="8" t="e">
        <f t="shared" ca="1" si="0"/>
        <v>#NAME?</v>
      </c>
      <c r="N13" s="9" t="e">
        <f t="shared" ca="1" si="1"/>
        <v>#NAME?</v>
      </c>
      <c r="O13" s="10">
        <f>Partic!T13/(COUNTA(Partic!D$1:T$1)-1)</f>
        <v>0</v>
      </c>
      <c r="P13" s="10">
        <f>VLOOKUP(LEFT(D13,LEN(D13)-1),Tareas!$A$2:$Q$31,17,FALSE)</f>
        <v>0.21428571428571427</v>
      </c>
      <c r="Q13" s="11" t="e">
        <f t="shared" ca="1" si="2"/>
        <v>#NAME?</v>
      </c>
    </row>
    <row r="14" spans="1:17">
      <c r="A14" s="2" t="s">
        <v>66</v>
      </c>
      <c r="B14" s="2" t="s">
        <v>67</v>
      </c>
      <c r="C14" s="2" t="s">
        <v>68</v>
      </c>
      <c r="D14" s="3" t="s">
        <v>69</v>
      </c>
      <c r="E14" s="2"/>
      <c r="F14" s="4">
        <f>VLOOKUP(LEFT(D14,LEN(D14)-1),'Eval. Cont.'!$A$2:$Q$31,17,FALSE)</f>
        <v>16.178571428571427</v>
      </c>
      <c r="G14" s="5">
        <f>'Quiz 1'!G15/2</f>
        <v>7.75</v>
      </c>
      <c r="H14" s="6" t="e">
        <f ca="1">_xludf.ifna(VLOOKUP(VALUE(A14),'Parcial 1'!$A$2:$H$30,8,FALSE),"")</f>
        <v>#NAME?</v>
      </c>
      <c r="I14" s="5">
        <f>'Quiz 2'!L15/2</f>
        <v>2.625</v>
      </c>
      <c r="J14" s="4" t="e">
        <f ca="1">_xludf.ifna(VLOOKUP(VALUE(A14),Proyecto!$A$3:$AA$24,27, FALSE),"")</f>
        <v>#NAME?</v>
      </c>
      <c r="K14" s="6" t="e">
        <f ca="1">_xludf.ifna(VLOOKUP(VALUE(A14),'Parcial 2'!$A$2:$G$21,7,FALSE),"")</f>
        <v>#NAME?</v>
      </c>
      <c r="L14" s="7" t="e">
        <f ca="1">_xludf.ifna(VLOOKUP(LEFT(D14,LEN(D14)-1),Xtra!$C$6:$N$53,12,FALSE),"")</f>
        <v>#NAME?</v>
      </c>
      <c r="M14" s="8" t="e">
        <f t="shared" ca="1" si="0"/>
        <v>#NAME?</v>
      </c>
      <c r="N14" s="9" t="e">
        <f t="shared" ca="1" si="1"/>
        <v>#NAME?</v>
      </c>
      <c r="O14" s="10">
        <f>Partic!T14/(COUNTA(Partic!D$1:T$1)-1)</f>
        <v>0</v>
      </c>
      <c r="P14" s="10">
        <f>VLOOKUP(LEFT(D14,LEN(D14)-1),Tareas!$A$2:$Q$31,17,FALSE)</f>
        <v>0.8571428571428571</v>
      </c>
      <c r="Q14" s="11" t="e">
        <f t="shared" ca="1" si="2"/>
        <v>#NAME?</v>
      </c>
    </row>
    <row r="15" spans="1:17">
      <c r="A15" s="2" t="s">
        <v>70</v>
      </c>
      <c r="B15" s="2" t="s">
        <v>71</v>
      </c>
      <c r="C15" s="2" t="s">
        <v>72</v>
      </c>
      <c r="D15" s="3" t="s">
        <v>73</v>
      </c>
      <c r="E15" s="2"/>
      <c r="F15" s="4">
        <f>VLOOKUP(LEFT(D15,LEN(D15)-1),'Eval. Cont.'!$A$2:$Q$31,17,FALSE)</f>
        <v>18.328571428571429</v>
      </c>
      <c r="G15" s="5">
        <f>'Quiz 1'!G16/2</f>
        <v>5.75</v>
      </c>
      <c r="H15" s="6" t="e">
        <f ca="1">_xludf.ifna(VLOOKUP(VALUE(A15),'Parcial 1'!$A$2:$H$30,8,FALSE),"")</f>
        <v>#NAME?</v>
      </c>
      <c r="I15" s="5">
        <f>'Quiz 2'!L16/2</f>
        <v>4</v>
      </c>
      <c r="J15" s="4" t="e">
        <f ca="1">_xludf.ifna(VLOOKUP(VALUE(A15),Proyecto!$A$3:$AA$24,27, FALSE),"")</f>
        <v>#NAME?</v>
      </c>
      <c r="K15" s="6" t="e">
        <f ca="1">_xludf.ifna(VLOOKUP(VALUE(A15),'Parcial 2'!$A$2:$G$21,7,FALSE),"")</f>
        <v>#NAME?</v>
      </c>
      <c r="L15" s="7" t="e">
        <f ca="1">_xludf.ifna(VLOOKUP(LEFT(D15,LEN(D15)-1),Xtra!$C$6:$N$53,12,FALSE),"")</f>
        <v>#NAME?</v>
      </c>
      <c r="M15" s="8" t="e">
        <f t="shared" ca="1" si="0"/>
        <v>#NAME?</v>
      </c>
      <c r="N15" s="9" t="e">
        <f t="shared" ca="1" si="1"/>
        <v>#NAME?</v>
      </c>
      <c r="O15" s="10">
        <f>Partic!T15/(COUNTA(Partic!D$1:T$1)-1)</f>
        <v>1.4375</v>
      </c>
      <c r="P15" s="10">
        <f>VLOOKUP(LEFT(D15,LEN(D15)-1),Tareas!$A$2:$Q$31,17,FALSE)</f>
        <v>0.35714285714285715</v>
      </c>
      <c r="Q15" s="11" t="e">
        <f t="shared" ca="1" si="2"/>
        <v>#NAME?</v>
      </c>
    </row>
    <row r="16" spans="1:17">
      <c r="A16" s="2" t="s">
        <v>74</v>
      </c>
      <c r="B16" s="2" t="s">
        <v>75</v>
      </c>
      <c r="C16" s="2" t="s">
        <v>76</v>
      </c>
      <c r="D16" s="3" t="s">
        <v>77</v>
      </c>
      <c r="E16" s="2"/>
      <c r="F16" s="4">
        <f>VLOOKUP(LEFT(D16,LEN(D16)-1),'Eval. Cont.'!$A$2:$Q$31,17,FALSE)</f>
        <v>18.464285714285715</v>
      </c>
      <c r="G16" s="5">
        <f>'Quiz 1'!G17/2</f>
        <v>5.25</v>
      </c>
      <c r="H16" s="6" t="e">
        <f ca="1">_xludf.ifna(VLOOKUP(VALUE(A16),'Parcial 1'!$A$2:$H$30,8,FALSE),"")</f>
        <v>#NAME?</v>
      </c>
      <c r="I16" s="5">
        <f>'Quiz 2'!L17/2</f>
        <v>3.125</v>
      </c>
      <c r="J16" s="4" t="e">
        <f ca="1">_xludf.ifna(VLOOKUP(VALUE(A16),Proyecto!$A$3:$AA$24,27, FALSE),"")</f>
        <v>#NAME?</v>
      </c>
      <c r="K16" s="6" t="e">
        <f ca="1">_xludf.ifna(VLOOKUP(VALUE(A16),'Parcial 2'!$A$2:$G$21,7,FALSE),"")</f>
        <v>#NAME?</v>
      </c>
      <c r="L16" s="7" t="e">
        <f ca="1">_xludf.ifna(VLOOKUP(LEFT(D16,LEN(D16)-1),Xtra!$C$6:$N$53,12,FALSE),"")</f>
        <v>#NAME?</v>
      </c>
      <c r="M16" s="8" t="e">
        <f t="shared" ca="1" si="0"/>
        <v>#NAME?</v>
      </c>
      <c r="N16" s="9" t="e">
        <f t="shared" ca="1" si="1"/>
        <v>#NAME?</v>
      </c>
      <c r="O16" s="10">
        <f>Partic!T16/(COUNTA(Partic!D$1:T$1)-1)</f>
        <v>1.5</v>
      </c>
      <c r="P16" s="10">
        <f>VLOOKUP(LEFT(D16,LEN(D16)-1),Tareas!$A$2:$Q$31,17,FALSE)</f>
        <v>0.9285714285714286</v>
      </c>
      <c r="Q16" s="11" t="e">
        <f t="shared" ca="1" si="2"/>
        <v>#NAME?</v>
      </c>
    </row>
    <row r="17" spans="1:17">
      <c r="A17" s="2" t="s">
        <v>78</v>
      </c>
      <c r="B17" s="2" t="s">
        <v>79</v>
      </c>
      <c r="C17" s="2" t="s">
        <v>80</v>
      </c>
      <c r="D17" s="3" t="s">
        <v>81</v>
      </c>
      <c r="E17" s="2" t="s">
        <v>37</v>
      </c>
      <c r="F17" s="4">
        <f>VLOOKUP(LEFT(D17,LEN(D17)-1),'Eval. Cont.'!$A$2:$Q$31,17,FALSE)</f>
        <v>0</v>
      </c>
      <c r="G17" s="5"/>
      <c r="H17" s="6" t="e">
        <f ca="1">_xludf.ifna(VLOOKUP(VALUE(A17),'Parcial 1'!$A$2:$H$30,8,FALSE),"")</f>
        <v>#NAME?</v>
      </c>
      <c r="I17" s="5">
        <f>'Quiz 2'!L18/2</f>
        <v>2.75</v>
      </c>
      <c r="J17" s="4" t="e">
        <f ca="1">_xludf.ifna(VLOOKUP(VALUE(A17),Proyecto!$A$3:$AA$24,27, FALSE),"")</f>
        <v>#NAME?</v>
      </c>
      <c r="K17" s="6" t="e">
        <f ca="1">_xludf.ifna(VLOOKUP(VALUE(A17),'Parcial 2'!$A$2:$G$21,7,FALSE),"")</f>
        <v>#NAME?</v>
      </c>
      <c r="L17" s="7" t="e">
        <f ca="1">_xludf.ifna(VLOOKUP(LEFT(D17,LEN(D17)-1),Xtra!$C$6:$N$53,12,FALSE),"")</f>
        <v>#NAME?</v>
      </c>
      <c r="M17" s="8" t="e">
        <f t="shared" ca="1" si="0"/>
        <v>#NAME?</v>
      </c>
      <c r="N17" s="9" t="e">
        <f t="shared" ca="1" si="1"/>
        <v>#NAME?</v>
      </c>
      <c r="O17" s="10">
        <f>Partic!T17/(COUNTA(Partic!D$1:T$1)-1)</f>
        <v>6.25E-2</v>
      </c>
      <c r="P17" s="10">
        <f>VLOOKUP(LEFT(D17,LEN(D17)-1),Tareas!$A$2:$Q$31,17,FALSE)</f>
        <v>0</v>
      </c>
      <c r="Q17" s="11" t="str">
        <f t="shared" si="2"/>
        <v>R</v>
      </c>
    </row>
    <row r="18" spans="1:17">
      <c r="A18" s="2" t="s">
        <v>82</v>
      </c>
      <c r="B18" s="2" t="s">
        <v>83</v>
      </c>
      <c r="C18" s="2" t="s">
        <v>84</v>
      </c>
      <c r="D18" s="3" t="s">
        <v>85</v>
      </c>
      <c r="E18" s="2"/>
      <c r="F18" s="4">
        <f>VLOOKUP(LEFT(D18,LEN(D18)-1),'Eval. Cont.'!$A$2:$Q$31,17,FALSE)</f>
        <v>14.178571428571429</v>
      </c>
      <c r="G18" s="5">
        <f>'Quiz 1'!G19/2</f>
        <v>3.5</v>
      </c>
      <c r="H18" s="6" t="e">
        <f ca="1">_xludf.ifna(VLOOKUP(VALUE(A18),'Parcial 1'!$A$2:$H$30,8,FALSE),"")</f>
        <v>#NAME?</v>
      </c>
      <c r="I18" s="5"/>
      <c r="J18" s="4" t="e">
        <f ca="1">_xludf.ifna(VLOOKUP(VALUE(A18),Proyecto!$A$3:$AA$24,27, FALSE),"")</f>
        <v>#NAME?</v>
      </c>
      <c r="K18" s="6" t="e">
        <f ca="1">_xludf.ifna(VLOOKUP(VALUE(A18),'Parcial 2'!$A$2:$G$21,7,FALSE),"")</f>
        <v>#NAME?</v>
      </c>
      <c r="L18" s="7" t="e">
        <f ca="1">_xludf.ifna(VLOOKUP(LEFT(D18,LEN(D18)-1),Xtra!$C$6:$N$53,12,FALSE),"")</f>
        <v>#NAME?</v>
      </c>
      <c r="M18" s="8" t="e">
        <f t="shared" ca="1" si="0"/>
        <v>#NAME?</v>
      </c>
      <c r="N18" s="9" t="e">
        <f t="shared" ca="1" si="1"/>
        <v>#NAME?</v>
      </c>
      <c r="O18" s="10">
        <f>Partic!T18/(COUNTA(Partic!D$1:T$1)-1)</f>
        <v>6.25E-2</v>
      </c>
      <c r="P18" s="10">
        <f>VLOOKUP(LEFT(D18,LEN(D18)-1),Tareas!$A$2:$Q$31,17,FALSE)</f>
        <v>0</v>
      </c>
      <c r="Q18" s="11" t="e">
        <f t="shared" ca="1" si="2"/>
        <v>#NAME?</v>
      </c>
    </row>
    <row r="19" spans="1:17">
      <c r="A19" s="2" t="s">
        <v>86</v>
      </c>
      <c r="B19" s="2" t="s">
        <v>87</v>
      </c>
      <c r="C19" s="2" t="s">
        <v>88</v>
      </c>
      <c r="D19" s="3" t="s">
        <v>89</v>
      </c>
      <c r="E19" s="2"/>
      <c r="F19" s="4">
        <f>VLOOKUP(LEFT(D19,LEN(D19)-1),'Eval. Cont.'!$A$2:$Q$31,17,FALSE)</f>
        <v>17.559285714285714</v>
      </c>
      <c r="G19" s="5">
        <f>'Quiz 1'!G20/2</f>
        <v>4</v>
      </c>
      <c r="H19" s="6" t="e">
        <f ca="1">_xludf.ifna(VLOOKUP(VALUE(A19),'Parcial 1'!$A$2:$H$30,8,FALSE),"")</f>
        <v>#NAME?</v>
      </c>
      <c r="I19" s="5">
        <f>'Quiz 2'!L19/2</f>
        <v>3.75</v>
      </c>
      <c r="J19" s="4" t="e">
        <f ca="1">_xludf.ifna(VLOOKUP(VALUE(A19),Proyecto!$A$3:$AA$24,27, FALSE),"")</f>
        <v>#NAME?</v>
      </c>
      <c r="K19" s="6" t="e">
        <f ca="1">_xludf.ifna(VLOOKUP(VALUE(A19),'Parcial 2'!$A$2:$G$21,7,FALSE),"")</f>
        <v>#NAME?</v>
      </c>
      <c r="L19" s="7" t="e">
        <f ca="1">_xludf.ifna(VLOOKUP(LEFT(D19,LEN(D19)-1),Xtra!$C$6:$N$53,12,FALSE),"")</f>
        <v>#NAME?</v>
      </c>
      <c r="M19" s="8" t="e">
        <f t="shared" ca="1" si="0"/>
        <v>#NAME?</v>
      </c>
      <c r="N19" s="9" t="e">
        <f t="shared" ca="1" si="1"/>
        <v>#NAME?</v>
      </c>
      <c r="O19" s="10">
        <f>Partic!T19/(COUNTA(Partic!D$1:T$1)-1)</f>
        <v>1.0625</v>
      </c>
      <c r="P19" s="10">
        <f>VLOOKUP(LEFT(D19,LEN(D19)-1),Tareas!$A$2:$Q$31,17,FALSE)</f>
        <v>1</v>
      </c>
      <c r="Q19" s="11" t="e">
        <f t="shared" ca="1" si="2"/>
        <v>#NAME?</v>
      </c>
    </row>
    <row r="20" spans="1:17">
      <c r="A20" s="2" t="s">
        <v>90</v>
      </c>
      <c r="B20" s="2" t="s">
        <v>91</v>
      </c>
      <c r="C20" s="2" t="s">
        <v>92</v>
      </c>
      <c r="D20" s="3" t="s">
        <v>93</v>
      </c>
      <c r="E20" s="2" t="s">
        <v>37</v>
      </c>
      <c r="F20" s="4">
        <f>VLOOKUP(LEFT(D20,LEN(D20)-1),'Eval. Cont.'!$A$2:$Q$31,17,FALSE)</f>
        <v>7.5</v>
      </c>
      <c r="G20" s="5">
        <f>'Quiz 1'!G21/2</f>
        <v>10.75</v>
      </c>
      <c r="H20" s="6" t="e">
        <f ca="1">_xludf.ifna(VLOOKUP(VALUE(A20),'Parcial 1'!$A$2:$H$30,8,FALSE),"")</f>
        <v>#NAME?</v>
      </c>
      <c r="I20" s="5"/>
      <c r="J20" s="4" t="e">
        <f ca="1">_xludf.ifna(VLOOKUP(VALUE(A20),Proyecto!$A$3:$AA$24,27, FALSE),"")</f>
        <v>#NAME?</v>
      </c>
      <c r="K20" s="6" t="e">
        <f ca="1">_xludf.ifna(VLOOKUP(VALUE(A20),'Parcial 2'!$A$2:$G$21,7,FALSE),"")</f>
        <v>#NAME?</v>
      </c>
      <c r="L20" s="7" t="e">
        <f ca="1">_xludf.ifna(VLOOKUP(LEFT(D20,LEN(D20)-1),Xtra!$C$6:$N$53,12,FALSE),"")</f>
        <v>#NAME?</v>
      </c>
      <c r="M20" s="8" t="e">
        <f t="shared" ca="1" si="0"/>
        <v>#NAME?</v>
      </c>
      <c r="N20" s="9" t="e">
        <f t="shared" ca="1" si="1"/>
        <v>#NAME?</v>
      </c>
      <c r="O20" s="10">
        <f>Partic!T20/(COUNTA(Partic!D$1:T$1)-1)</f>
        <v>0</v>
      </c>
      <c r="P20" s="10">
        <f>VLOOKUP(LEFT(D20,LEN(D20)-1),Tareas!$A$2:$Q$31,17,FALSE)</f>
        <v>0.21428571428571427</v>
      </c>
      <c r="Q20" s="11" t="str">
        <f t="shared" si="2"/>
        <v>R</v>
      </c>
    </row>
    <row r="21" spans="1:17">
      <c r="A21" s="2" t="s">
        <v>94</v>
      </c>
      <c r="B21" s="2" t="s">
        <v>95</v>
      </c>
      <c r="C21" s="2" t="s">
        <v>96</v>
      </c>
      <c r="D21" s="3" t="s">
        <v>97</v>
      </c>
      <c r="E21" s="2" t="s">
        <v>37</v>
      </c>
      <c r="F21" s="4">
        <f>VLOOKUP(LEFT(D21,LEN(D21)-1),'Eval. Cont.'!$A$2:$Q$31,17,FALSE)</f>
        <v>4.2614285714285716</v>
      </c>
      <c r="G21" s="5">
        <f>'Quiz 1'!G22/2</f>
        <v>0</v>
      </c>
      <c r="H21" s="6" t="e">
        <f ca="1">_xludf.ifna(VLOOKUP(VALUE(A21),'Parcial 1'!$A$2:$H$30,8,FALSE),"")</f>
        <v>#NAME?</v>
      </c>
      <c r="I21" s="5"/>
      <c r="J21" s="4" t="e">
        <f ca="1">_xludf.ifna(VLOOKUP(VALUE(A21),Proyecto!$A$3:$AA$24,27, FALSE),"")</f>
        <v>#NAME?</v>
      </c>
      <c r="K21" s="6" t="e">
        <f ca="1">_xludf.ifna(VLOOKUP(VALUE(A21),'Parcial 2'!$A$2:$G$21,7,FALSE),"")</f>
        <v>#NAME?</v>
      </c>
      <c r="L21" s="7" t="e">
        <f ca="1">_xludf.ifna(VLOOKUP(LEFT(D21,LEN(D21)-1),Xtra!$C$6:$N$53,12,FALSE),"")</f>
        <v>#NAME?</v>
      </c>
      <c r="M21" s="8" t="e">
        <f t="shared" ca="1" si="0"/>
        <v>#NAME?</v>
      </c>
      <c r="N21" s="9" t="e">
        <f t="shared" ca="1" si="1"/>
        <v>#NAME?</v>
      </c>
      <c r="O21" s="10">
        <f>Partic!T21/(COUNTA(Partic!D$1:T$1)-1)</f>
        <v>0.25</v>
      </c>
      <c r="P21" s="10">
        <f>VLOOKUP(LEFT(D21,LEN(D21)-1),Tareas!$A$2:$Q$31,17,FALSE)</f>
        <v>0.2857142857142857</v>
      </c>
      <c r="Q21" s="11" t="str">
        <f t="shared" si="2"/>
        <v>R</v>
      </c>
    </row>
    <row r="22" spans="1:17">
      <c r="A22" s="2" t="s">
        <v>98</v>
      </c>
      <c r="B22" s="2" t="s">
        <v>99</v>
      </c>
      <c r="C22" s="2" t="s">
        <v>100</v>
      </c>
      <c r="D22" s="3" t="s">
        <v>101</v>
      </c>
      <c r="E22" s="2"/>
      <c r="F22" s="4">
        <f>VLOOKUP(LEFT(D22,LEN(D22)-1),'Eval. Cont.'!$A$2:$Q$31,17,FALSE)</f>
        <v>14.928571428571429</v>
      </c>
      <c r="G22" s="5">
        <f>'Quiz 1'!G23/2</f>
        <v>7.5</v>
      </c>
      <c r="H22" s="6" t="e">
        <f ca="1">_xludf.ifna(VLOOKUP(VALUE(A22),'Parcial 1'!$A$2:$H$30,8,FALSE),"")</f>
        <v>#NAME?</v>
      </c>
      <c r="I22" s="5">
        <f>'Quiz 2'!L23/2</f>
        <v>9.25</v>
      </c>
      <c r="J22" s="4" t="e">
        <f ca="1">_xludf.ifna(VLOOKUP(VALUE(A22),Proyecto!$A$3:$AA$24,27, FALSE),"")</f>
        <v>#NAME?</v>
      </c>
      <c r="K22" s="6" t="e">
        <f ca="1">_xludf.ifna(VLOOKUP(VALUE(A22),'Parcial 2'!$A$2:$G$21,7,FALSE),"")</f>
        <v>#NAME?</v>
      </c>
      <c r="L22" s="7" t="e">
        <f ca="1">_xludf.ifna(VLOOKUP(LEFT(D22,LEN(D22)-1),Xtra!$C$6:$N$53,12,FALSE),"")</f>
        <v>#NAME?</v>
      </c>
      <c r="M22" s="8" t="e">
        <f t="shared" ca="1" si="0"/>
        <v>#NAME?</v>
      </c>
      <c r="N22" s="9" t="e">
        <f t="shared" ca="1" si="1"/>
        <v>#NAME?</v>
      </c>
      <c r="O22" s="10">
        <f>Partic!T22/(COUNTA(Partic!D$1:T$1)-1)</f>
        <v>0.125</v>
      </c>
      <c r="P22" s="10">
        <f>VLOOKUP(LEFT(D22,LEN(D22)-1),Tareas!$A$2:$Q$31,17,FALSE)</f>
        <v>0.2857142857142857</v>
      </c>
      <c r="Q22" s="11" t="e">
        <f t="shared" ca="1" si="2"/>
        <v>#NAME?</v>
      </c>
    </row>
    <row r="23" spans="1:17">
      <c r="A23" s="2" t="s">
        <v>102</v>
      </c>
      <c r="B23" s="2" t="s">
        <v>103</v>
      </c>
      <c r="C23" s="2" t="s">
        <v>104</v>
      </c>
      <c r="D23" s="3" t="s">
        <v>105</v>
      </c>
      <c r="E23" s="2"/>
      <c r="F23" s="4">
        <f>VLOOKUP(LEFT(D23,LEN(D23)-1),'Eval. Cont.'!$A$2:$Q$31,17,FALSE)</f>
        <v>18.464285714285715</v>
      </c>
      <c r="G23" s="5">
        <f>'Quiz 1'!G24/2</f>
        <v>10.75</v>
      </c>
      <c r="H23" s="6" t="e">
        <f ca="1">_xludf.ifna(VLOOKUP(VALUE(A23),'Parcial 1'!$A$2:$H$30,8,FALSE),"")</f>
        <v>#NAME?</v>
      </c>
      <c r="I23" s="5">
        <f>'Quiz 2'!L21/2</f>
        <v>9</v>
      </c>
      <c r="J23" s="4" t="e">
        <f ca="1">_xludf.ifna(VLOOKUP(VALUE(A23),Proyecto!$A$3:$AA$24,27, FALSE),"")</f>
        <v>#NAME?</v>
      </c>
      <c r="K23" s="6" t="e">
        <f ca="1">_xludf.ifna(VLOOKUP(VALUE(A23),'Parcial 2'!$A$2:$G$21,7,FALSE),"")</f>
        <v>#NAME?</v>
      </c>
      <c r="L23" s="7" t="e">
        <f ca="1">_xludf.ifna(VLOOKUP(LEFT(D23,LEN(D23)-1),Xtra!$C$6:$N$53,12,FALSE),"")</f>
        <v>#NAME?</v>
      </c>
      <c r="M23" s="8" t="e">
        <f t="shared" ca="1" si="0"/>
        <v>#NAME?</v>
      </c>
      <c r="N23" s="9" t="e">
        <f t="shared" ca="1" si="1"/>
        <v>#NAME?</v>
      </c>
      <c r="O23" s="10">
        <f>Partic!T23/(COUNTA(Partic!D$1:T$1)-1)</f>
        <v>1.5</v>
      </c>
      <c r="P23" s="10">
        <f>VLOOKUP(LEFT(D23,LEN(D23)-1),Tareas!$A$2:$Q$31,17,FALSE)</f>
        <v>1</v>
      </c>
      <c r="Q23" s="11" t="e">
        <f t="shared" ca="1" si="2"/>
        <v>#NAME?</v>
      </c>
    </row>
    <row r="24" spans="1:17">
      <c r="A24" s="2" t="s">
        <v>106</v>
      </c>
      <c r="B24" s="2" t="s">
        <v>107</v>
      </c>
      <c r="C24" s="2" t="s">
        <v>108</v>
      </c>
      <c r="D24" s="3" t="s">
        <v>109</v>
      </c>
      <c r="E24" s="2"/>
      <c r="F24" s="4">
        <f>VLOOKUP(LEFT(D24,LEN(D24)-1),'Eval. Cont.'!$A$2:$Q$31,17,FALSE)</f>
        <v>17</v>
      </c>
      <c r="G24" s="5">
        <f>'Quiz 1'!G25/2</f>
        <v>9</v>
      </c>
      <c r="H24" s="6" t="e">
        <f ca="1">_xludf.ifna(VLOOKUP(VALUE(A24),'Parcial 1'!$A$2:$H$30,8,FALSE),"")</f>
        <v>#NAME?</v>
      </c>
      <c r="I24" s="5">
        <f>'Quiz 2'!L24/2</f>
        <v>8.25</v>
      </c>
      <c r="J24" s="4" t="e">
        <f ca="1">_xludf.ifna(VLOOKUP(VALUE(A24),Proyecto!$A$3:$AA$24,27, FALSE),"")</f>
        <v>#NAME?</v>
      </c>
      <c r="K24" s="6" t="e">
        <f ca="1">_xludf.ifna(VLOOKUP(VALUE(A24),'Parcial 2'!$A$2:$G$21,7,FALSE),"")</f>
        <v>#NAME?</v>
      </c>
      <c r="L24" s="7" t="e">
        <f ca="1">_xludf.ifna(VLOOKUP(LEFT(D24,LEN(D24)-1),Xtra!$C$6:$N$53,12,FALSE),"")</f>
        <v>#NAME?</v>
      </c>
      <c r="M24" s="8" t="e">
        <f t="shared" ca="1" si="0"/>
        <v>#NAME?</v>
      </c>
      <c r="N24" s="9" t="e">
        <f t="shared" ca="1" si="1"/>
        <v>#NAME?</v>
      </c>
      <c r="O24" s="10">
        <f>Partic!T24/(COUNTA(Partic!D$1:T$1)-1)</f>
        <v>1.1875</v>
      </c>
      <c r="P24" s="10">
        <f>VLOOKUP(LEFT(D24,LEN(D24)-1),Tareas!$A$2:$Q$31,17,FALSE)</f>
        <v>0.35714285714285715</v>
      </c>
      <c r="Q24" s="11" t="e">
        <f t="shared" ca="1" si="2"/>
        <v>#NAME?</v>
      </c>
    </row>
    <row r="25" spans="1:17">
      <c r="A25" s="2" t="s">
        <v>110</v>
      </c>
      <c r="B25" s="2" t="s">
        <v>111</v>
      </c>
      <c r="C25" s="2" t="s">
        <v>112</v>
      </c>
      <c r="D25" s="3" t="s">
        <v>113</v>
      </c>
      <c r="E25" s="2"/>
      <c r="F25" s="4">
        <f>VLOOKUP(LEFT(D25,LEN(D25)-1),'Eval. Cont.'!$A$2:$Q$31,17,FALSE)</f>
        <v>18.070714285714285</v>
      </c>
      <c r="G25" s="5">
        <f>'Quiz 1'!G26/2</f>
        <v>0.75</v>
      </c>
      <c r="H25" s="6" t="e">
        <f ca="1">_xludf.ifna(VLOOKUP(VALUE(A25),'Parcial 1'!$A$2:$H$30,8,FALSE),"")</f>
        <v>#NAME?</v>
      </c>
      <c r="I25" s="5">
        <f>'Quiz 2'!L25/2</f>
        <v>2.75</v>
      </c>
      <c r="J25" s="4" t="e">
        <f ca="1">_xludf.ifna(VLOOKUP(VALUE(A25),Proyecto!$A$3:$AA$24,27, FALSE),"")</f>
        <v>#NAME?</v>
      </c>
      <c r="K25" s="6" t="e">
        <f ca="1">_xludf.ifna(VLOOKUP(VALUE(A25),'Parcial 2'!$A$2:$G$21,7,FALSE),"")</f>
        <v>#NAME?</v>
      </c>
      <c r="L25" s="7" t="e">
        <f ca="1">_xludf.ifna(VLOOKUP(LEFT(D25,LEN(D25)-1),Xtra!$C$6:$N$53,12,FALSE),"")</f>
        <v>#NAME?</v>
      </c>
      <c r="M25" s="8" t="e">
        <f t="shared" ca="1" si="0"/>
        <v>#NAME?</v>
      </c>
      <c r="N25" s="9" t="e">
        <f t="shared" ca="1" si="1"/>
        <v>#NAME?</v>
      </c>
      <c r="O25" s="10">
        <f>Partic!T25/(COUNTA(Partic!D$1:T$1)-1)</f>
        <v>0.4375</v>
      </c>
      <c r="P25" s="10">
        <f>VLOOKUP(LEFT(D25,LEN(D25)-1),Tareas!$A$2:$Q$31,17,FALSE)</f>
        <v>0.2857142857142857</v>
      </c>
      <c r="Q25" s="12">
        <v>12</v>
      </c>
    </row>
    <row r="26" spans="1:17">
      <c r="A26" s="2" t="s">
        <v>114</v>
      </c>
      <c r="B26" s="2" t="s">
        <v>115</v>
      </c>
      <c r="C26" s="2" t="s">
        <v>116</v>
      </c>
      <c r="D26" s="3" t="s">
        <v>117</v>
      </c>
      <c r="E26" s="2" t="s">
        <v>37</v>
      </c>
      <c r="F26" s="4">
        <f>VLOOKUP(LEFT(D26,LEN(D26)-1),'Eval. Cont.'!$A$2:$Q$31,17,FALSE)</f>
        <v>14.728571428571428</v>
      </c>
      <c r="G26" s="5">
        <f>'Quiz 1'!G27/2</f>
        <v>2.75</v>
      </c>
      <c r="H26" s="6" t="e">
        <f ca="1">_xludf.ifna(VLOOKUP(VALUE(A26),'Parcial 1'!$A$2:$H$30,8,FALSE),"")</f>
        <v>#NAME?</v>
      </c>
      <c r="I26" s="5"/>
      <c r="J26" s="4" t="e">
        <f ca="1">_xludf.ifna(VLOOKUP(VALUE(A26),Proyecto!$A$3:$AA$24,27, FALSE),"")</f>
        <v>#NAME?</v>
      </c>
      <c r="K26" s="6" t="e">
        <f ca="1">_xludf.ifna(VLOOKUP(VALUE(A26),'Parcial 2'!$A$2:$G$21,7,FALSE),"")</f>
        <v>#NAME?</v>
      </c>
      <c r="L26" s="7" t="e">
        <f ca="1">_xludf.ifna(VLOOKUP(LEFT(D26,LEN(D26)-1),Xtra!$C$6:$N$53,12,FALSE),"")</f>
        <v>#NAME?</v>
      </c>
      <c r="M26" s="8" t="e">
        <f t="shared" ca="1" si="0"/>
        <v>#NAME?</v>
      </c>
      <c r="N26" s="9" t="e">
        <f t="shared" ca="1" si="1"/>
        <v>#NAME?</v>
      </c>
      <c r="O26" s="10">
        <f>Partic!T26/(COUNTA(Partic!D$1:T$1)-1)</f>
        <v>0.3125</v>
      </c>
      <c r="P26" s="10">
        <f>VLOOKUP(LEFT(D26,LEN(D26)-1),Tareas!$A$2:$Q$31,17,FALSE)</f>
        <v>0.21428571428571427</v>
      </c>
      <c r="Q26" s="11" t="str">
        <f t="shared" ref="Q26:Q31" si="3">IF(E26="Retirado","R",N26+MAX(O26:P26))</f>
        <v>R</v>
      </c>
    </row>
    <row r="27" spans="1:17">
      <c r="A27" s="2" t="s">
        <v>118</v>
      </c>
      <c r="B27" s="2" t="s">
        <v>119</v>
      </c>
      <c r="C27" s="2" t="s">
        <v>120</v>
      </c>
      <c r="D27" s="3" t="s">
        <v>121</v>
      </c>
      <c r="E27" s="2"/>
      <c r="F27" s="4">
        <f>VLOOKUP(LEFT(D27,LEN(D27)-1),'Eval. Cont.'!$A$2:$Q$31,17,FALSE)</f>
        <v>12.678571428571429</v>
      </c>
      <c r="G27" s="5">
        <f>'Quiz 1'!G28/2</f>
        <v>0</v>
      </c>
      <c r="H27" s="6" t="e">
        <f ca="1">_xludf.ifna(VLOOKUP(VALUE(A27),'Parcial 1'!$A$2:$H$30,8,FALSE),"")</f>
        <v>#NAME?</v>
      </c>
      <c r="I27" s="5">
        <f>'Quiz 2'!L27/2</f>
        <v>1</v>
      </c>
      <c r="J27" s="4" t="e">
        <f ca="1">_xludf.ifna(VLOOKUP(VALUE(A27),Proyecto!$A$3:$AA$24,27, FALSE),"")</f>
        <v>#NAME?</v>
      </c>
      <c r="K27" s="6" t="e">
        <f ca="1">_xludf.ifna(VLOOKUP(VALUE(A27),'Parcial 2'!$A$2:$G$21,7,FALSE),"")</f>
        <v>#NAME?</v>
      </c>
      <c r="L27" s="7" t="e">
        <f ca="1">_xludf.ifna(VLOOKUP(LEFT(D27,LEN(D27)-1),Xtra!$C$6:$N$53,12,FALSE),"")</f>
        <v>#NAME?</v>
      </c>
      <c r="M27" s="8" t="e">
        <f t="shared" ca="1" si="0"/>
        <v>#NAME?</v>
      </c>
      <c r="N27" s="9" t="e">
        <f t="shared" ca="1" si="1"/>
        <v>#NAME?</v>
      </c>
      <c r="O27" s="10">
        <f>Partic!T27/(COUNTA(Partic!D$1:T$1)-1)</f>
        <v>0</v>
      </c>
      <c r="P27" s="10">
        <f>VLOOKUP(LEFT(D27,LEN(D27)-1),Tareas!$A$2:$Q$31,17,FALSE)</f>
        <v>0.14285714285714285</v>
      </c>
      <c r="Q27" s="11" t="e">
        <f t="shared" ca="1" si="3"/>
        <v>#NAME?</v>
      </c>
    </row>
    <row r="28" spans="1:17">
      <c r="A28" s="2" t="s">
        <v>122</v>
      </c>
      <c r="B28" s="2" t="s">
        <v>123</v>
      </c>
      <c r="C28" s="2" t="s">
        <v>124</v>
      </c>
      <c r="D28" s="3" t="s">
        <v>125</v>
      </c>
      <c r="E28" s="2"/>
      <c r="F28" s="4">
        <f>VLOOKUP(LEFT(D28,LEN(D28)-1),'Eval. Cont.'!$A$2:$Q$31,17,FALSE)</f>
        <v>18.042857142857141</v>
      </c>
      <c r="G28" s="5">
        <f>'Quiz 1'!G29/2</f>
        <v>3.5</v>
      </c>
      <c r="H28" s="6" t="e">
        <f ca="1">_xludf.ifna(VLOOKUP(VALUE(A28),'Parcial 1'!$A$2:$H$30,8,FALSE),"")</f>
        <v>#NAME?</v>
      </c>
      <c r="I28" s="5">
        <f>'Quiz 2'!L28/2</f>
        <v>2.625</v>
      </c>
      <c r="J28" s="4" t="e">
        <f ca="1">_xludf.ifna(VLOOKUP(VALUE(A28),Proyecto!$A$3:$AA$24,27, FALSE),"")</f>
        <v>#NAME?</v>
      </c>
      <c r="K28" s="6" t="e">
        <f ca="1">_xludf.ifna(VLOOKUP(VALUE(A28),'Parcial 2'!$A$2:$G$21,7,FALSE),"")</f>
        <v>#NAME?</v>
      </c>
      <c r="L28" s="7" t="e">
        <f ca="1">_xludf.ifna(VLOOKUP(LEFT(D28,LEN(D28)-1),Xtra!$C$6:$N$53,12,FALSE),"")</f>
        <v>#NAME?</v>
      </c>
      <c r="M28" s="8" t="e">
        <f t="shared" ca="1" si="0"/>
        <v>#NAME?</v>
      </c>
      <c r="N28" s="9" t="e">
        <f t="shared" ca="1" si="1"/>
        <v>#NAME?</v>
      </c>
      <c r="O28" s="10">
        <f>Partic!T28/(COUNTA(Partic!D$1:T$1)-1)</f>
        <v>0.625</v>
      </c>
      <c r="P28" s="10">
        <f>VLOOKUP(LEFT(D28,LEN(D28)-1),Tareas!$A$2:$Q$31,17,FALSE)</f>
        <v>0.2857142857142857</v>
      </c>
      <c r="Q28" s="11" t="e">
        <f t="shared" ca="1" si="3"/>
        <v>#NAME?</v>
      </c>
    </row>
    <row r="29" spans="1:17">
      <c r="A29" s="2" t="s">
        <v>126</v>
      </c>
      <c r="B29" s="2" t="s">
        <v>127</v>
      </c>
      <c r="C29" s="2" t="s">
        <v>128</v>
      </c>
      <c r="D29" s="3" t="s">
        <v>129</v>
      </c>
      <c r="E29" s="2"/>
      <c r="F29" s="4">
        <f>VLOOKUP(LEFT(D29,LEN(D29)-1),'Eval. Cont.'!$A$2:$Q$31,17,FALSE)</f>
        <v>18.928571428571427</v>
      </c>
      <c r="G29" s="5">
        <f>'Quiz 1'!G30/2</f>
        <v>0.5</v>
      </c>
      <c r="H29" s="6" t="e">
        <f ca="1">_xludf.ifna(VLOOKUP(VALUE(A29),'Parcial 1'!$A$2:$H$30,8,FALSE),"")</f>
        <v>#NAME?</v>
      </c>
      <c r="I29" s="5">
        <f>'Quiz 2'!L29/2</f>
        <v>8.375</v>
      </c>
      <c r="J29" s="4" t="e">
        <f ca="1">_xludf.ifna(VLOOKUP(VALUE(A29),Proyecto!$A$3:$AA$24,27, FALSE),"")</f>
        <v>#NAME?</v>
      </c>
      <c r="K29" s="6" t="e">
        <f ca="1">_xludf.ifna(VLOOKUP(VALUE(A29),'Parcial 2'!$A$2:$G$21,7,FALSE),"")</f>
        <v>#NAME?</v>
      </c>
      <c r="L29" s="7" t="e">
        <f ca="1">_xludf.ifna(VLOOKUP(LEFT(D29,LEN(D29)-1),Xtra!$C$6:$N$53,12,FALSE),"")</f>
        <v>#NAME?</v>
      </c>
      <c r="M29" s="8" t="e">
        <f t="shared" ca="1" si="0"/>
        <v>#NAME?</v>
      </c>
      <c r="N29" s="9" t="e">
        <f t="shared" ca="1" si="1"/>
        <v>#NAME?</v>
      </c>
      <c r="O29" s="10">
        <f>Partic!T29/(COUNTA(Partic!D$1:T$1)-1)</f>
        <v>1.125</v>
      </c>
      <c r="P29" s="10">
        <f>VLOOKUP(LEFT(D29,LEN(D29)-1),Tareas!$A$2:$Q$31,17,FALSE)</f>
        <v>0.2857142857142857</v>
      </c>
      <c r="Q29" s="11" t="e">
        <f t="shared" ca="1" si="3"/>
        <v>#NAME?</v>
      </c>
    </row>
    <row r="30" spans="1:17">
      <c r="A30" s="2" t="s">
        <v>130</v>
      </c>
      <c r="B30" s="2" t="s">
        <v>131</v>
      </c>
      <c r="C30" s="2" t="s">
        <v>132</v>
      </c>
      <c r="D30" s="3" t="s">
        <v>133</v>
      </c>
      <c r="E30" s="2"/>
      <c r="F30" s="4">
        <f>VLOOKUP(LEFT(D30,LEN(D30)-1),'Eval. Cont.'!$A$2:$Q$31,17,FALSE)</f>
        <v>5.9642857142857144</v>
      </c>
      <c r="G30" s="5"/>
      <c r="H30" s="6" t="e">
        <f ca="1">_xludf.ifna(VLOOKUP(VALUE(A30),'Parcial 1'!$A$2:$H$30,8,FALSE),"")</f>
        <v>#NAME?</v>
      </c>
      <c r="I30" s="5"/>
      <c r="J30" s="4" t="e">
        <f ca="1">_xludf.ifna(VLOOKUP(VALUE(A30),Proyecto!$A$3:$AA$24,27, FALSE),"")</f>
        <v>#NAME?</v>
      </c>
      <c r="K30" s="6" t="e">
        <f ca="1">_xludf.ifna(VLOOKUP(VALUE(A30),'Parcial 2'!$A$2:$G$21,7,FALSE),"")</f>
        <v>#NAME?</v>
      </c>
      <c r="L30" s="7" t="e">
        <f ca="1">_xludf.ifna(VLOOKUP(LEFT(D30,LEN(D30)-1),Xtra!$C$6:$N$53,12,FALSE),"")</f>
        <v>#NAME?</v>
      </c>
      <c r="M30" s="8" t="e">
        <f t="shared" ca="1" si="0"/>
        <v>#NAME?</v>
      </c>
      <c r="N30" s="9" t="e">
        <f t="shared" ca="1" si="1"/>
        <v>#NAME?</v>
      </c>
      <c r="O30" s="10">
        <f>Partic!T30/(COUNTA(Partic!D$1:T$1)-1)</f>
        <v>0</v>
      </c>
      <c r="P30" s="10">
        <f>VLOOKUP(LEFT(D30,LEN(D30)-1),Tareas!$A$2:$Q$31,17,FALSE)</f>
        <v>0</v>
      </c>
      <c r="Q30" s="11" t="e">
        <f t="shared" ca="1" si="3"/>
        <v>#NAME?</v>
      </c>
    </row>
    <row r="31" spans="1:17">
      <c r="A31" s="2" t="s">
        <v>134</v>
      </c>
      <c r="B31" s="2" t="s">
        <v>135</v>
      </c>
      <c r="C31" s="2" t="s">
        <v>108</v>
      </c>
      <c r="D31" s="3" t="s">
        <v>136</v>
      </c>
      <c r="E31" s="2"/>
      <c r="F31" s="4">
        <f>VLOOKUP(LEFT(D31,LEN(D31)-1),'Eval. Cont.'!$A$2:$Q$31,17,FALSE)</f>
        <v>16.297857142857143</v>
      </c>
      <c r="G31" s="5">
        <f>'Quiz 1'!G32/2</f>
        <v>10</v>
      </c>
      <c r="H31" s="6" t="e">
        <f ca="1">_xludf.ifna(VLOOKUP(VALUE(A31),'Parcial 1'!$A$2:$H$30,8,FALSE),"")</f>
        <v>#NAME?</v>
      </c>
      <c r="I31" s="5">
        <f>'Quiz 2'!L30/2</f>
        <v>2.875</v>
      </c>
      <c r="J31" s="4" t="e">
        <f ca="1">_xludf.ifna(VLOOKUP(VALUE(A31),Proyecto!$A$3:$AA$24,27, FALSE),"")</f>
        <v>#NAME?</v>
      </c>
      <c r="K31" s="6" t="e">
        <f ca="1">_xludf.ifna(VLOOKUP(VALUE(A31),'Parcial 2'!$A$2:$G$21,7,FALSE),"")</f>
        <v>#NAME?</v>
      </c>
      <c r="L31" s="7" t="e">
        <f ca="1">_xludf.ifna(VLOOKUP(LEFT(D31,LEN(D31)-1),Xtra!$C$6:$N$53,12,FALSE),"")</f>
        <v>#NAME?</v>
      </c>
      <c r="M31" s="8" t="e">
        <f t="shared" ca="1" si="0"/>
        <v>#NAME?</v>
      </c>
      <c r="N31" s="9" t="e">
        <f t="shared" ca="1" si="1"/>
        <v>#NAME?</v>
      </c>
      <c r="O31" s="10">
        <f>Partic!T31/(COUNTA(Partic!D$1:T$1)-1)</f>
        <v>0.8125</v>
      </c>
      <c r="P31" s="10">
        <f>VLOOKUP(LEFT(D31,LEN(D31)-1),Tareas!$A$2:$Q$31,17,FALSE)</f>
        <v>0.2857142857142857</v>
      </c>
      <c r="Q31" s="11" t="e">
        <f t="shared" ca="1" si="3"/>
        <v>#NAME?</v>
      </c>
    </row>
    <row r="32" spans="1:17">
      <c r="L32" s="1"/>
      <c r="M32" s="1"/>
      <c r="Q32" s="1"/>
    </row>
    <row r="33" spans="12:17">
      <c r="L33" s="1"/>
      <c r="M33" s="1"/>
      <c r="Q33" s="1"/>
    </row>
    <row r="34" spans="12:17">
      <c r="L34" s="1"/>
      <c r="M34" s="1"/>
      <c r="Q34" s="1"/>
    </row>
    <row r="35" spans="12:17">
      <c r="L35" s="1"/>
      <c r="M35" s="1"/>
      <c r="Q35" s="1"/>
    </row>
    <row r="36" spans="12:17">
      <c r="L36" s="1"/>
      <c r="M36" s="1"/>
      <c r="Q36" s="1"/>
    </row>
    <row r="37" spans="12:17">
      <c r="L37" s="1"/>
      <c r="M37" s="1"/>
      <c r="Q37" s="1"/>
    </row>
    <row r="38" spans="12:17">
      <c r="L38" s="1"/>
      <c r="M38" s="1"/>
      <c r="Q38" s="1"/>
    </row>
    <row r="39" spans="12:17">
      <c r="L39" s="1"/>
      <c r="M39" s="1"/>
      <c r="Q39" s="1"/>
    </row>
    <row r="40" spans="12:17">
      <c r="L40" s="1"/>
      <c r="M40" s="1"/>
      <c r="Q40" s="1"/>
    </row>
    <row r="41" spans="12:17">
      <c r="L41" s="1"/>
      <c r="M41" s="1"/>
      <c r="Q41" s="1"/>
    </row>
    <row r="42" spans="12:17">
      <c r="L42" s="1"/>
      <c r="M42" s="1"/>
      <c r="Q42" s="1"/>
    </row>
    <row r="43" spans="12:17">
      <c r="L43" s="1"/>
      <c r="M43" s="1"/>
      <c r="Q43" s="1"/>
    </row>
    <row r="44" spans="12:17">
      <c r="L44" s="1"/>
      <c r="M44" s="1"/>
      <c r="Q44" s="1"/>
    </row>
    <row r="45" spans="12:17">
      <c r="L45" s="1"/>
      <c r="M45" s="1"/>
      <c r="Q45" s="1"/>
    </row>
    <row r="46" spans="12:17">
      <c r="L46" s="1"/>
      <c r="M46" s="1"/>
      <c r="Q46" s="1"/>
    </row>
    <row r="47" spans="12:17">
      <c r="L47" s="1"/>
      <c r="M47" s="1"/>
      <c r="Q47" s="1"/>
    </row>
    <row r="48" spans="12:17">
      <c r="L48" s="1"/>
      <c r="M48" s="1"/>
      <c r="Q48" s="1"/>
    </row>
    <row r="49" spans="12:17">
      <c r="L49" s="1"/>
      <c r="M49" s="1"/>
      <c r="Q49" s="1"/>
    </row>
    <row r="50" spans="12:17">
      <c r="L50" s="1"/>
      <c r="M50" s="1"/>
      <c r="Q50" s="1"/>
    </row>
    <row r="51" spans="12:17">
      <c r="L51" s="1"/>
      <c r="M51" s="1"/>
      <c r="Q51" s="1"/>
    </row>
    <row r="52" spans="12:17">
      <c r="L52" s="1"/>
      <c r="M52" s="1"/>
      <c r="Q52" s="1"/>
    </row>
    <row r="53" spans="12:17">
      <c r="L53" s="1"/>
      <c r="M53" s="1"/>
      <c r="Q53" s="1"/>
    </row>
    <row r="54" spans="12:17">
      <c r="L54" s="1"/>
      <c r="M54" s="1"/>
      <c r="Q54" s="1"/>
    </row>
    <row r="55" spans="12:17">
      <c r="L55" s="1"/>
      <c r="M55" s="1"/>
      <c r="Q55" s="1"/>
    </row>
    <row r="56" spans="12:17">
      <c r="L56" s="1"/>
      <c r="M56" s="1"/>
      <c r="Q56" s="1"/>
    </row>
    <row r="57" spans="12:17">
      <c r="L57" s="1"/>
      <c r="M57" s="1"/>
      <c r="Q57" s="1"/>
    </row>
    <row r="58" spans="12:17">
      <c r="L58" s="1"/>
      <c r="M58" s="1"/>
      <c r="Q58" s="1"/>
    </row>
    <row r="59" spans="12:17">
      <c r="L59" s="1"/>
      <c r="M59" s="1"/>
      <c r="Q59" s="1"/>
    </row>
    <row r="60" spans="12:17">
      <c r="L60" s="1"/>
      <c r="M60" s="1"/>
      <c r="Q60" s="1"/>
    </row>
    <row r="61" spans="12:17">
      <c r="L61" s="1"/>
      <c r="M61" s="1"/>
      <c r="Q61" s="1"/>
    </row>
    <row r="62" spans="12:17">
      <c r="L62" s="1"/>
      <c r="M62" s="1"/>
      <c r="Q62" s="1"/>
    </row>
    <row r="63" spans="12:17">
      <c r="L63" s="1"/>
      <c r="M63" s="1"/>
      <c r="Q63" s="1"/>
    </row>
    <row r="64" spans="12:17">
      <c r="L64" s="1"/>
      <c r="M64" s="1"/>
      <c r="Q64" s="1"/>
    </row>
    <row r="65" spans="12:17">
      <c r="L65" s="1"/>
      <c r="M65" s="1"/>
      <c r="Q65" s="1"/>
    </row>
    <row r="66" spans="12:17">
      <c r="L66" s="1"/>
      <c r="M66" s="1"/>
      <c r="Q66" s="1"/>
    </row>
    <row r="67" spans="12:17">
      <c r="L67" s="1"/>
      <c r="M67" s="1"/>
      <c r="Q67" s="1"/>
    </row>
    <row r="68" spans="12:17">
      <c r="L68" s="1"/>
      <c r="M68" s="1"/>
      <c r="Q68" s="1"/>
    </row>
    <row r="69" spans="12:17">
      <c r="L69" s="1"/>
      <c r="M69" s="1"/>
      <c r="Q69" s="1"/>
    </row>
    <row r="70" spans="12:17">
      <c r="L70" s="1"/>
      <c r="M70" s="1"/>
      <c r="Q70" s="1"/>
    </row>
    <row r="71" spans="12:17">
      <c r="L71" s="1"/>
      <c r="M71" s="1"/>
      <c r="Q71" s="1"/>
    </row>
    <row r="72" spans="12:17">
      <c r="L72" s="1"/>
      <c r="M72" s="1"/>
      <c r="Q72" s="1"/>
    </row>
    <row r="73" spans="12:17">
      <c r="L73" s="1"/>
      <c r="M73" s="1"/>
      <c r="Q73" s="1"/>
    </row>
    <row r="74" spans="12:17">
      <c r="L74" s="1"/>
      <c r="M74" s="1"/>
      <c r="Q74" s="1"/>
    </row>
    <row r="75" spans="12:17">
      <c r="L75" s="1"/>
      <c r="M75" s="1"/>
      <c r="Q75" s="1"/>
    </row>
    <row r="76" spans="12:17">
      <c r="L76" s="1"/>
      <c r="M76" s="1"/>
      <c r="Q76" s="1"/>
    </row>
    <row r="77" spans="12:17">
      <c r="L77" s="1"/>
      <c r="M77" s="1"/>
      <c r="Q77" s="1"/>
    </row>
    <row r="78" spans="12:17">
      <c r="L78" s="1"/>
      <c r="M78" s="1"/>
      <c r="Q78" s="1"/>
    </row>
    <row r="79" spans="12:17">
      <c r="L79" s="1"/>
      <c r="M79" s="1"/>
      <c r="Q79" s="1"/>
    </row>
    <row r="80" spans="12:17">
      <c r="L80" s="1"/>
      <c r="M80" s="1"/>
      <c r="Q80" s="1"/>
    </row>
    <row r="81" spans="12:17">
      <c r="L81" s="1"/>
      <c r="M81" s="1"/>
      <c r="Q81" s="1"/>
    </row>
    <row r="82" spans="12:17">
      <c r="L82" s="1"/>
      <c r="M82" s="1"/>
      <c r="Q82" s="1"/>
    </row>
    <row r="83" spans="12:17">
      <c r="L83" s="1"/>
      <c r="M83" s="1"/>
      <c r="Q83" s="1"/>
    </row>
    <row r="84" spans="12:17">
      <c r="L84" s="1"/>
      <c r="M84" s="1"/>
      <c r="Q84" s="1"/>
    </row>
    <row r="85" spans="12:17">
      <c r="L85" s="1"/>
      <c r="M85" s="1"/>
      <c r="Q85" s="1"/>
    </row>
    <row r="86" spans="12:17">
      <c r="L86" s="1"/>
      <c r="M86" s="1"/>
      <c r="Q86" s="1"/>
    </row>
    <row r="87" spans="12:17">
      <c r="L87" s="1"/>
      <c r="M87" s="1"/>
      <c r="Q87" s="1"/>
    </row>
    <row r="88" spans="12:17">
      <c r="L88" s="1"/>
      <c r="M88" s="1"/>
      <c r="Q88" s="1"/>
    </row>
    <row r="89" spans="12:17">
      <c r="L89" s="1"/>
      <c r="M89" s="1"/>
      <c r="Q89" s="1"/>
    </row>
    <row r="90" spans="12:17">
      <c r="L90" s="1"/>
      <c r="M90" s="1"/>
      <c r="Q90" s="1"/>
    </row>
    <row r="91" spans="12:17">
      <c r="L91" s="1"/>
      <c r="M91" s="1"/>
      <c r="Q91" s="1"/>
    </row>
    <row r="92" spans="12:17">
      <c r="L92" s="1"/>
      <c r="M92" s="1"/>
      <c r="Q92" s="1"/>
    </row>
    <row r="93" spans="12:17">
      <c r="L93" s="1"/>
      <c r="M93" s="1"/>
      <c r="Q93" s="1"/>
    </row>
    <row r="94" spans="12:17">
      <c r="L94" s="1"/>
      <c r="M94" s="1"/>
      <c r="Q94" s="1"/>
    </row>
    <row r="95" spans="12:17">
      <c r="L95" s="1"/>
      <c r="M95" s="1"/>
      <c r="Q95" s="1"/>
    </row>
    <row r="96" spans="12:17">
      <c r="L96" s="1"/>
      <c r="M96" s="1"/>
      <c r="Q96" s="1"/>
    </row>
    <row r="97" spans="12:17">
      <c r="L97" s="1"/>
      <c r="M97" s="1"/>
      <c r="Q97" s="1"/>
    </row>
    <row r="98" spans="12:17">
      <c r="L98" s="1"/>
      <c r="M98" s="1"/>
      <c r="Q98" s="1"/>
    </row>
    <row r="99" spans="12:17">
      <c r="L99" s="1"/>
      <c r="M99" s="1"/>
      <c r="Q99" s="1"/>
    </row>
    <row r="100" spans="12:17">
      <c r="L100" s="1"/>
      <c r="M100" s="1"/>
      <c r="Q100" s="1"/>
    </row>
    <row r="101" spans="12:17">
      <c r="L101" s="1"/>
      <c r="M101" s="1"/>
      <c r="Q101" s="1"/>
    </row>
    <row r="102" spans="12:17">
      <c r="L102" s="1"/>
      <c r="M102" s="1"/>
      <c r="Q102" s="1"/>
    </row>
    <row r="103" spans="12:17">
      <c r="L103" s="1"/>
      <c r="M103" s="1"/>
      <c r="Q103" s="1"/>
    </row>
    <row r="104" spans="12:17">
      <c r="L104" s="1"/>
      <c r="M104" s="1"/>
      <c r="Q104" s="1"/>
    </row>
    <row r="105" spans="12:17">
      <c r="L105" s="1"/>
      <c r="M105" s="1"/>
      <c r="Q105" s="1"/>
    </row>
    <row r="106" spans="12:17">
      <c r="L106" s="1"/>
      <c r="M106" s="1"/>
      <c r="Q106" s="1"/>
    </row>
    <row r="107" spans="12:17">
      <c r="L107" s="1"/>
      <c r="M107" s="1"/>
      <c r="Q107" s="1"/>
    </row>
    <row r="108" spans="12:17">
      <c r="L108" s="1"/>
      <c r="M108" s="1"/>
      <c r="Q108" s="1"/>
    </row>
    <row r="109" spans="12:17">
      <c r="L109" s="1"/>
      <c r="M109" s="1"/>
      <c r="Q109" s="1"/>
    </row>
    <row r="110" spans="12:17">
      <c r="L110" s="1"/>
      <c r="M110" s="1"/>
      <c r="Q110" s="1"/>
    </row>
    <row r="111" spans="12:17">
      <c r="L111" s="1"/>
      <c r="M111" s="1"/>
      <c r="Q111" s="1"/>
    </row>
    <row r="112" spans="12:17">
      <c r="L112" s="1"/>
      <c r="M112" s="1"/>
      <c r="Q112" s="1"/>
    </row>
    <row r="113" spans="12:17">
      <c r="L113" s="1"/>
      <c r="M113" s="1"/>
      <c r="Q113" s="1"/>
    </row>
    <row r="114" spans="12:17">
      <c r="L114" s="1"/>
      <c r="M114" s="1"/>
      <c r="Q114" s="1"/>
    </row>
    <row r="115" spans="12:17">
      <c r="L115" s="1"/>
      <c r="M115" s="1"/>
      <c r="Q115" s="1"/>
    </row>
    <row r="116" spans="12:17">
      <c r="L116" s="1"/>
      <c r="M116" s="1"/>
      <c r="Q116" s="1"/>
    </row>
    <row r="117" spans="12:17">
      <c r="L117" s="1"/>
      <c r="M117" s="1"/>
      <c r="Q117" s="1"/>
    </row>
    <row r="118" spans="12:17">
      <c r="L118" s="1"/>
      <c r="M118" s="1"/>
      <c r="Q118" s="1"/>
    </row>
    <row r="119" spans="12:17">
      <c r="L119" s="1"/>
      <c r="M119" s="1"/>
      <c r="Q119" s="1"/>
    </row>
    <row r="120" spans="12:17">
      <c r="L120" s="1"/>
      <c r="M120" s="1"/>
      <c r="Q120" s="1"/>
    </row>
    <row r="121" spans="12:17">
      <c r="L121" s="1"/>
      <c r="M121" s="1"/>
      <c r="Q121" s="1"/>
    </row>
    <row r="122" spans="12:17">
      <c r="L122" s="1"/>
      <c r="M122" s="1"/>
      <c r="Q122" s="1"/>
    </row>
    <row r="123" spans="12:17">
      <c r="L123" s="1"/>
      <c r="M123" s="1"/>
      <c r="Q123" s="1"/>
    </row>
    <row r="124" spans="12:17">
      <c r="L124" s="1"/>
      <c r="M124" s="1"/>
      <c r="Q124" s="1"/>
    </row>
    <row r="125" spans="12:17">
      <c r="L125" s="1"/>
      <c r="M125" s="1"/>
      <c r="Q125" s="1"/>
    </row>
    <row r="126" spans="12:17">
      <c r="L126" s="1"/>
      <c r="M126" s="1"/>
      <c r="Q126" s="1"/>
    </row>
    <row r="127" spans="12:17">
      <c r="L127" s="1"/>
      <c r="M127" s="1"/>
      <c r="Q127" s="1"/>
    </row>
    <row r="128" spans="12:17">
      <c r="L128" s="1"/>
      <c r="M128" s="1"/>
      <c r="Q128" s="1"/>
    </row>
    <row r="129" spans="12:17">
      <c r="L129" s="1"/>
      <c r="M129" s="1"/>
      <c r="Q129" s="1"/>
    </row>
    <row r="130" spans="12:17">
      <c r="L130" s="1"/>
      <c r="M130" s="1"/>
      <c r="Q130" s="1"/>
    </row>
    <row r="131" spans="12:17">
      <c r="L131" s="1"/>
      <c r="M131" s="1"/>
      <c r="Q131" s="1"/>
    </row>
    <row r="132" spans="12:17">
      <c r="L132" s="1"/>
      <c r="M132" s="1"/>
      <c r="Q132" s="1"/>
    </row>
    <row r="133" spans="12:17">
      <c r="L133" s="1"/>
      <c r="M133" s="1"/>
      <c r="Q133" s="1"/>
    </row>
    <row r="134" spans="12:17">
      <c r="L134" s="1"/>
      <c r="M134" s="1"/>
      <c r="Q134" s="1"/>
    </row>
    <row r="135" spans="12:17">
      <c r="L135" s="1"/>
      <c r="M135" s="1"/>
      <c r="Q135" s="1"/>
    </row>
    <row r="136" spans="12:17">
      <c r="L136" s="1"/>
      <c r="M136" s="1"/>
      <c r="Q136" s="1"/>
    </row>
    <row r="137" spans="12:17">
      <c r="L137" s="1"/>
      <c r="M137" s="1"/>
      <c r="Q137" s="1"/>
    </row>
    <row r="138" spans="12:17">
      <c r="L138" s="1"/>
      <c r="M138" s="1"/>
      <c r="Q138" s="1"/>
    </row>
    <row r="139" spans="12:17">
      <c r="L139" s="1"/>
      <c r="M139" s="1"/>
      <c r="Q139" s="1"/>
    </row>
    <row r="140" spans="12:17">
      <c r="L140" s="1"/>
      <c r="M140" s="1"/>
      <c r="Q140" s="1"/>
    </row>
    <row r="141" spans="12:17">
      <c r="L141" s="1"/>
      <c r="M141" s="1"/>
      <c r="Q141" s="1"/>
    </row>
    <row r="142" spans="12:17">
      <c r="L142" s="1"/>
      <c r="M142" s="1"/>
      <c r="Q142" s="1"/>
    </row>
    <row r="143" spans="12:17">
      <c r="L143" s="1"/>
      <c r="M143" s="1"/>
      <c r="Q143" s="1"/>
    </row>
    <row r="144" spans="12:17">
      <c r="L144" s="1"/>
      <c r="M144" s="1"/>
      <c r="Q144" s="1"/>
    </row>
    <row r="145" spans="12:17">
      <c r="L145" s="1"/>
      <c r="M145" s="1"/>
      <c r="Q145" s="1"/>
    </row>
    <row r="146" spans="12:17">
      <c r="L146" s="1"/>
      <c r="M146" s="1"/>
      <c r="Q146" s="1"/>
    </row>
    <row r="147" spans="12:17">
      <c r="L147" s="1"/>
      <c r="M147" s="1"/>
      <c r="Q147" s="1"/>
    </row>
    <row r="148" spans="12:17">
      <c r="L148" s="1"/>
      <c r="M148" s="1"/>
      <c r="Q148" s="1"/>
    </row>
    <row r="149" spans="12:17">
      <c r="L149" s="1"/>
      <c r="M149" s="1"/>
      <c r="Q149" s="1"/>
    </row>
    <row r="150" spans="12:17">
      <c r="L150" s="1"/>
      <c r="M150" s="1"/>
      <c r="Q150" s="1"/>
    </row>
    <row r="151" spans="12:17">
      <c r="L151" s="1"/>
      <c r="M151" s="1"/>
      <c r="Q151" s="1"/>
    </row>
    <row r="152" spans="12:17">
      <c r="L152" s="1"/>
      <c r="M152" s="1"/>
      <c r="Q152" s="1"/>
    </row>
    <row r="153" spans="12:17">
      <c r="L153" s="1"/>
      <c r="M153" s="1"/>
      <c r="Q153" s="1"/>
    </row>
    <row r="154" spans="12:17">
      <c r="L154" s="1"/>
      <c r="M154" s="1"/>
      <c r="Q154" s="1"/>
    </row>
    <row r="155" spans="12:17">
      <c r="L155" s="1"/>
      <c r="M155" s="1"/>
      <c r="Q155" s="1"/>
    </row>
    <row r="156" spans="12:17">
      <c r="L156" s="1"/>
      <c r="M156" s="1"/>
      <c r="Q156" s="1"/>
    </row>
    <row r="157" spans="12:17">
      <c r="L157" s="1"/>
      <c r="M157" s="1"/>
      <c r="Q157" s="1"/>
    </row>
    <row r="158" spans="12:17">
      <c r="L158" s="1"/>
      <c r="M158" s="1"/>
      <c r="Q158" s="1"/>
    </row>
    <row r="159" spans="12:17">
      <c r="L159" s="1"/>
      <c r="M159" s="1"/>
      <c r="Q159" s="1"/>
    </row>
    <row r="160" spans="12:17">
      <c r="L160" s="1"/>
      <c r="M160" s="1"/>
      <c r="Q160" s="1"/>
    </row>
    <row r="161" spans="12:17">
      <c r="L161" s="1"/>
      <c r="M161" s="1"/>
      <c r="Q161" s="1"/>
    </row>
    <row r="162" spans="12:17">
      <c r="L162" s="1"/>
      <c r="M162" s="1"/>
      <c r="Q162" s="1"/>
    </row>
    <row r="163" spans="12:17">
      <c r="L163" s="1"/>
      <c r="M163" s="1"/>
      <c r="Q163" s="1"/>
    </row>
    <row r="164" spans="12:17">
      <c r="L164" s="1"/>
      <c r="M164" s="1"/>
      <c r="Q164" s="1"/>
    </row>
    <row r="165" spans="12:17">
      <c r="L165" s="1"/>
      <c r="M165" s="1"/>
      <c r="Q165" s="1"/>
    </row>
    <row r="166" spans="12:17">
      <c r="L166" s="1"/>
      <c r="M166" s="1"/>
      <c r="Q166" s="1"/>
    </row>
    <row r="167" spans="12:17">
      <c r="L167" s="1"/>
      <c r="M167" s="1"/>
      <c r="Q167" s="1"/>
    </row>
    <row r="168" spans="12:17">
      <c r="L168" s="1"/>
      <c r="M168" s="1"/>
      <c r="Q168" s="1"/>
    </row>
    <row r="169" spans="12:17">
      <c r="L169" s="1"/>
      <c r="M169" s="1"/>
      <c r="Q169" s="1"/>
    </row>
    <row r="170" spans="12:17">
      <c r="L170" s="1"/>
      <c r="M170" s="1"/>
      <c r="Q170" s="1"/>
    </row>
    <row r="171" spans="12:17">
      <c r="L171" s="1"/>
      <c r="M171" s="1"/>
      <c r="Q171" s="1"/>
    </row>
    <row r="172" spans="12:17">
      <c r="L172" s="1"/>
      <c r="M172" s="1"/>
      <c r="Q172" s="1"/>
    </row>
    <row r="173" spans="12:17">
      <c r="L173" s="1"/>
      <c r="M173" s="1"/>
      <c r="Q173" s="1"/>
    </row>
    <row r="174" spans="12:17">
      <c r="L174" s="1"/>
      <c r="M174" s="1"/>
      <c r="Q174" s="1"/>
    </row>
    <row r="175" spans="12:17">
      <c r="L175" s="1"/>
      <c r="M175" s="1"/>
      <c r="Q175" s="1"/>
    </row>
    <row r="176" spans="12:17">
      <c r="L176" s="1"/>
      <c r="M176" s="1"/>
      <c r="Q176" s="1"/>
    </row>
    <row r="177" spans="12:17">
      <c r="L177" s="1"/>
      <c r="M177" s="1"/>
      <c r="Q177" s="1"/>
    </row>
    <row r="178" spans="12:17">
      <c r="L178" s="1"/>
      <c r="M178" s="1"/>
      <c r="Q178" s="1"/>
    </row>
    <row r="179" spans="12:17">
      <c r="L179" s="1"/>
      <c r="M179" s="1"/>
      <c r="Q179" s="1"/>
    </row>
    <row r="180" spans="12:17">
      <c r="L180" s="1"/>
      <c r="M180" s="1"/>
      <c r="Q180" s="1"/>
    </row>
    <row r="181" spans="12:17">
      <c r="L181" s="1"/>
      <c r="M181" s="1"/>
      <c r="Q181" s="1"/>
    </row>
    <row r="182" spans="12:17">
      <c r="L182" s="1"/>
      <c r="M182" s="1"/>
      <c r="Q182" s="1"/>
    </row>
    <row r="183" spans="12:17">
      <c r="L183" s="1"/>
      <c r="M183" s="1"/>
      <c r="Q183" s="1"/>
    </row>
    <row r="184" spans="12:17">
      <c r="L184" s="1"/>
      <c r="M184" s="1"/>
      <c r="Q184" s="1"/>
    </row>
    <row r="185" spans="12:17">
      <c r="L185" s="1"/>
      <c r="M185" s="1"/>
      <c r="Q185" s="1"/>
    </row>
    <row r="186" spans="12:17">
      <c r="L186" s="1"/>
      <c r="M186" s="1"/>
      <c r="Q186" s="1"/>
    </row>
    <row r="187" spans="12:17">
      <c r="L187" s="1"/>
      <c r="M187" s="1"/>
      <c r="Q187" s="1"/>
    </row>
    <row r="188" spans="12:17">
      <c r="L188" s="1"/>
      <c r="M188" s="1"/>
      <c r="Q188" s="1"/>
    </row>
    <row r="189" spans="12:17">
      <c r="L189" s="1"/>
      <c r="M189" s="1"/>
      <c r="Q189" s="1"/>
    </row>
    <row r="190" spans="12:17">
      <c r="L190" s="1"/>
      <c r="M190" s="1"/>
      <c r="Q190" s="1"/>
    </row>
    <row r="191" spans="12:17">
      <c r="L191" s="1"/>
      <c r="M191" s="1"/>
      <c r="Q191" s="1"/>
    </row>
    <row r="192" spans="12:17">
      <c r="L192" s="1"/>
      <c r="M192" s="1"/>
      <c r="Q192" s="1"/>
    </row>
    <row r="193" spans="12:17">
      <c r="L193" s="1"/>
      <c r="M193" s="1"/>
      <c r="Q193" s="1"/>
    </row>
    <row r="194" spans="12:17">
      <c r="L194" s="1"/>
      <c r="M194" s="1"/>
      <c r="Q194" s="1"/>
    </row>
    <row r="195" spans="12:17">
      <c r="L195" s="1"/>
      <c r="M195" s="1"/>
      <c r="Q195" s="1"/>
    </row>
    <row r="196" spans="12:17">
      <c r="L196" s="1"/>
      <c r="M196" s="1"/>
      <c r="Q196" s="1"/>
    </row>
    <row r="197" spans="12:17">
      <c r="L197" s="1"/>
      <c r="M197" s="1"/>
      <c r="Q197" s="1"/>
    </row>
    <row r="198" spans="12:17">
      <c r="L198" s="1"/>
      <c r="M198" s="1"/>
      <c r="Q198" s="1"/>
    </row>
    <row r="199" spans="12:17">
      <c r="L199" s="1"/>
      <c r="M199" s="1"/>
      <c r="Q199" s="1"/>
    </row>
    <row r="200" spans="12:17">
      <c r="L200" s="1"/>
      <c r="M200" s="1"/>
      <c r="Q200" s="1"/>
    </row>
    <row r="201" spans="12:17">
      <c r="L201" s="1"/>
      <c r="M201" s="1"/>
      <c r="Q201" s="1"/>
    </row>
    <row r="202" spans="12:17">
      <c r="L202" s="1"/>
      <c r="M202" s="1"/>
      <c r="Q202" s="1"/>
    </row>
    <row r="203" spans="12:17">
      <c r="L203" s="1"/>
      <c r="M203" s="1"/>
      <c r="Q203" s="1"/>
    </row>
    <row r="204" spans="12:17">
      <c r="L204" s="1"/>
      <c r="M204" s="1"/>
      <c r="Q204" s="1"/>
    </row>
    <row r="205" spans="12:17">
      <c r="L205" s="1"/>
      <c r="M205" s="1"/>
      <c r="Q205" s="1"/>
    </row>
    <row r="206" spans="12:17">
      <c r="L206" s="1"/>
      <c r="M206" s="1"/>
      <c r="Q206" s="1"/>
    </row>
    <row r="207" spans="12:17">
      <c r="L207" s="1"/>
      <c r="M207" s="1"/>
      <c r="Q207" s="1"/>
    </row>
    <row r="208" spans="12:17">
      <c r="L208" s="1"/>
      <c r="M208" s="1"/>
      <c r="Q208" s="1"/>
    </row>
    <row r="209" spans="12:17">
      <c r="L209" s="1"/>
      <c r="M209" s="1"/>
      <c r="Q209" s="1"/>
    </row>
    <row r="210" spans="12:17">
      <c r="L210" s="1"/>
      <c r="M210" s="1"/>
      <c r="Q210" s="1"/>
    </row>
    <row r="211" spans="12:17">
      <c r="L211" s="1"/>
      <c r="M211" s="1"/>
      <c r="Q211" s="1"/>
    </row>
    <row r="212" spans="12:17">
      <c r="L212" s="1"/>
      <c r="M212" s="1"/>
      <c r="Q212" s="1"/>
    </row>
    <row r="213" spans="12:17">
      <c r="L213" s="1"/>
      <c r="M213" s="1"/>
      <c r="Q213" s="1"/>
    </row>
    <row r="214" spans="12:17">
      <c r="L214" s="1"/>
      <c r="M214" s="1"/>
      <c r="Q214" s="1"/>
    </row>
    <row r="215" spans="12:17">
      <c r="L215" s="1"/>
      <c r="M215" s="1"/>
      <c r="Q215" s="1"/>
    </row>
    <row r="216" spans="12:17">
      <c r="L216" s="1"/>
      <c r="M216" s="1"/>
      <c r="Q216" s="1"/>
    </row>
    <row r="217" spans="12:17">
      <c r="L217" s="1"/>
      <c r="M217" s="1"/>
      <c r="Q217" s="1"/>
    </row>
    <row r="218" spans="12:17">
      <c r="L218" s="1"/>
      <c r="M218" s="1"/>
      <c r="Q218" s="1"/>
    </row>
    <row r="219" spans="12:17">
      <c r="L219" s="1"/>
      <c r="M219" s="1"/>
      <c r="Q219" s="1"/>
    </row>
    <row r="220" spans="12:17">
      <c r="L220" s="1"/>
      <c r="M220" s="1"/>
      <c r="Q220" s="1"/>
    </row>
    <row r="221" spans="12:17">
      <c r="L221" s="1"/>
      <c r="M221" s="1"/>
      <c r="Q221" s="1"/>
    </row>
    <row r="222" spans="12:17">
      <c r="L222" s="1"/>
      <c r="M222" s="1"/>
      <c r="Q222" s="1"/>
    </row>
    <row r="223" spans="12:17">
      <c r="L223" s="1"/>
      <c r="M223" s="1"/>
      <c r="Q223" s="1"/>
    </row>
    <row r="224" spans="12:17">
      <c r="L224" s="1"/>
      <c r="M224" s="1"/>
      <c r="Q224" s="1"/>
    </row>
    <row r="225" spans="12:17">
      <c r="L225" s="1"/>
      <c r="M225" s="1"/>
      <c r="Q225" s="1"/>
    </row>
    <row r="226" spans="12:17">
      <c r="L226" s="1"/>
      <c r="M226" s="1"/>
      <c r="Q226" s="1"/>
    </row>
    <row r="227" spans="12:17">
      <c r="L227" s="1"/>
      <c r="M227" s="1"/>
      <c r="Q227" s="1"/>
    </row>
    <row r="228" spans="12:17">
      <c r="L228" s="1"/>
      <c r="M228" s="1"/>
      <c r="Q228" s="1"/>
    </row>
    <row r="229" spans="12:17">
      <c r="L229" s="1"/>
      <c r="M229" s="1"/>
      <c r="Q229" s="1"/>
    </row>
    <row r="230" spans="12:17">
      <c r="L230" s="1"/>
      <c r="M230" s="1"/>
      <c r="Q230" s="1"/>
    </row>
    <row r="231" spans="12:17">
      <c r="L231" s="1"/>
      <c r="M231" s="1"/>
      <c r="Q231" s="1"/>
    </row>
    <row r="232" spans="12:17">
      <c r="L232" s="1"/>
      <c r="M232" s="1"/>
      <c r="Q232" s="1"/>
    </row>
    <row r="233" spans="12:17">
      <c r="L233" s="1"/>
      <c r="M233" s="1"/>
      <c r="Q233" s="1"/>
    </row>
    <row r="234" spans="12:17">
      <c r="L234" s="1"/>
      <c r="M234" s="1"/>
      <c r="Q234" s="1"/>
    </row>
    <row r="235" spans="12:17">
      <c r="L235" s="1"/>
      <c r="M235" s="1"/>
      <c r="Q235" s="1"/>
    </row>
    <row r="236" spans="12:17">
      <c r="L236" s="1"/>
      <c r="M236" s="1"/>
      <c r="Q236" s="1"/>
    </row>
    <row r="237" spans="12:17">
      <c r="L237" s="1"/>
      <c r="M237" s="1"/>
      <c r="Q237" s="1"/>
    </row>
    <row r="238" spans="12:17">
      <c r="L238" s="1"/>
      <c r="M238" s="1"/>
      <c r="Q238" s="1"/>
    </row>
    <row r="239" spans="12:17">
      <c r="L239" s="1"/>
      <c r="M239" s="1"/>
      <c r="Q239" s="1"/>
    </row>
    <row r="240" spans="12:17">
      <c r="L240" s="1"/>
      <c r="M240" s="1"/>
      <c r="Q240" s="1"/>
    </row>
    <row r="241" spans="12:17">
      <c r="L241" s="1"/>
      <c r="M241" s="1"/>
      <c r="Q241" s="1"/>
    </row>
    <row r="242" spans="12:17">
      <c r="L242" s="1"/>
      <c r="M242" s="1"/>
      <c r="Q242" s="1"/>
    </row>
    <row r="243" spans="12:17">
      <c r="L243" s="1"/>
      <c r="M243" s="1"/>
      <c r="Q243" s="1"/>
    </row>
    <row r="244" spans="12:17">
      <c r="L244" s="1"/>
      <c r="M244" s="1"/>
      <c r="Q244" s="1"/>
    </row>
    <row r="245" spans="12:17">
      <c r="L245" s="1"/>
      <c r="M245" s="1"/>
      <c r="Q245" s="1"/>
    </row>
    <row r="246" spans="12:17">
      <c r="L246" s="1"/>
      <c r="M246" s="1"/>
      <c r="Q246" s="1"/>
    </row>
    <row r="247" spans="12:17">
      <c r="L247" s="1"/>
      <c r="M247" s="1"/>
      <c r="Q247" s="1"/>
    </row>
    <row r="248" spans="12:17">
      <c r="L248" s="1"/>
      <c r="M248" s="1"/>
      <c r="Q248" s="1"/>
    </row>
    <row r="249" spans="12:17">
      <c r="L249" s="1"/>
      <c r="M249" s="1"/>
      <c r="Q249" s="1"/>
    </row>
    <row r="250" spans="12:17">
      <c r="L250" s="1"/>
      <c r="M250" s="1"/>
      <c r="Q250" s="1"/>
    </row>
    <row r="251" spans="12:17">
      <c r="L251" s="1"/>
      <c r="M251" s="1"/>
      <c r="Q251" s="1"/>
    </row>
    <row r="252" spans="12:17">
      <c r="L252" s="1"/>
      <c r="M252" s="1"/>
      <c r="Q252" s="1"/>
    </row>
    <row r="253" spans="12:17">
      <c r="L253" s="1"/>
      <c r="M253" s="1"/>
      <c r="Q253" s="1"/>
    </row>
    <row r="254" spans="12:17">
      <c r="L254" s="1"/>
      <c r="M254" s="1"/>
      <c r="Q254" s="1"/>
    </row>
    <row r="255" spans="12:17">
      <c r="L255" s="1"/>
      <c r="M255" s="1"/>
      <c r="Q255" s="1"/>
    </row>
    <row r="256" spans="12:17">
      <c r="L256" s="1"/>
      <c r="M256" s="1"/>
      <c r="Q256" s="1"/>
    </row>
    <row r="257" spans="12:17">
      <c r="L257" s="1"/>
      <c r="M257" s="1"/>
      <c r="Q257" s="1"/>
    </row>
    <row r="258" spans="12:17">
      <c r="L258" s="1"/>
      <c r="M258" s="1"/>
      <c r="Q258" s="1"/>
    </row>
    <row r="259" spans="12:17">
      <c r="L259" s="1"/>
      <c r="M259" s="1"/>
      <c r="Q259" s="1"/>
    </row>
    <row r="260" spans="12:17">
      <c r="L260" s="1"/>
      <c r="M260" s="1"/>
      <c r="Q260" s="1"/>
    </row>
    <row r="261" spans="12:17">
      <c r="L261" s="1"/>
      <c r="M261" s="1"/>
      <c r="Q261" s="1"/>
    </row>
    <row r="262" spans="12:17">
      <c r="L262" s="1"/>
      <c r="M262" s="1"/>
      <c r="Q262" s="1"/>
    </row>
    <row r="263" spans="12:17">
      <c r="L263" s="1"/>
      <c r="M263" s="1"/>
      <c r="Q263" s="1"/>
    </row>
    <row r="264" spans="12:17">
      <c r="L264" s="1"/>
      <c r="M264" s="1"/>
      <c r="Q264" s="1"/>
    </row>
    <row r="265" spans="12:17">
      <c r="L265" s="1"/>
      <c r="M265" s="1"/>
      <c r="Q265" s="1"/>
    </row>
    <row r="266" spans="12:17">
      <c r="L266" s="1"/>
      <c r="M266" s="1"/>
      <c r="Q266" s="1"/>
    </row>
    <row r="267" spans="12:17">
      <c r="L267" s="1"/>
      <c r="M267" s="1"/>
      <c r="Q267" s="1"/>
    </row>
    <row r="268" spans="12:17">
      <c r="L268" s="1"/>
      <c r="M268" s="1"/>
      <c r="Q268" s="1"/>
    </row>
    <row r="269" spans="12:17">
      <c r="L269" s="1"/>
      <c r="M269" s="1"/>
      <c r="Q269" s="1"/>
    </row>
    <row r="270" spans="12:17">
      <c r="L270" s="1"/>
      <c r="M270" s="1"/>
      <c r="Q270" s="1"/>
    </row>
    <row r="271" spans="12:17">
      <c r="L271" s="1"/>
      <c r="M271" s="1"/>
      <c r="Q271" s="1"/>
    </row>
    <row r="272" spans="12:17">
      <c r="L272" s="1"/>
      <c r="M272" s="1"/>
      <c r="Q272" s="1"/>
    </row>
    <row r="273" spans="12:17">
      <c r="L273" s="1"/>
      <c r="M273" s="1"/>
      <c r="Q273" s="1"/>
    </row>
    <row r="274" spans="12:17">
      <c r="L274" s="1"/>
      <c r="M274" s="1"/>
      <c r="Q274" s="1"/>
    </row>
    <row r="275" spans="12:17">
      <c r="L275" s="1"/>
      <c r="M275" s="1"/>
      <c r="Q275" s="1"/>
    </row>
    <row r="276" spans="12:17">
      <c r="L276" s="1"/>
      <c r="M276" s="1"/>
      <c r="Q276" s="1"/>
    </row>
    <row r="277" spans="12:17">
      <c r="L277" s="1"/>
      <c r="M277" s="1"/>
      <c r="Q277" s="1"/>
    </row>
    <row r="278" spans="12:17">
      <c r="L278" s="1"/>
      <c r="M278" s="1"/>
      <c r="Q278" s="1"/>
    </row>
    <row r="279" spans="12:17">
      <c r="L279" s="1"/>
      <c r="M279" s="1"/>
      <c r="Q279" s="1"/>
    </row>
    <row r="280" spans="12:17">
      <c r="L280" s="1"/>
      <c r="M280" s="1"/>
      <c r="Q280" s="1"/>
    </row>
    <row r="281" spans="12:17">
      <c r="L281" s="1"/>
      <c r="M281" s="1"/>
      <c r="Q281" s="1"/>
    </row>
    <row r="282" spans="12:17">
      <c r="L282" s="1"/>
      <c r="M282" s="1"/>
      <c r="Q282" s="1"/>
    </row>
    <row r="283" spans="12:17">
      <c r="L283" s="1"/>
      <c r="M283" s="1"/>
      <c r="Q283" s="1"/>
    </row>
    <row r="284" spans="12:17">
      <c r="L284" s="1"/>
      <c r="M284" s="1"/>
      <c r="Q284" s="1"/>
    </row>
    <row r="285" spans="12:17">
      <c r="L285" s="1"/>
      <c r="M285" s="1"/>
      <c r="Q285" s="1"/>
    </row>
    <row r="286" spans="12:17">
      <c r="L286" s="1"/>
      <c r="M286" s="1"/>
      <c r="Q286" s="1"/>
    </row>
    <row r="287" spans="12:17">
      <c r="L287" s="1"/>
      <c r="M287" s="1"/>
      <c r="Q287" s="1"/>
    </row>
    <row r="288" spans="12:17">
      <c r="L288" s="1"/>
      <c r="M288" s="1"/>
      <c r="Q288" s="1"/>
    </row>
    <row r="289" spans="12:17">
      <c r="L289" s="1"/>
      <c r="M289" s="1"/>
      <c r="Q289" s="1"/>
    </row>
    <row r="290" spans="12:17">
      <c r="L290" s="1"/>
      <c r="M290" s="1"/>
      <c r="Q290" s="1"/>
    </row>
    <row r="291" spans="12:17">
      <c r="L291" s="1"/>
      <c r="M291" s="1"/>
      <c r="Q291" s="1"/>
    </row>
    <row r="292" spans="12:17">
      <c r="L292" s="1"/>
      <c r="M292" s="1"/>
      <c r="Q292" s="1"/>
    </row>
    <row r="293" spans="12:17">
      <c r="L293" s="1"/>
      <c r="M293" s="1"/>
      <c r="Q293" s="1"/>
    </row>
    <row r="294" spans="12:17">
      <c r="L294" s="1"/>
      <c r="M294" s="1"/>
      <c r="Q294" s="1"/>
    </row>
    <row r="295" spans="12:17">
      <c r="L295" s="1"/>
      <c r="M295" s="1"/>
      <c r="Q295" s="1"/>
    </row>
    <row r="296" spans="12:17">
      <c r="L296" s="1"/>
      <c r="M296" s="1"/>
      <c r="Q296" s="1"/>
    </row>
    <row r="297" spans="12:17">
      <c r="L297" s="1"/>
      <c r="M297" s="1"/>
      <c r="Q297" s="1"/>
    </row>
    <row r="298" spans="12:17">
      <c r="L298" s="1"/>
      <c r="M298" s="1"/>
      <c r="Q298" s="1"/>
    </row>
    <row r="299" spans="12:17">
      <c r="L299" s="1"/>
      <c r="M299" s="1"/>
      <c r="Q299" s="1"/>
    </row>
    <row r="300" spans="12:17">
      <c r="L300" s="1"/>
      <c r="M300" s="1"/>
      <c r="Q300" s="1"/>
    </row>
    <row r="301" spans="12:17">
      <c r="L301" s="1"/>
      <c r="M301" s="1"/>
      <c r="Q301" s="1"/>
    </row>
    <row r="302" spans="12:17">
      <c r="L302" s="1"/>
      <c r="M302" s="1"/>
      <c r="Q302" s="1"/>
    </row>
    <row r="303" spans="12:17">
      <c r="L303" s="1"/>
      <c r="M303" s="1"/>
      <c r="Q303" s="1"/>
    </row>
    <row r="304" spans="12:17">
      <c r="L304" s="1"/>
      <c r="M304" s="1"/>
      <c r="Q304" s="1"/>
    </row>
    <row r="305" spans="12:17">
      <c r="L305" s="1"/>
      <c r="M305" s="1"/>
      <c r="Q305" s="1"/>
    </row>
    <row r="306" spans="12:17">
      <c r="L306" s="1"/>
      <c r="M306" s="1"/>
      <c r="Q306" s="1"/>
    </row>
    <row r="307" spans="12:17">
      <c r="L307" s="1"/>
      <c r="M307" s="1"/>
      <c r="Q307" s="1"/>
    </row>
    <row r="308" spans="12:17">
      <c r="L308" s="1"/>
      <c r="M308" s="1"/>
      <c r="Q308" s="1"/>
    </row>
    <row r="309" spans="12:17">
      <c r="L309" s="1"/>
      <c r="M309" s="1"/>
      <c r="Q309" s="1"/>
    </row>
    <row r="310" spans="12:17">
      <c r="L310" s="1"/>
      <c r="M310" s="1"/>
      <c r="Q310" s="1"/>
    </row>
    <row r="311" spans="12:17">
      <c r="L311" s="1"/>
      <c r="M311" s="1"/>
      <c r="Q311" s="1"/>
    </row>
    <row r="312" spans="12:17">
      <c r="L312" s="1"/>
      <c r="M312" s="1"/>
      <c r="Q312" s="1"/>
    </row>
    <row r="313" spans="12:17">
      <c r="L313" s="1"/>
      <c r="M313" s="1"/>
      <c r="Q313" s="1"/>
    </row>
    <row r="314" spans="12:17">
      <c r="L314" s="1"/>
      <c r="M314" s="1"/>
      <c r="Q314" s="1"/>
    </row>
    <row r="315" spans="12:17">
      <c r="L315" s="1"/>
      <c r="M315" s="1"/>
      <c r="Q315" s="1"/>
    </row>
    <row r="316" spans="12:17">
      <c r="L316" s="1"/>
      <c r="M316" s="1"/>
      <c r="Q316" s="1"/>
    </row>
    <row r="317" spans="12:17">
      <c r="L317" s="1"/>
      <c r="M317" s="1"/>
      <c r="Q317" s="1"/>
    </row>
    <row r="318" spans="12:17">
      <c r="L318" s="1"/>
      <c r="M318" s="1"/>
      <c r="Q318" s="1"/>
    </row>
    <row r="319" spans="12:17">
      <c r="L319" s="1"/>
      <c r="M319" s="1"/>
      <c r="Q319" s="1"/>
    </row>
    <row r="320" spans="12:17">
      <c r="L320" s="1"/>
      <c r="M320" s="1"/>
      <c r="Q320" s="1"/>
    </row>
    <row r="321" spans="12:17">
      <c r="L321" s="1"/>
      <c r="M321" s="1"/>
      <c r="Q321" s="1"/>
    </row>
    <row r="322" spans="12:17">
      <c r="L322" s="1"/>
      <c r="M322" s="1"/>
      <c r="Q322" s="1"/>
    </row>
    <row r="323" spans="12:17">
      <c r="L323" s="1"/>
      <c r="M323" s="1"/>
      <c r="Q323" s="1"/>
    </row>
    <row r="324" spans="12:17">
      <c r="L324" s="1"/>
      <c r="M324" s="1"/>
      <c r="Q324" s="1"/>
    </row>
    <row r="325" spans="12:17">
      <c r="L325" s="1"/>
      <c r="M325" s="1"/>
      <c r="Q325" s="1"/>
    </row>
    <row r="326" spans="12:17">
      <c r="L326" s="1"/>
      <c r="M326" s="1"/>
      <c r="Q326" s="1"/>
    </row>
    <row r="327" spans="12:17">
      <c r="L327" s="1"/>
      <c r="M327" s="1"/>
      <c r="Q327" s="1"/>
    </row>
    <row r="328" spans="12:17">
      <c r="L328" s="1"/>
      <c r="M328" s="1"/>
      <c r="Q328" s="1"/>
    </row>
    <row r="329" spans="12:17">
      <c r="L329" s="1"/>
      <c r="M329" s="1"/>
      <c r="Q329" s="1"/>
    </row>
    <row r="330" spans="12:17">
      <c r="L330" s="1"/>
      <c r="M330" s="1"/>
      <c r="Q330" s="1"/>
    </row>
    <row r="331" spans="12:17">
      <c r="L331" s="1"/>
      <c r="M331" s="1"/>
      <c r="Q331" s="1"/>
    </row>
    <row r="332" spans="12:17">
      <c r="L332" s="1"/>
      <c r="M332" s="1"/>
      <c r="Q332" s="1"/>
    </row>
    <row r="333" spans="12:17">
      <c r="L333" s="1"/>
      <c r="M333" s="1"/>
      <c r="Q333" s="1"/>
    </row>
    <row r="334" spans="12:17">
      <c r="L334" s="1"/>
      <c r="M334" s="1"/>
      <c r="Q334" s="1"/>
    </row>
    <row r="335" spans="12:17">
      <c r="L335" s="1"/>
      <c r="M335" s="1"/>
      <c r="Q335" s="1"/>
    </row>
    <row r="336" spans="12:17">
      <c r="L336" s="1"/>
      <c r="M336" s="1"/>
      <c r="Q336" s="1"/>
    </row>
    <row r="337" spans="12:17">
      <c r="L337" s="1"/>
      <c r="M337" s="1"/>
      <c r="Q337" s="1"/>
    </row>
    <row r="338" spans="12:17">
      <c r="L338" s="1"/>
      <c r="M338" s="1"/>
      <c r="Q338" s="1"/>
    </row>
    <row r="339" spans="12:17">
      <c r="L339" s="1"/>
      <c r="M339" s="1"/>
      <c r="Q339" s="1"/>
    </row>
    <row r="340" spans="12:17">
      <c r="L340" s="1"/>
      <c r="M340" s="1"/>
      <c r="Q340" s="1"/>
    </row>
    <row r="341" spans="12:17">
      <c r="L341" s="1"/>
      <c r="M341" s="1"/>
      <c r="Q341" s="1"/>
    </row>
    <row r="342" spans="12:17">
      <c r="L342" s="1"/>
      <c r="M342" s="1"/>
      <c r="Q342" s="1"/>
    </row>
    <row r="343" spans="12:17">
      <c r="L343" s="1"/>
      <c r="M343" s="1"/>
      <c r="Q343" s="1"/>
    </row>
    <row r="344" spans="12:17">
      <c r="L344" s="1"/>
      <c r="M344" s="1"/>
      <c r="Q344" s="1"/>
    </row>
    <row r="345" spans="12:17">
      <c r="L345" s="1"/>
      <c r="M345" s="1"/>
      <c r="Q345" s="1"/>
    </row>
    <row r="346" spans="12:17">
      <c r="L346" s="1"/>
      <c r="M346" s="1"/>
      <c r="Q346" s="1"/>
    </row>
    <row r="347" spans="12:17">
      <c r="L347" s="1"/>
      <c r="M347" s="1"/>
      <c r="Q347" s="1"/>
    </row>
    <row r="348" spans="12:17">
      <c r="L348" s="1"/>
      <c r="M348" s="1"/>
      <c r="Q348" s="1"/>
    </row>
    <row r="349" spans="12:17">
      <c r="L349" s="1"/>
      <c r="M349" s="1"/>
      <c r="Q349" s="1"/>
    </row>
    <row r="350" spans="12:17">
      <c r="L350" s="1"/>
      <c r="M350" s="1"/>
      <c r="Q350" s="1"/>
    </row>
    <row r="351" spans="12:17">
      <c r="L351" s="1"/>
      <c r="M351" s="1"/>
      <c r="Q351" s="1"/>
    </row>
    <row r="352" spans="12:17">
      <c r="L352" s="1"/>
      <c r="M352" s="1"/>
      <c r="Q352" s="1"/>
    </row>
    <row r="353" spans="12:17">
      <c r="L353" s="1"/>
      <c r="M353" s="1"/>
      <c r="Q353" s="1"/>
    </row>
    <row r="354" spans="12:17">
      <c r="L354" s="1"/>
      <c r="M354" s="1"/>
      <c r="Q354" s="1"/>
    </row>
    <row r="355" spans="12:17">
      <c r="L355" s="1"/>
      <c r="M355" s="1"/>
      <c r="Q355" s="1"/>
    </row>
    <row r="356" spans="12:17">
      <c r="L356" s="1"/>
      <c r="M356" s="1"/>
      <c r="Q356" s="1"/>
    </row>
    <row r="357" spans="12:17">
      <c r="L357" s="1"/>
      <c r="M357" s="1"/>
      <c r="Q357" s="1"/>
    </row>
    <row r="358" spans="12:17">
      <c r="L358" s="1"/>
      <c r="M358" s="1"/>
      <c r="Q358" s="1"/>
    </row>
    <row r="359" spans="12:17">
      <c r="L359" s="1"/>
      <c r="M359" s="1"/>
      <c r="Q359" s="1"/>
    </row>
    <row r="360" spans="12:17">
      <c r="L360" s="1"/>
      <c r="M360" s="1"/>
      <c r="Q360" s="1"/>
    </row>
    <row r="361" spans="12:17">
      <c r="L361" s="1"/>
      <c r="M361" s="1"/>
      <c r="Q361" s="1"/>
    </row>
    <row r="362" spans="12:17">
      <c r="L362" s="1"/>
      <c r="M362" s="1"/>
      <c r="Q362" s="1"/>
    </row>
    <row r="363" spans="12:17">
      <c r="L363" s="1"/>
      <c r="M363" s="1"/>
      <c r="Q363" s="1"/>
    </row>
    <row r="364" spans="12:17">
      <c r="L364" s="1"/>
      <c r="M364" s="1"/>
      <c r="Q364" s="1"/>
    </row>
    <row r="365" spans="12:17">
      <c r="L365" s="1"/>
      <c r="M365" s="1"/>
      <c r="Q365" s="1"/>
    </row>
    <row r="366" spans="12:17">
      <c r="L366" s="1"/>
      <c r="M366" s="1"/>
      <c r="Q366" s="1"/>
    </row>
    <row r="367" spans="12:17">
      <c r="L367" s="1"/>
      <c r="M367" s="1"/>
      <c r="Q367" s="1"/>
    </row>
    <row r="368" spans="12:17">
      <c r="L368" s="1"/>
      <c r="M368" s="1"/>
      <c r="Q368" s="1"/>
    </row>
    <row r="369" spans="12:17">
      <c r="L369" s="1"/>
      <c r="M369" s="1"/>
      <c r="Q369" s="1"/>
    </row>
    <row r="370" spans="12:17">
      <c r="L370" s="1"/>
      <c r="M370" s="1"/>
      <c r="Q370" s="1"/>
    </row>
    <row r="371" spans="12:17">
      <c r="L371" s="1"/>
      <c r="M371" s="1"/>
      <c r="Q371" s="1"/>
    </row>
    <row r="372" spans="12:17">
      <c r="L372" s="1"/>
      <c r="M372" s="1"/>
      <c r="Q372" s="1"/>
    </row>
    <row r="373" spans="12:17">
      <c r="L373" s="1"/>
      <c r="M373" s="1"/>
      <c r="Q373" s="1"/>
    </row>
    <row r="374" spans="12:17">
      <c r="L374" s="1"/>
      <c r="M374" s="1"/>
      <c r="Q374" s="1"/>
    </row>
    <row r="375" spans="12:17">
      <c r="L375" s="1"/>
      <c r="M375" s="1"/>
      <c r="Q375" s="1"/>
    </row>
    <row r="376" spans="12:17">
      <c r="L376" s="1"/>
      <c r="M376" s="1"/>
      <c r="Q376" s="1"/>
    </row>
    <row r="377" spans="12:17">
      <c r="L377" s="1"/>
      <c r="M377" s="1"/>
      <c r="Q377" s="1"/>
    </row>
    <row r="378" spans="12:17">
      <c r="L378" s="1"/>
      <c r="M378" s="1"/>
      <c r="Q378" s="1"/>
    </row>
    <row r="379" spans="12:17">
      <c r="L379" s="1"/>
      <c r="M379" s="1"/>
      <c r="Q379" s="1"/>
    </row>
    <row r="380" spans="12:17">
      <c r="L380" s="1"/>
      <c r="M380" s="1"/>
      <c r="Q380" s="1"/>
    </row>
    <row r="381" spans="12:17">
      <c r="L381" s="1"/>
      <c r="M381" s="1"/>
      <c r="Q381" s="1"/>
    </row>
    <row r="382" spans="12:17">
      <c r="L382" s="1"/>
      <c r="M382" s="1"/>
      <c r="Q382" s="1"/>
    </row>
    <row r="383" spans="12:17">
      <c r="L383" s="1"/>
      <c r="M383" s="1"/>
      <c r="Q383" s="1"/>
    </row>
    <row r="384" spans="12:17">
      <c r="L384" s="1"/>
      <c r="M384" s="1"/>
      <c r="Q384" s="1"/>
    </row>
    <row r="385" spans="12:17">
      <c r="L385" s="1"/>
      <c r="M385" s="1"/>
      <c r="Q385" s="1"/>
    </row>
    <row r="386" spans="12:17">
      <c r="L386" s="1"/>
      <c r="M386" s="1"/>
      <c r="Q386" s="1"/>
    </row>
    <row r="387" spans="12:17">
      <c r="L387" s="1"/>
      <c r="M387" s="1"/>
      <c r="Q387" s="1"/>
    </row>
    <row r="388" spans="12:17">
      <c r="L388" s="1"/>
      <c r="M388" s="1"/>
      <c r="Q388" s="1"/>
    </row>
    <row r="389" spans="12:17">
      <c r="L389" s="1"/>
      <c r="M389" s="1"/>
      <c r="Q389" s="1"/>
    </row>
    <row r="390" spans="12:17">
      <c r="L390" s="1"/>
      <c r="M390" s="1"/>
      <c r="Q390" s="1"/>
    </row>
    <row r="391" spans="12:17">
      <c r="L391" s="1"/>
      <c r="M391" s="1"/>
      <c r="Q391" s="1"/>
    </row>
    <row r="392" spans="12:17">
      <c r="L392" s="1"/>
      <c r="M392" s="1"/>
      <c r="Q392" s="1"/>
    </row>
    <row r="393" spans="12:17">
      <c r="L393" s="1"/>
      <c r="M393" s="1"/>
      <c r="Q393" s="1"/>
    </row>
    <row r="394" spans="12:17">
      <c r="L394" s="1"/>
      <c r="M394" s="1"/>
      <c r="Q394" s="1"/>
    </row>
    <row r="395" spans="12:17">
      <c r="L395" s="1"/>
      <c r="M395" s="1"/>
      <c r="Q395" s="1"/>
    </row>
    <row r="396" spans="12:17">
      <c r="L396" s="1"/>
      <c r="M396" s="1"/>
      <c r="Q396" s="1"/>
    </row>
    <row r="397" spans="12:17">
      <c r="L397" s="1"/>
      <c r="M397" s="1"/>
      <c r="Q397" s="1"/>
    </row>
    <row r="398" spans="12:17">
      <c r="L398" s="1"/>
      <c r="M398" s="1"/>
      <c r="Q398" s="1"/>
    </row>
    <row r="399" spans="12:17">
      <c r="L399" s="1"/>
      <c r="M399" s="1"/>
      <c r="Q399" s="1"/>
    </row>
    <row r="400" spans="12:17">
      <c r="L400" s="1"/>
      <c r="M400" s="1"/>
      <c r="Q400" s="1"/>
    </row>
    <row r="401" spans="12:17">
      <c r="L401" s="1"/>
      <c r="M401" s="1"/>
      <c r="Q401" s="1"/>
    </row>
    <row r="402" spans="12:17">
      <c r="L402" s="1"/>
      <c r="M402" s="1"/>
      <c r="Q402" s="1"/>
    </row>
    <row r="403" spans="12:17">
      <c r="L403" s="1"/>
      <c r="M403" s="1"/>
      <c r="Q403" s="1"/>
    </row>
    <row r="404" spans="12:17">
      <c r="L404" s="1"/>
      <c r="M404" s="1"/>
      <c r="Q404" s="1"/>
    </row>
    <row r="405" spans="12:17">
      <c r="L405" s="1"/>
      <c r="M405" s="1"/>
      <c r="Q405" s="1"/>
    </row>
    <row r="406" spans="12:17">
      <c r="L406" s="1"/>
      <c r="M406" s="1"/>
      <c r="Q406" s="1"/>
    </row>
    <row r="407" spans="12:17">
      <c r="L407" s="1"/>
      <c r="M407" s="1"/>
      <c r="Q407" s="1"/>
    </row>
    <row r="408" spans="12:17">
      <c r="L408" s="1"/>
      <c r="M408" s="1"/>
      <c r="Q408" s="1"/>
    </row>
    <row r="409" spans="12:17">
      <c r="L409" s="1"/>
      <c r="M409" s="1"/>
      <c r="Q409" s="1"/>
    </row>
    <row r="410" spans="12:17">
      <c r="L410" s="1"/>
      <c r="M410" s="1"/>
      <c r="Q410" s="1"/>
    </row>
    <row r="411" spans="12:17">
      <c r="L411" s="1"/>
      <c r="M411" s="1"/>
      <c r="Q411" s="1"/>
    </row>
    <row r="412" spans="12:17">
      <c r="L412" s="1"/>
      <c r="M412" s="1"/>
      <c r="Q412" s="1"/>
    </row>
    <row r="413" spans="12:17">
      <c r="L413" s="1"/>
      <c r="M413" s="1"/>
      <c r="Q413" s="1"/>
    </row>
    <row r="414" spans="12:17">
      <c r="L414" s="1"/>
      <c r="M414" s="1"/>
      <c r="Q414" s="1"/>
    </row>
    <row r="415" spans="12:17">
      <c r="L415" s="1"/>
      <c r="M415" s="1"/>
      <c r="Q415" s="1"/>
    </row>
    <row r="416" spans="12:17">
      <c r="L416" s="1"/>
      <c r="M416" s="1"/>
      <c r="Q416" s="1"/>
    </row>
    <row r="417" spans="12:17">
      <c r="L417" s="1"/>
      <c r="M417" s="1"/>
      <c r="Q417" s="1"/>
    </row>
    <row r="418" spans="12:17">
      <c r="L418" s="1"/>
      <c r="M418" s="1"/>
      <c r="Q418" s="1"/>
    </row>
    <row r="419" spans="12:17">
      <c r="L419" s="1"/>
      <c r="M419" s="1"/>
      <c r="Q419" s="1"/>
    </row>
    <row r="420" spans="12:17">
      <c r="L420" s="1"/>
      <c r="M420" s="1"/>
      <c r="Q420" s="1"/>
    </row>
    <row r="421" spans="12:17">
      <c r="L421" s="1"/>
      <c r="M421" s="1"/>
      <c r="Q421" s="1"/>
    </row>
    <row r="422" spans="12:17">
      <c r="L422" s="1"/>
      <c r="M422" s="1"/>
      <c r="Q422" s="1"/>
    </row>
    <row r="423" spans="12:17">
      <c r="L423" s="1"/>
      <c r="M423" s="1"/>
      <c r="Q423" s="1"/>
    </row>
    <row r="424" spans="12:17">
      <c r="L424" s="1"/>
      <c r="M424" s="1"/>
      <c r="Q424" s="1"/>
    </row>
    <row r="425" spans="12:17">
      <c r="L425" s="1"/>
      <c r="M425" s="1"/>
      <c r="Q425" s="1"/>
    </row>
    <row r="426" spans="12:17">
      <c r="L426" s="1"/>
      <c r="M426" s="1"/>
      <c r="Q426" s="1"/>
    </row>
    <row r="427" spans="12:17">
      <c r="L427" s="1"/>
      <c r="M427" s="1"/>
      <c r="Q427" s="1"/>
    </row>
    <row r="428" spans="12:17">
      <c r="L428" s="1"/>
      <c r="M428" s="1"/>
      <c r="Q428" s="1"/>
    </row>
    <row r="429" spans="12:17">
      <c r="L429" s="1"/>
      <c r="M429" s="1"/>
      <c r="Q429" s="1"/>
    </row>
    <row r="430" spans="12:17">
      <c r="L430" s="1"/>
      <c r="M430" s="1"/>
      <c r="Q430" s="1"/>
    </row>
    <row r="431" spans="12:17">
      <c r="L431" s="1"/>
      <c r="M431" s="1"/>
      <c r="Q431" s="1"/>
    </row>
    <row r="432" spans="12:17">
      <c r="L432" s="1"/>
      <c r="M432" s="1"/>
      <c r="Q432" s="1"/>
    </row>
    <row r="433" spans="12:17">
      <c r="L433" s="1"/>
      <c r="M433" s="1"/>
      <c r="Q433" s="1"/>
    </row>
    <row r="434" spans="12:17">
      <c r="L434" s="1"/>
      <c r="M434" s="1"/>
      <c r="Q434" s="1"/>
    </row>
    <row r="435" spans="12:17">
      <c r="L435" s="1"/>
      <c r="M435" s="1"/>
      <c r="Q435" s="1"/>
    </row>
    <row r="436" spans="12:17">
      <c r="L436" s="1"/>
      <c r="M436" s="1"/>
      <c r="Q436" s="1"/>
    </row>
    <row r="437" spans="12:17">
      <c r="L437" s="1"/>
      <c r="M437" s="1"/>
      <c r="Q437" s="1"/>
    </row>
    <row r="438" spans="12:17">
      <c r="L438" s="1"/>
      <c r="M438" s="1"/>
      <c r="Q438" s="1"/>
    </row>
    <row r="439" spans="12:17">
      <c r="L439" s="1"/>
      <c r="M439" s="1"/>
      <c r="Q439" s="1"/>
    </row>
    <row r="440" spans="12:17">
      <c r="L440" s="1"/>
      <c r="M440" s="1"/>
      <c r="Q440" s="1"/>
    </row>
    <row r="441" spans="12:17">
      <c r="L441" s="1"/>
      <c r="M441" s="1"/>
      <c r="Q441" s="1"/>
    </row>
    <row r="442" spans="12:17">
      <c r="L442" s="1"/>
      <c r="M442" s="1"/>
      <c r="Q442" s="1"/>
    </row>
    <row r="443" spans="12:17">
      <c r="L443" s="1"/>
      <c r="M443" s="1"/>
      <c r="Q443" s="1"/>
    </row>
    <row r="444" spans="12:17">
      <c r="L444" s="1"/>
      <c r="M444" s="1"/>
      <c r="Q444" s="1"/>
    </row>
    <row r="445" spans="12:17">
      <c r="L445" s="1"/>
      <c r="M445" s="1"/>
      <c r="Q445" s="1"/>
    </row>
    <row r="446" spans="12:17">
      <c r="L446" s="1"/>
      <c r="M446" s="1"/>
      <c r="Q446" s="1"/>
    </row>
    <row r="447" spans="12:17">
      <c r="L447" s="1"/>
      <c r="M447" s="1"/>
      <c r="Q447" s="1"/>
    </row>
    <row r="448" spans="12:17">
      <c r="L448" s="1"/>
      <c r="M448" s="1"/>
      <c r="Q448" s="1"/>
    </row>
    <row r="449" spans="12:17">
      <c r="L449" s="1"/>
      <c r="M449" s="1"/>
      <c r="Q449" s="1"/>
    </row>
    <row r="450" spans="12:17">
      <c r="L450" s="1"/>
      <c r="M450" s="1"/>
      <c r="Q450" s="1"/>
    </row>
    <row r="451" spans="12:17">
      <c r="L451" s="1"/>
      <c r="M451" s="1"/>
      <c r="Q451" s="1"/>
    </row>
    <row r="452" spans="12:17">
      <c r="L452" s="1"/>
      <c r="M452" s="1"/>
      <c r="Q452" s="1"/>
    </row>
    <row r="453" spans="12:17">
      <c r="L453" s="1"/>
      <c r="M453" s="1"/>
      <c r="Q453" s="1"/>
    </row>
    <row r="454" spans="12:17">
      <c r="L454" s="1"/>
      <c r="M454" s="1"/>
      <c r="Q454" s="1"/>
    </row>
    <row r="455" spans="12:17">
      <c r="L455" s="1"/>
      <c r="M455" s="1"/>
      <c r="Q455" s="1"/>
    </row>
    <row r="456" spans="12:17">
      <c r="L456" s="1"/>
      <c r="M456" s="1"/>
      <c r="Q456" s="1"/>
    </row>
    <row r="457" spans="12:17">
      <c r="L457" s="1"/>
      <c r="M457" s="1"/>
      <c r="Q457" s="1"/>
    </row>
    <row r="458" spans="12:17">
      <c r="L458" s="1"/>
      <c r="M458" s="1"/>
      <c r="Q458" s="1"/>
    </row>
    <row r="459" spans="12:17">
      <c r="L459" s="1"/>
      <c r="M459" s="1"/>
      <c r="Q459" s="1"/>
    </row>
    <row r="460" spans="12:17">
      <c r="L460" s="1"/>
      <c r="M460" s="1"/>
      <c r="Q460" s="1"/>
    </row>
    <row r="461" spans="12:17">
      <c r="L461" s="1"/>
      <c r="M461" s="1"/>
      <c r="Q461" s="1"/>
    </row>
    <row r="462" spans="12:17">
      <c r="L462" s="1"/>
      <c r="M462" s="1"/>
      <c r="Q462" s="1"/>
    </row>
    <row r="463" spans="12:17">
      <c r="L463" s="1"/>
      <c r="M463" s="1"/>
      <c r="Q463" s="1"/>
    </row>
    <row r="464" spans="12:17">
      <c r="L464" s="1"/>
      <c r="M464" s="1"/>
      <c r="Q464" s="1"/>
    </row>
    <row r="465" spans="12:17">
      <c r="L465" s="1"/>
      <c r="M465" s="1"/>
      <c r="Q465" s="1"/>
    </row>
    <row r="466" spans="12:17">
      <c r="L466" s="1"/>
      <c r="M466" s="1"/>
      <c r="Q466" s="1"/>
    </row>
    <row r="467" spans="12:17">
      <c r="L467" s="1"/>
      <c r="M467" s="1"/>
      <c r="Q467" s="1"/>
    </row>
    <row r="468" spans="12:17">
      <c r="L468" s="1"/>
      <c r="M468" s="1"/>
      <c r="Q468" s="1"/>
    </row>
    <row r="469" spans="12:17">
      <c r="L469" s="1"/>
      <c r="M469" s="1"/>
      <c r="Q469" s="1"/>
    </row>
    <row r="470" spans="12:17">
      <c r="L470" s="1"/>
      <c r="M470" s="1"/>
      <c r="Q470" s="1"/>
    </row>
    <row r="471" spans="12:17">
      <c r="L471" s="1"/>
      <c r="M471" s="1"/>
      <c r="Q471" s="1"/>
    </row>
    <row r="472" spans="12:17">
      <c r="L472" s="1"/>
      <c r="M472" s="1"/>
      <c r="Q472" s="1"/>
    </row>
    <row r="473" spans="12:17">
      <c r="L473" s="1"/>
      <c r="M473" s="1"/>
      <c r="Q473" s="1"/>
    </row>
    <row r="474" spans="12:17">
      <c r="L474" s="1"/>
      <c r="M474" s="1"/>
      <c r="Q474" s="1"/>
    </row>
    <row r="475" spans="12:17">
      <c r="L475" s="1"/>
      <c r="M475" s="1"/>
      <c r="Q475" s="1"/>
    </row>
    <row r="476" spans="12:17">
      <c r="L476" s="1"/>
      <c r="M476" s="1"/>
      <c r="Q476" s="1"/>
    </row>
    <row r="477" spans="12:17">
      <c r="L477" s="1"/>
      <c r="M477" s="1"/>
      <c r="Q477" s="1"/>
    </row>
    <row r="478" spans="12:17">
      <c r="L478" s="1"/>
      <c r="M478" s="1"/>
      <c r="Q478" s="1"/>
    </row>
    <row r="479" spans="12:17">
      <c r="L479" s="1"/>
      <c r="M479" s="1"/>
      <c r="Q479" s="1"/>
    </row>
    <row r="480" spans="12:17">
      <c r="L480" s="1"/>
      <c r="M480" s="1"/>
      <c r="Q480" s="1"/>
    </row>
    <row r="481" spans="12:17">
      <c r="L481" s="1"/>
      <c r="M481" s="1"/>
      <c r="Q481" s="1"/>
    </row>
    <row r="482" spans="12:17">
      <c r="L482" s="1"/>
      <c r="M482" s="1"/>
      <c r="Q482" s="1"/>
    </row>
    <row r="483" spans="12:17">
      <c r="L483" s="1"/>
      <c r="M483" s="1"/>
      <c r="Q483" s="1"/>
    </row>
    <row r="484" spans="12:17">
      <c r="L484" s="1"/>
      <c r="M484" s="1"/>
      <c r="Q484" s="1"/>
    </row>
    <row r="485" spans="12:17">
      <c r="L485" s="1"/>
      <c r="M485" s="1"/>
      <c r="Q485" s="1"/>
    </row>
    <row r="486" spans="12:17">
      <c r="L486" s="1"/>
      <c r="M486" s="1"/>
      <c r="Q486" s="1"/>
    </row>
    <row r="487" spans="12:17">
      <c r="L487" s="1"/>
      <c r="M487" s="1"/>
      <c r="Q487" s="1"/>
    </row>
    <row r="488" spans="12:17">
      <c r="L488" s="1"/>
      <c r="M488" s="1"/>
      <c r="Q488" s="1"/>
    </row>
    <row r="489" spans="12:17">
      <c r="L489" s="1"/>
      <c r="M489" s="1"/>
      <c r="Q489" s="1"/>
    </row>
    <row r="490" spans="12:17">
      <c r="L490" s="1"/>
      <c r="M490" s="1"/>
      <c r="Q490" s="1"/>
    </row>
    <row r="491" spans="12:17">
      <c r="L491" s="1"/>
      <c r="M491" s="1"/>
      <c r="Q491" s="1"/>
    </row>
    <row r="492" spans="12:17">
      <c r="L492" s="1"/>
      <c r="M492" s="1"/>
      <c r="Q492" s="1"/>
    </row>
    <row r="493" spans="12:17">
      <c r="L493" s="1"/>
      <c r="M493" s="1"/>
      <c r="Q493" s="1"/>
    </row>
    <row r="494" spans="12:17">
      <c r="L494" s="1"/>
      <c r="M494" s="1"/>
      <c r="Q494" s="1"/>
    </row>
    <row r="495" spans="12:17">
      <c r="L495" s="1"/>
      <c r="M495" s="1"/>
      <c r="Q495" s="1"/>
    </row>
    <row r="496" spans="12:17">
      <c r="L496" s="1"/>
      <c r="M496" s="1"/>
      <c r="Q496" s="1"/>
    </row>
    <row r="497" spans="12:17">
      <c r="L497" s="1"/>
      <c r="M497" s="1"/>
      <c r="Q497" s="1"/>
    </row>
    <row r="498" spans="12:17">
      <c r="L498" s="1"/>
      <c r="M498" s="1"/>
      <c r="Q498" s="1"/>
    </row>
    <row r="499" spans="12:17">
      <c r="L499" s="1"/>
      <c r="M499" s="1"/>
      <c r="Q499" s="1"/>
    </row>
    <row r="500" spans="12:17">
      <c r="L500" s="1"/>
      <c r="M500" s="1"/>
      <c r="Q500" s="1"/>
    </row>
    <row r="501" spans="12:17">
      <c r="L501" s="1"/>
      <c r="M501" s="1"/>
      <c r="Q501" s="1"/>
    </row>
    <row r="502" spans="12:17">
      <c r="L502" s="1"/>
      <c r="M502" s="1"/>
      <c r="Q502" s="1"/>
    </row>
    <row r="503" spans="12:17">
      <c r="L503" s="1"/>
      <c r="M503" s="1"/>
      <c r="Q503" s="1"/>
    </row>
    <row r="504" spans="12:17">
      <c r="L504" s="1"/>
      <c r="M504" s="1"/>
      <c r="Q504" s="1"/>
    </row>
    <row r="505" spans="12:17">
      <c r="L505" s="1"/>
      <c r="M505" s="1"/>
      <c r="Q505" s="1"/>
    </row>
    <row r="506" spans="12:17">
      <c r="L506" s="1"/>
      <c r="M506" s="1"/>
      <c r="Q506" s="1"/>
    </row>
    <row r="507" spans="12:17">
      <c r="L507" s="1"/>
      <c r="M507" s="1"/>
      <c r="Q507" s="1"/>
    </row>
    <row r="508" spans="12:17">
      <c r="L508" s="1"/>
      <c r="M508" s="1"/>
      <c r="Q508" s="1"/>
    </row>
    <row r="509" spans="12:17">
      <c r="L509" s="1"/>
      <c r="M509" s="1"/>
      <c r="Q509" s="1"/>
    </row>
    <row r="510" spans="12:17">
      <c r="L510" s="1"/>
      <c r="M510" s="1"/>
      <c r="Q510" s="1"/>
    </row>
    <row r="511" spans="12:17">
      <c r="L511" s="1"/>
      <c r="M511" s="1"/>
      <c r="Q511" s="1"/>
    </row>
    <row r="512" spans="12:17">
      <c r="L512" s="1"/>
      <c r="M512" s="1"/>
      <c r="Q512" s="1"/>
    </row>
    <row r="513" spans="12:17">
      <c r="L513" s="1"/>
      <c r="M513" s="1"/>
      <c r="Q513" s="1"/>
    </row>
    <row r="514" spans="12:17">
      <c r="L514" s="1"/>
      <c r="M514" s="1"/>
      <c r="Q514" s="1"/>
    </row>
    <row r="515" spans="12:17">
      <c r="L515" s="1"/>
      <c r="M515" s="1"/>
      <c r="Q515" s="1"/>
    </row>
    <row r="516" spans="12:17">
      <c r="L516" s="1"/>
      <c r="M516" s="1"/>
      <c r="Q516" s="1"/>
    </row>
    <row r="517" spans="12:17">
      <c r="L517" s="1"/>
      <c r="M517" s="1"/>
      <c r="Q517" s="1"/>
    </row>
    <row r="518" spans="12:17">
      <c r="L518" s="1"/>
      <c r="M518" s="1"/>
      <c r="Q518" s="1"/>
    </row>
    <row r="519" spans="12:17">
      <c r="L519" s="1"/>
      <c r="M519" s="1"/>
      <c r="Q519" s="1"/>
    </row>
    <row r="520" spans="12:17">
      <c r="L520" s="1"/>
      <c r="M520" s="1"/>
      <c r="Q520" s="1"/>
    </row>
    <row r="521" spans="12:17">
      <c r="L521" s="1"/>
      <c r="M521" s="1"/>
      <c r="Q521" s="1"/>
    </row>
    <row r="522" spans="12:17">
      <c r="L522" s="1"/>
      <c r="M522" s="1"/>
      <c r="Q522" s="1"/>
    </row>
    <row r="523" spans="12:17">
      <c r="L523" s="1"/>
      <c r="M523" s="1"/>
      <c r="Q523" s="1"/>
    </row>
    <row r="524" spans="12:17">
      <c r="L524" s="1"/>
      <c r="M524" s="1"/>
      <c r="Q524" s="1"/>
    </row>
    <row r="525" spans="12:17">
      <c r="L525" s="1"/>
      <c r="M525" s="1"/>
      <c r="Q525" s="1"/>
    </row>
    <row r="526" spans="12:17">
      <c r="L526" s="1"/>
      <c r="M526" s="1"/>
      <c r="Q526" s="1"/>
    </row>
    <row r="527" spans="12:17">
      <c r="L527" s="1"/>
      <c r="M527" s="1"/>
      <c r="Q527" s="1"/>
    </row>
    <row r="528" spans="12:17">
      <c r="L528" s="1"/>
      <c r="M528" s="1"/>
      <c r="Q528" s="1"/>
    </row>
    <row r="529" spans="12:17">
      <c r="L529" s="1"/>
      <c r="M529" s="1"/>
      <c r="Q529" s="1"/>
    </row>
    <row r="530" spans="12:17">
      <c r="L530" s="1"/>
      <c r="M530" s="1"/>
      <c r="Q530" s="1"/>
    </row>
    <row r="531" spans="12:17">
      <c r="L531" s="1"/>
      <c r="M531" s="1"/>
      <c r="Q531" s="1"/>
    </row>
    <row r="532" spans="12:17">
      <c r="L532" s="1"/>
      <c r="M532" s="1"/>
      <c r="Q532" s="1"/>
    </row>
    <row r="533" spans="12:17">
      <c r="L533" s="1"/>
      <c r="M533" s="1"/>
      <c r="Q533" s="1"/>
    </row>
    <row r="534" spans="12:17">
      <c r="L534" s="1"/>
      <c r="M534" s="1"/>
      <c r="Q534" s="1"/>
    </row>
    <row r="535" spans="12:17">
      <c r="L535" s="1"/>
      <c r="M535" s="1"/>
      <c r="Q535" s="1"/>
    </row>
    <row r="536" spans="12:17">
      <c r="L536" s="1"/>
      <c r="M536" s="1"/>
      <c r="Q536" s="1"/>
    </row>
    <row r="537" spans="12:17">
      <c r="L537" s="1"/>
      <c r="M537" s="1"/>
      <c r="Q537" s="1"/>
    </row>
    <row r="538" spans="12:17">
      <c r="L538" s="1"/>
      <c r="M538" s="1"/>
      <c r="Q538" s="1"/>
    </row>
    <row r="539" spans="12:17">
      <c r="L539" s="1"/>
      <c r="M539" s="1"/>
      <c r="Q539" s="1"/>
    </row>
    <row r="540" spans="12:17">
      <c r="L540" s="1"/>
      <c r="M540" s="1"/>
      <c r="Q540" s="1"/>
    </row>
    <row r="541" spans="12:17">
      <c r="L541" s="1"/>
      <c r="M541" s="1"/>
      <c r="Q541" s="1"/>
    </row>
    <row r="542" spans="12:17">
      <c r="L542" s="1"/>
      <c r="M542" s="1"/>
      <c r="Q542" s="1"/>
    </row>
    <row r="543" spans="12:17">
      <c r="L543" s="1"/>
      <c r="M543" s="1"/>
      <c r="Q543" s="1"/>
    </row>
    <row r="544" spans="12:17">
      <c r="L544" s="1"/>
      <c r="M544" s="1"/>
      <c r="Q544" s="1"/>
    </row>
    <row r="545" spans="12:17">
      <c r="L545" s="1"/>
      <c r="M545" s="1"/>
      <c r="Q545" s="1"/>
    </row>
    <row r="546" spans="12:17">
      <c r="L546" s="1"/>
      <c r="M546" s="1"/>
      <c r="Q546" s="1"/>
    </row>
    <row r="547" spans="12:17">
      <c r="L547" s="1"/>
      <c r="M547" s="1"/>
      <c r="Q547" s="1"/>
    </row>
    <row r="548" spans="12:17">
      <c r="L548" s="1"/>
      <c r="M548" s="1"/>
      <c r="Q548" s="1"/>
    </row>
    <row r="549" spans="12:17">
      <c r="L549" s="1"/>
      <c r="M549" s="1"/>
      <c r="Q549" s="1"/>
    </row>
    <row r="550" spans="12:17">
      <c r="L550" s="1"/>
      <c r="M550" s="1"/>
      <c r="Q550" s="1"/>
    </row>
    <row r="551" spans="12:17">
      <c r="L551" s="1"/>
      <c r="M551" s="1"/>
      <c r="Q551" s="1"/>
    </row>
    <row r="552" spans="12:17">
      <c r="L552" s="1"/>
      <c r="M552" s="1"/>
      <c r="Q552" s="1"/>
    </row>
    <row r="553" spans="12:17">
      <c r="L553" s="1"/>
      <c r="M553" s="1"/>
      <c r="Q553" s="1"/>
    </row>
    <row r="554" spans="12:17">
      <c r="L554" s="1"/>
      <c r="M554" s="1"/>
      <c r="Q554" s="1"/>
    </row>
    <row r="555" spans="12:17">
      <c r="L555" s="1"/>
      <c r="M555" s="1"/>
      <c r="Q555" s="1"/>
    </row>
    <row r="556" spans="12:17">
      <c r="L556" s="1"/>
      <c r="M556" s="1"/>
      <c r="Q556" s="1"/>
    </row>
    <row r="557" spans="12:17">
      <c r="L557" s="1"/>
      <c r="M557" s="1"/>
      <c r="Q557" s="1"/>
    </row>
    <row r="558" spans="12:17">
      <c r="L558" s="1"/>
      <c r="M558" s="1"/>
      <c r="Q558" s="1"/>
    </row>
    <row r="559" spans="12:17">
      <c r="L559" s="1"/>
      <c r="M559" s="1"/>
      <c r="Q559" s="1"/>
    </row>
    <row r="560" spans="12:17">
      <c r="L560" s="1"/>
      <c r="M560" s="1"/>
      <c r="Q560" s="1"/>
    </row>
    <row r="561" spans="12:17">
      <c r="L561" s="1"/>
      <c r="M561" s="1"/>
      <c r="Q561" s="1"/>
    </row>
    <row r="562" spans="12:17">
      <c r="L562" s="1"/>
      <c r="M562" s="1"/>
      <c r="Q562" s="1"/>
    </row>
    <row r="563" spans="12:17">
      <c r="L563" s="1"/>
      <c r="M563" s="1"/>
      <c r="Q563" s="1"/>
    </row>
    <row r="564" spans="12:17">
      <c r="L564" s="1"/>
      <c r="M564" s="1"/>
      <c r="Q564" s="1"/>
    </row>
    <row r="565" spans="12:17">
      <c r="L565" s="1"/>
      <c r="M565" s="1"/>
      <c r="Q565" s="1"/>
    </row>
    <row r="566" spans="12:17">
      <c r="L566" s="1"/>
      <c r="M566" s="1"/>
      <c r="Q566" s="1"/>
    </row>
    <row r="567" spans="12:17">
      <c r="L567" s="1"/>
      <c r="M567" s="1"/>
      <c r="Q567" s="1"/>
    </row>
    <row r="568" spans="12:17">
      <c r="L568" s="1"/>
      <c r="M568" s="1"/>
      <c r="Q568" s="1"/>
    </row>
    <row r="569" spans="12:17">
      <c r="L569" s="1"/>
      <c r="M569" s="1"/>
      <c r="Q569" s="1"/>
    </row>
    <row r="570" spans="12:17">
      <c r="L570" s="1"/>
      <c r="M570" s="1"/>
      <c r="Q570" s="1"/>
    </row>
    <row r="571" spans="12:17">
      <c r="L571" s="1"/>
      <c r="M571" s="1"/>
      <c r="Q571" s="1"/>
    </row>
    <row r="572" spans="12:17">
      <c r="L572" s="1"/>
      <c r="M572" s="1"/>
      <c r="Q572" s="1"/>
    </row>
    <row r="573" spans="12:17">
      <c r="L573" s="1"/>
      <c r="M573" s="1"/>
      <c r="Q573" s="1"/>
    </row>
    <row r="574" spans="12:17">
      <c r="L574" s="1"/>
      <c r="M574" s="1"/>
      <c r="Q574" s="1"/>
    </row>
    <row r="575" spans="12:17">
      <c r="L575" s="1"/>
      <c r="M575" s="1"/>
      <c r="Q575" s="1"/>
    </row>
    <row r="576" spans="12:17">
      <c r="L576" s="1"/>
      <c r="M576" s="1"/>
      <c r="Q576" s="1"/>
    </row>
    <row r="577" spans="12:17">
      <c r="L577" s="1"/>
      <c r="M577" s="1"/>
      <c r="Q577" s="1"/>
    </row>
    <row r="578" spans="12:17">
      <c r="L578" s="1"/>
      <c r="M578" s="1"/>
      <c r="Q578" s="1"/>
    </row>
    <row r="579" spans="12:17">
      <c r="L579" s="1"/>
      <c r="M579" s="1"/>
      <c r="Q579" s="1"/>
    </row>
    <row r="580" spans="12:17">
      <c r="L580" s="1"/>
      <c r="M580" s="1"/>
      <c r="Q580" s="1"/>
    </row>
    <row r="581" spans="12:17">
      <c r="L581" s="1"/>
      <c r="M581" s="1"/>
      <c r="Q581" s="1"/>
    </row>
    <row r="582" spans="12:17">
      <c r="L582" s="1"/>
      <c r="M582" s="1"/>
      <c r="Q582" s="1"/>
    </row>
    <row r="583" spans="12:17">
      <c r="L583" s="1"/>
      <c r="M583" s="1"/>
      <c r="Q583" s="1"/>
    </row>
    <row r="584" spans="12:17">
      <c r="L584" s="1"/>
      <c r="M584" s="1"/>
      <c r="Q584" s="1"/>
    </row>
    <row r="585" spans="12:17">
      <c r="L585" s="1"/>
      <c r="M585" s="1"/>
      <c r="Q585" s="1"/>
    </row>
    <row r="586" spans="12:17">
      <c r="L586" s="1"/>
      <c r="M586" s="1"/>
      <c r="Q586" s="1"/>
    </row>
    <row r="587" spans="12:17">
      <c r="L587" s="1"/>
      <c r="M587" s="1"/>
      <c r="Q587" s="1"/>
    </row>
    <row r="588" spans="12:17">
      <c r="L588" s="1"/>
      <c r="M588" s="1"/>
      <c r="Q588" s="1"/>
    </row>
    <row r="589" spans="12:17">
      <c r="L589" s="1"/>
      <c r="M589" s="1"/>
      <c r="Q589" s="1"/>
    </row>
    <row r="590" spans="12:17">
      <c r="L590" s="1"/>
      <c r="M590" s="1"/>
      <c r="Q590" s="1"/>
    </row>
    <row r="591" spans="12:17">
      <c r="L591" s="1"/>
      <c r="M591" s="1"/>
      <c r="Q591" s="1"/>
    </row>
    <row r="592" spans="12:17">
      <c r="L592" s="1"/>
      <c r="M592" s="1"/>
      <c r="Q592" s="1"/>
    </row>
    <row r="593" spans="12:17">
      <c r="L593" s="1"/>
      <c r="M593" s="1"/>
      <c r="Q593" s="1"/>
    </row>
    <row r="594" spans="12:17">
      <c r="L594" s="1"/>
      <c r="M594" s="1"/>
      <c r="Q594" s="1"/>
    </row>
    <row r="595" spans="12:17">
      <c r="L595" s="1"/>
      <c r="M595" s="1"/>
      <c r="Q595" s="1"/>
    </row>
    <row r="596" spans="12:17">
      <c r="L596" s="1"/>
      <c r="M596" s="1"/>
      <c r="Q596" s="1"/>
    </row>
    <row r="597" spans="12:17">
      <c r="L597" s="1"/>
      <c r="M597" s="1"/>
      <c r="Q597" s="1"/>
    </row>
    <row r="598" spans="12:17">
      <c r="L598" s="1"/>
      <c r="M598" s="1"/>
      <c r="Q598" s="1"/>
    </row>
    <row r="599" spans="12:17">
      <c r="L599" s="1"/>
      <c r="M599" s="1"/>
      <c r="Q599" s="1"/>
    </row>
    <row r="600" spans="12:17">
      <c r="L600" s="1"/>
      <c r="M600" s="1"/>
      <c r="Q600" s="1"/>
    </row>
    <row r="601" spans="12:17">
      <c r="L601" s="1"/>
      <c r="M601" s="1"/>
      <c r="Q601" s="1"/>
    </row>
    <row r="602" spans="12:17">
      <c r="L602" s="1"/>
      <c r="M602" s="1"/>
      <c r="Q602" s="1"/>
    </row>
    <row r="603" spans="12:17">
      <c r="L603" s="1"/>
      <c r="M603" s="1"/>
      <c r="Q603" s="1"/>
    </row>
    <row r="604" spans="12:17">
      <c r="L604" s="1"/>
      <c r="M604" s="1"/>
      <c r="Q604" s="1"/>
    </row>
    <row r="605" spans="12:17">
      <c r="L605" s="1"/>
      <c r="M605" s="1"/>
      <c r="Q605" s="1"/>
    </row>
    <row r="606" spans="12:17">
      <c r="L606" s="1"/>
      <c r="M606" s="1"/>
      <c r="Q606" s="1"/>
    </row>
    <row r="607" spans="12:17">
      <c r="L607" s="1"/>
      <c r="M607" s="1"/>
      <c r="Q607" s="1"/>
    </row>
    <row r="608" spans="12:17">
      <c r="L608" s="1"/>
      <c r="M608" s="1"/>
      <c r="Q608" s="1"/>
    </row>
    <row r="609" spans="12:17">
      <c r="L609" s="1"/>
      <c r="M609" s="1"/>
      <c r="Q609" s="1"/>
    </row>
    <row r="610" spans="12:17">
      <c r="L610" s="1"/>
      <c r="M610" s="1"/>
      <c r="Q610" s="1"/>
    </row>
    <row r="611" spans="12:17">
      <c r="L611" s="1"/>
      <c r="M611" s="1"/>
      <c r="Q611" s="1"/>
    </row>
    <row r="612" spans="12:17">
      <c r="L612" s="1"/>
      <c r="M612" s="1"/>
      <c r="Q612" s="1"/>
    </row>
    <row r="613" spans="12:17">
      <c r="L613" s="1"/>
      <c r="M613" s="1"/>
      <c r="Q613" s="1"/>
    </row>
    <row r="614" spans="12:17">
      <c r="L614" s="1"/>
      <c r="M614" s="1"/>
      <c r="Q614" s="1"/>
    </row>
    <row r="615" spans="12:17">
      <c r="L615" s="1"/>
      <c r="M615" s="1"/>
      <c r="Q615" s="1"/>
    </row>
    <row r="616" spans="12:17">
      <c r="L616" s="1"/>
      <c r="M616" s="1"/>
      <c r="Q616" s="1"/>
    </row>
    <row r="617" spans="12:17">
      <c r="L617" s="1"/>
      <c r="M617" s="1"/>
      <c r="Q617" s="1"/>
    </row>
    <row r="618" spans="12:17">
      <c r="L618" s="1"/>
      <c r="M618" s="1"/>
      <c r="Q618" s="1"/>
    </row>
    <row r="619" spans="12:17">
      <c r="L619" s="1"/>
      <c r="M619" s="1"/>
      <c r="Q619" s="1"/>
    </row>
    <row r="620" spans="12:17">
      <c r="L620" s="1"/>
      <c r="M620" s="1"/>
      <c r="Q620" s="1"/>
    </row>
    <row r="621" spans="12:17">
      <c r="L621" s="1"/>
      <c r="M621" s="1"/>
      <c r="Q621" s="1"/>
    </row>
    <row r="622" spans="12:17">
      <c r="L622" s="1"/>
      <c r="M622" s="1"/>
      <c r="Q622" s="1"/>
    </row>
    <row r="623" spans="12:17">
      <c r="L623" s="1"/>
      <c r="M623" s="1"/>
      <c r="Q623" s="1"/>
    </row>
    <row r="624" spans="12:17">
      <c r="L624" s="1"/>
      <c r="M624" s="1"/>
      <c r="Q624" s="1"/>
    </row>
    <row r="625" spans="12:17">
      <c r="L625" s="1"/>
      <c r="M625" s="1"/>
      <c r="Q625" s="1"/>
    </row>
    <row r="626" spans="12:17">
      <c r="L626" s="1"/>
      <c r="M626" s="1"/>
      <c r="Q626" s="1"/>
    </row>
    <row r="627" spans="12:17">
      <c r="L627" s="1"/>
      <c r="M627" s="1"/>
      <c r="Q627" s="1"/>
    </row>
    <row r="628" spans="12:17">
      <c r="L628" s="1"/>
      <c r="M628" s="1"/>
      <c r="Q628" s="1"/>
    </row>
    <row r="629" spans="12:17">
      <c r="L629" s="1"/>
      <c r="M629" s="1"/>
      <c r="Q629" s="1"/>
    </row>
    <row r="630" spans="12:17">
      <c r="L630" s="1"/>
      <c r="M630" s="1"/>
      <c r="Q630" s="1"/>
    </row>
    <row r="631" spans="12:17">
      <c r="L631" s="1"/>
      <c r="M631" s="1"/>
      <c r="Q631" s="1"/>
    </row>
    <row r="632" spans="12:17">
      <c r="L632" s="1"/>
      <c r="M632" s="1"/>
      <c r="Q632" s="1"/>
    </row>
    <row r="633" spans="12:17">
      <c r="L633" s="1"/>
      <c r="M633" s="1"/>
      <c r="Q633" s="1"/>
    </row>
    <row r="634" spans="12:17">
      <c r="L634" s="1"/>
      <c r="M634" s="1"/>
      <c r="Q634" s="1"/>
    </row>
    <row r="635" spans="12:17">
      <c r="L635" s="1"/>
      <c r="M635" s="1"/>
      <c r="Q635" s="1"/>
    </row>
    <row r="636" spans="12:17">
      <c r="L636" s="1"/>
      <c r="M636" s="1"/>
      <c r="Q636" s="1"/>
    </row>
    <row r="637" spans="12:17">
      <c r="L637" s="1"/>
      <c r="M637" s="1"/>
      <c r="Q637" s="1"/>
    </row>
    <row r="638" spans="12:17">
      <c r="L638" s="1"/>
      <c r="M638" s="1"/>
      <c r="Q638" s="1"/>
    </row>
    <row r="639" spans="12:17">
      <c r="L639" s="1"/>
      <c r="M639" s="1"/>
      <c r="Q639" s="1"/>
    </row>
    <row r="640" spans="12:17">
      <c r="L640" s="1"/>
      <c r="M640" s="1"/>
      <c r="Q640" s="1"/>
    </row>
    <row r="641" spans="12:17">
      <c r="L641" s="1"/>
      <c r="M641" s="1"/>
      <c r="Q641" s="1"/>
    </row>
    <row r="642" spans="12:17">
      <c r="L642" s="1"/>
      <c r="M642" s="1"/>
      <c r="Q642" s="1"/>
    </row>
    <row r="643" spans="12:17">
      <c r="L643" s="1"/>
      <c r="M643" s="1"/>
      <c r="Q643" s="1"/>
    </row>
    <row r="644" spans="12:17">
      <c r="L644" s="1"/>
      <c r="M644" s="1"/>
      <c r="Q644" s="1"/>
    </row>
    <row r="645" spans="12:17">
      <c r="L645" s="1"/>
      <c r="M645" s="1"/>
      <c r="Q645" s="1"/>
    </row>
    <row r="646" spans="12:17">
      <c r="L646" s="1"/>
      <c r="M646" s="1"/>
      <c r="Q646" s="1"/>
    </row>
    <row r="647" spans="12:17">
      <c r="L647" s="1"/>
      <c r="M647" s="1"/>
      <c r="Q647" s="1"/>
    </row>
    <row r="648" spans="12:17">
      <c r="L648" s="1"/>
      <c r="M648" s="1"/>
      <c r="Q648" s="1"/>
    </row>
    <row r="649" spans="12:17">
      <c r="L649" s="1"/>
      <c r="M649" s="1"/>
      <c r="Q649" s="1"/>
    </row>
    <row r="650" spans="12:17">
      <c r="L650" s="1"/>
      <c r="M650" s="1"/>
      <c r="Q650" s="1"/>
    </row>
    <row r="651" spans="12:17">
      <c r="L651" s="1"/>
      <c r="M651" s="1"/>
      <c r="Q651" s="1"/>
    </row>
    <row r="652" spans="12:17">
      <c r="L652" s="1"/>
      <c r="M652" s="1"/>
      <c r="Q652" s="1"/>
    </row>
    <row r="653" spans="12:17">
      <c r="L653" s="1"/>
      <c r="M653" s="1"/>
      <c r="Q653" s="1"/>
    </row>
    <row r="654" spans="12:17">
      <c r="L654" s="1"/>
      <c r="M654" s="1"/>
      <c r="Q654" s="1"/>
    </row>
    <row r="655" spans="12:17">
      <c r="L655" s="1"/>
      <c r="M655" s="1"/>
      <c r="Q655" s="1"/>
    </row>
    <row r="656" spans="12:17">
      <c r="L656" s="1"/>
      <c r="M656" s="1"/>
      <c r="Q656" s="1"/>
    </row>
    <row r="657" spans="12:17">
      <c r="L657" s="1"/>
      <c r="M657" s="1"/>
      <c r="Q657" s="1"/>
    </row>
    <row r="658" spans="12:17">
      <c r="L658" s="1"/>
      <c r="M658" s="1"/>
      <c r="Q658" s="1"/>
    </row>
    <row r="659" spans="12:17">
      <c r="L659" s="1"/>
      <c r="M659" s="1"/>
      <c r="Q659" s="1"/>
    </row>
    <row r="660" spans="12:17">
      <c r="L660" s="1"/>
      <c r="M660" s="1"/>
      <c r="Q660" s="1"/>
    </row>
    <row r="661" spans="12:17">
      <c r="L661" s="1"/>
      <c r="M661" s="1"/>
      <c r="Q661" s="1"/>
    </row>
    <row r="662" spans="12:17">
      <c r="L662" s="1"/>
      <c r="M662" s="1"/>
      <c r="Q662" s="1"/>
    </row>
    <row r="663" spans="12:17">
      <c r="L663" s="1"/>
      <c r="M663" s="1"/>
      <c r="Q663" s="1"/>
    </row>
    <row r="664" spans="12:17">
      <c r="L664" s="1"/>
      <c r="M664" s="1"/>
      <c r="Q664" s="1"/>
    </row>
    <row r="665" spans="12:17">
      <c r="L665" s="1"/>
      <c r="M665" s="1"/>
      <c r="Q665" s="1"/>
    </row>
    <row r="666" spans="12:17">
      <c r="L666" s="1"/>
      <c r="M666" s="1"/>
      <c r="Q666" s="1"/>
    </row>
    <row r="667" spans="12:17">
      <c r="L667" s="1"/>
      <c r="M667" s="1"/>
      <c r="Q667" s="1"/>
    </row>
    <row r="668" spans="12:17">
      <c r="L668" s="1"/>
      <c r="M668" s="1"/>
      <c r="Q668" s="1"/>
    </row>
    <row r="669" spans="12:17">
      <c r="L669" s="1"/>
      <c r="M669" s="1"/>
      <c r="Q669" s="1"/>
    </row>
    <row r="670" spans="12:17">
      <c r="L670" s="1"/>
      <c r="M670" s="1"/>
      <c r="Q670" s="1"/>
    </row>
    <row r="671" spans="12:17">
      <c r="L671" s="1"/>
      <c r="M671" s="1"/>
      <c r="Q671" s="1"/>
    </row>
    <row r="672" spans="12:17">
      <c r="L672" s="1"/>
      <c r="M672" s="1"/>
      <c r="Q672" s="1"/>
    </row>
    <row r="673" spans="12:17">
      <c r="L673" s="1"/>
      <c r="M673" s="1"/>
      <c r="Q673" s="1"/>
    </row>
    <row r="674" spans="12:17">
      <c r="L674" s="1"/>
      <c r="M674" s="1"/>
      <c r="Q674" s="1"/>
    </row>
    <row r="675" spans="12:17">
      <c r="L675" s="1"/>
      <c r="M675" s="1"/>
      <c r="Q675" s="1"/>
    </row>
    <row r="676" spans="12:17">
      <c r="L676" s="1"/>
      <c r="M676" s="1"/>
      <c r="Q676" s="1"/>
    </row>
    <row r="677" spans="12:17">
      <c r="L677" s="1"/>
      <c r="M677" s="1"/>
      <c r="Q677" s="1"/>
    </row>
    <row r="678" spans="12:17">
      <c r="L678" s="1"/>
      <c r="M678" s="1"/>
      <c r="Q678" s="1"/>
    </row>
    <row r="679" spans="12:17">
      <c r="L679" s="1"/>
      <c r="M679" s="1"/>
      <c r="Q679" s="1"/>
    </row>
    <row r="680" spans="12:17">
      <c r="L680" s="1"/>
      <c r="M680" s="1"/>
      <c r="Q680" s="1"/>
    </row>
    <row r="681" spans="12:17">
      <c r="L681" s="1"/>
      <c r="M681" s="1"/>
      <c r="Q681" s="1"/>
    </row>
    <row r="682" spans="12:17">
      <c r="L682" s="1"/>
      <c r="M682" s="1"/>
      <c r="Q682" s="1"/>
    </row>
    <row r="683" spans="12:17">
      <c r="L683" s="1"/>
      <c r="M683" s="1"/>
      <c r="Q683" s="1"/>
    </row>
    <row r="684" spans="12:17">
      <c r="L684" s="1"/>
      <c r="M684" s="1"/>
      <c r="Q684" s="1"/>
    </row>
    <row r="685" spans="12:17">
      <c r="L685" s="1"/>
      <c r="M685" s="1"/>
      <c r="Q685" s="1"/>
    </row>
    <row r="686" spans="12:17">
      <c r="L686" s="1"/>
      <c r="M686" s="1"/>
      <c r="Q686" s="1"/>
    </row>
    <row r="687" spans="12:17">
      <c r="L687" s="1"/>
      <c r="M687" s="1"/>
      <c r="Q687" s="1"/>
    </row>
    <row r="688" spans="12:17">
      <c r="L688" s="1"/>
      <c r="M688" s="1"/>
      <c r="Q688" s="1"/>
    </row>
    <row r="689" spans="12:17">
      <c r="L689" s="1"/>
      <c r="M689" s="1"/>
      <c r="Q689" s="1"/>
    </row>
    <row r="690" spans="12:17">
      <c r="L690" s="1"/>
      <c r="M690" s="1"/>
      <c r="Q690" s="1"/>
    </row>
    <row r="691" spans="12:17">
      <c r="L691" s="1"/>
      <c r="M691" s="1"/>
      <c r="Q691" s="1"/>
    </row>
    <row r="692" spans="12:17">
      <c r="L692" s="1"/>
      <c r="M692" s="1"/>
      <c r="Q692" s="1"/>
    </row>
    <row r="693" spans="12:17">
      <c r="L693" s="1"/>
      <c r="M693" s="1"/>
      <c r="Q693" s="1"/>
    </row>
    <row r="694" spans="12:17">
      <c r="L694" s="1"/>
      <c r="M694" s="1"/>
      <c r="Q694" s="1"/>
    </row>
    <row r="695" spans="12:17">
      <c r="L695" s="1"/>
      <c r="M695" s="1"/>
      <c r="Q695" s="1"/>
    </row>
    <row r="696" spans="12:17">
      <c r="L696" s="1"/>
      <c r="M696" s="1"/>
      <c r="Q696" s="1"/>
    </row>
    <row r="697" spans="12:17">
      <c r="L697" s="1"/>
      <c r="M697" s="1"/>
      <c r="Q697" s="1"/>
    </row>
    <row r="698" spans="12:17">
      <c r="L698" s="1"/>
      <c r="M698" s="1"/>
      <c r="Q698" s="1"/>
    </row>
    <row r="699" spans="12:17">
      <c r="L699" s="1"/>
      <c r="M699" s="1"/>
      <c r="Q699" s="1"/>
    </row>
    <row r="700" spans="12:17">
      <c r="L700" s="1"/>
      <c r="M700" s="1"/>
      <c r="Q700" s="1"/>
    </row>
    <row r="701" spans="12:17">
      <c r="L701" s="1"/>
      <c r="M701" s="1"/>
      <c r="Q701" s="1"/>
    </row>
    <row r="702" spans="12:17">
      <c r="L702" s="1"/>
      <c r="M702" s="1"/>
      <c r="Q702" s="1"/>
    </row>
    <row r="703" spans="12:17">
      <c r="L703" s="1"/>
      <c r="M703" s="1"/>
      <c r="Q703" s="1"/>
    </row>
    <row r="704" spans="12:17">
      <c r="L704" s="1"/>
      <c r="M704" s="1"/>
      <c r="Q704" s="1"/>
    </row>
    <row r="705" spans="12:17">
      <c r="L705" s="1"/>
      <c r="M705" s="1"/>
      <c r="Q705" s="1"/>
    </row>
    <row r="706" spans="12:17">
      <c r="L706" s="1"/>
      <c r="M706" s="1"/>
      <c r="Q706" s="1"/>
    </row>
    <row r="707" spans="12:17">
      <c r="L707" s="1"/>
      <c r="M707" s="1"/>
      <c r="Q707" s="1"/>
    </row>
    <row r="708" spans="12:17">
      <c r="L708" s="1"/>
      <c r="M708" s="1"/>
      <c r="Q708" s="1"/>
    </row>
    <row r="709" spans="12:17">
      <c r="L709" s="1"/>
      <c r="M709" s="1"/>
      <c r="Q709" s="1"/>
    </row>
    <row r="710" spans="12:17">
      <c r="L710" s="1"/>
      <c r="M710" s="1"/>
      <c r="Q710" s="1"/>
    </row>
    <row r="711" spans="12:17">
      <c r="L711" s="1"/>
      <c r="M711" s="1"/>
      <c r="Q711" s="1"/>
    </row>
    <row r="712" spans="12:17">
      <c r="L712" s="1"/>
      <c r="M712" s="1"/>
      <c r="Q712" s="1"/>
    </row>
    <row r="713" spans="12:17">
      <c r="L713" s="1"/>
      <c r="M713" s="1"/>
      <c r="Q713" s="1"/>
    </row>
    <row r="714" spans="12:17">
      <c r="L714" s="1"/>
      <c r="M714" s="1"/>
      <c r="Q714" s="1"/>
    </row>
    <row r="715" spans="12:17">
      <c r="L715" s="1"/>
      <c r="M715" s="1"/>
      <c r="Q715" s="1"/>
    </row>
    <row r="716" spans="12:17">
      <c r="L716" s="1"/>
      <c r="M716" s="1"/>
      <c r="Q716" s="1"/>
    </row>
    <row r="717" spans="12:17">
      <c r="L717" s="1"/>
      <c r="M717" s="1"/>
      <c r="Q717" s="1"/>
    </row>
    <row r="718" spans="12:17">
      <c r="L718" s="1"/>
      <c r="M718" s="1"/>
      <c r="Q718" s="1"/>
    </row>
    <row r="719" spans="12:17">
      <c r="L719" s="1"/>
      <c r="M719" s="1"/>
      <c r="Q719" s="1"/>
    </row>
    <row r="720" spans="12:17">
      <c r="L720" s="1"/>
      <c r="M720" s="1"/>
      <c r="Q720" s="1"/>
    </row>
    <row r="721" spans="12:17">
      <c r="L721" s="1"/>
      <c r="M721" s="1"/>
      <c r="Q721" s="1"/>
    </row>
    <row r="722" spans="12:17">
      <c r="L722" s="1"/>
      <c r="M722" s="1"/>
      <c r="Q722" s="1"/>
    </row>
    <row r="723" spans="12:17">
      <c r="L723" s="1"/>
      <c r="M723" s="1"/>
      <c r="Q723" s="1"/>
    </row>
    <row r="724" spans="12:17">
      <c r="L724" s="1"/>
      <c r="M724" s="1"/>
      <c r="Q724" s="1"/>
    </row>
    <row r="725" spans="12:17">
      <c r="L725" s="1"/>
      <c r="M725" s="1"/>
      <c r="Q725" s="1"/>
    </row>
    <row r="726" spans="12:17">
      <c r="L726" s="1"/>
      <c r="M726" s="1"/>
      <c r="Q726" s="1"/>
    </row>
    <row r="727" spans="12:17">
      <c r="L727" s="1"/>
      <c r="M727" s="1"/>
      <c r="Q727" s="1"/>
    </row>
    <row r="728" spans="12:17">
      <c r="L728" s="1"/>
      <c r="M728" s="1"/>
      <c r="Q728" s="1"/>
    </row>
    <row r="729" spans="12:17">
      <c r="L729" s="1"/>
      <c r="M729" s="1"/>
      <c r="Q729" s="1"/>
    </row>
    <row r="730" spans="12:17">
      <c r="L730" s="1"/>
      <c r="M730" s="1"/>
      <c r="Q730" s="1"/>
    </row>
    <row r="731" spans="12:17">
      <c r="L731" s="1"/>
      <c r="M731" s="1"/>
      <c r="Q731" s="1"/>
    </row>
    <row r="732" spans="12:17">
      <c r="L732" s="1"/>
      <c r="M732" s="1"/>
      <c r="Q732" s="1"/>
    </row>
    <row r="733" spans="12:17">
      <c r="L733" s="1"/>
      <c r="M733" s="1"/>
      <c r="Q733" s="1"/>
    </row>
    <row r="734" spans="12:17">
      <c r="L734" s="1"/>
      <c r="M734" s="1"/>
      <c r="Q734" s="1"/>
    </row>
    <row r="735" spans="12:17">
      <c r="L735" s="1"/>
      <c r="M735" s="1"/>
      <c r="Q735" s="1"/>
    </row>
    <row r="736" spans="12:17">
      <c r="L736" s="1"/>
      <c r="M736" s="1"/>
      <c r="Q736" s="1"/>
    </row>
    <row r="737" spans="12:17">
      <c r="L737" s="1"/>
      <c r="M737" s="1"/>
      <c r="Q737" s="1"/>
    </row>
    <row r="738" spans="12:17">
      <c r="L738" s="1"/>
      <c r="M738" s="1"/>
      <c r="Q738" s="1"/>
    </row>
    <row r="739" spans="12:17">
      <c r="L739" s="1"/>
      <c r="M739" s="1"/>
      <c r="Q739" s="1"/>
    </row>
    <row r="740" spans="12:17">
      <c r="L740" s="1"/>
      <c r="M740" s="1"/>
      <c r="Q740" s="1"/>
    </row>
    <row r="741" spans="12:17">
      <c r="L741" s="1"/>
      <c r="M741" s="1"/>
      <c r="Q741" s="1"/>
    </row>
    <row r="742" spans="12:17">
      <c r="L742" s="1"/>
      <c r="M742" s="1"/>
      <c r="Q742" s="1"/>
    </row>
    <row r="743" spans="12:17">
      <c r="L743" s="1"/>
      <c r="M743" s="1"/>
      <c r="Q743" s="1"/>
    </row>
    <row r="744" spans="12:17">
      <c r="L744" s="1"/>
      <c r="M744" s="1"/>
      <c r="Q744" s="1"/>
    </row>
    <row r="745" spans="12:17">
      <c r="L745" s="1"/>
      <c r="M745" s="1"/>
      <c r="Q745" s="1"/>
    </row>
    <row r="746" spans="12:17">
      <c r="L746" s="1"/>
      <c r="M746" s="1"/>
      <c r="Q746" s="1"/>
    </row>
    <row r="747" spans="12:17">
      <c r="L747" s="1"/>
      <c r="M747" s="1"/>
      <c r="Q747" s="1"/>
    </row>
    <row r="748" spans="12:17">
      <c r="L748" s="1"/>
      <c r="M748" s="1"/>
      <c r="Q748" s="1"/>
    </row>
    <row r="749" spans="12:17">
      <c r="L749" s="1"/>
      <c r="M749" s="1"/>
      <c r="Q749" s="1"/>
    </row>
    <row r="750" spans="12:17">
      <c r="L750" s="1"/>
      <c r="M750" s="1"/>
      <c r="Q750" s="1"/>
    </row>
    <row r="751" spans="12:17">
      <c r="L751" s="1"/>
      <c r="M751" s="1"/>
      <c r="Q751" s="1"/>
    </row>
    <row r="752" spans="12:17">
      <c r="L752" s="1"/>
      <c r="M752" s="1"/>
      <c r="Q752" s="1"/>
    </row>
    <row r="753" spans="12:17">
      <c r="L753" s="1"/>
      <c r="M753" s="1"/>
      <c r="Q753" s="1"/>
    </row>
    <row r="754" spans="12:17">
      <c r="L754" s="1"/>
      <c r="M754" s="1"/>
      <c r="Q754" s="1"/>
    </row>
    <row r="755" spans="12:17">
      <c r="L755" s="1"/>
      <c r="M755" s="1"/>
      <c r="Q755" s="1"/>
    </row>
    <row r="756" spans="12:17">
      <c r="L756" s="1"/>
      <c r="M756" s="1"/>
      <c r="Q756" s="1"/>
    </row>
    <row r="757" spans="12:17">
      <c r="L757" s="1"/>
      <c r="M757" s="1"/>
      <c r="Q757" s="1"/>
    </row>
    <row r="758" spans="12:17">
      <c r="L758" s="1"/>
      <c r="M758" s="1"/>
      <c r="Q758" s="1"/>
    </row>
    <row r="759" spans="12:17">
      <c r="L759" s="1"/>
      <c r="M759" s="1"/>
      <c r="Q759" s="1"/>
    </row>
    <row r="760" spans="12:17">
      <c r="L760" s="1"/>
      <c r="M760" s="1"/>
      <c r="Q760" s="1"/>
    </row>
    <row r="761" spans="12:17">
      <c r="L761" s="1"/>
      <c r="M761" s="1"/>
      <c r="Q761" s="1"/>
    </row>
    <row r="762" spans="12:17">
      <c r="L762" s="1"/>
      <c r="M762" s="1"/>
      <c r="Q762" s="1"/>
    </row>
    <row r="763" spans="12:17">
      <c r="L763" s="1"/>
      <c r="M763" s="1"/>
      <c r="Q763" s="1"/>
    </row>
    <row r="764" spans="12:17">
      <c r="L764" s="1"/>
      <c r="M764" s="1"/>
      <c r="Q764" s="1"/>
    </row>
    <row r="765" spans="12:17">
      <c r="L765" s="1"/>
      <c r="M765" s="1"/>
      <c r="Q765" s="1"/>
    </row>
    <row r="766" spans="12:17">
      <c r="L766" s="1"/>
      <c r="M766" s="1"/>
      <c r="Q766" s="1"/>
    </row>
    <row r="767" spans="12:17">
      <c r="L767" s="1"/>
      <c r="M767" s="1"/>
      <c r="Q767" s="1"/>
    </row>
    <row r="768" spans="12:17">
      <c r="L768" s="1"/>
      <c r="M768" s="1"/>
      <c r="Q768" s="1"/>
    </row>
    <row r="769" spans="12:17">
      <c r="L769" s="1"/>
      <c r="M769" s="1"/>
      <c r="Q769" s="1"/>
    </row>
    <row r="770" spans="12:17">
      <c r="L770" s="1"/>
      <c r="M770" s="1"/>
      <c r="Q770" s="1"/>
    </row>
    <row r="771" spans="12:17">
      <c r="L771" s="1"/>
      <c r="M771" s="1"/>
      <c r="Q771" s="1"/>
    </row>
    <row r="772" spans="12:17">
      <c r="L772" s="1"/>
      <c r="M772" s="1"/>
      <c r="Q772" s="1"/>
    </row>
    <row r="773" spans="12:17">
      <c r="L773" s="1"/>
      <c r="M773" s="1"/>
      <c r="Q773" s="1"/>
    </row>
    <row r="774" spans="12:17">
      <c r="L774" s="1"/>
      <c r="M774" s="1"/>
      <c r="Q774" s="1"/>
    </row>
    <row r="775" spans="12:17">
      <c r="L775" s="1"/>
      <c r="M775" s="1"/>
      <c r="Q775" s="1"/>
    </row>
    <row r="776" spans="12:17">
      <c r="L776" s="1"/>
      <c r="M776" s="1"/>
      <c r="Q776" s="1"/>
    </row>
    <row r="777" spans="12:17">
      <c r="L777" s="1"/>
      <c r="M777" s="1"/>
      <c r="Q777" s="1"/>
    </row>
    <row r="778" spans="12:17">
      <c r="L778" s="1"/>
      <c r="M778" s="1"/>
      <c r="Q778" s="1"/>
    </row>
    <row r="779" spans="12:17">
      <c r="L779" s="1"/>
      <c r="M779" s="1"/>
      <c r="Q779" s="1"/>
    </row>
    <row r="780" spans="12:17">
      <c r="L780" s="1"/>
      <c r="M780" s="1"/>
      <c r="Q780" s="1"/>
    </row>
    <row r="781" spans="12:17">
      <c r="L781" s="1"/>
      <c r="M781" s="1"/>
      <c r="Q781" s="1"/>
    </row>
    <row r="782" spans="12:17">
      <c r="L782" s="1"/>
      <c r="M782" s="1"/>
      <c r="Q782" s="1"/>
    </row>
    <row r="783" spans="12:17">
      <c r="L783" s="1"/>
      <c r="M783" s="1"/>
      <c r="Q783" s="1"/>
    </row>
    <row r="784" spans="12:17">
      <c r="L784" s="1"/>
      <c r="M784" s="1"/>
      <c r="Q784" s="1"/>
    </row>
    <row r="785" spans="12:17">
      <c r="L785" s="1"/>
      <c r="M785" s="1"/>
      <c r="Q785" s="1"/>
    </row>
    <row r="786" spans="12:17">
      <c r="L786" s="1"/>
      <c r="M786" s="1"/>
      <c r="Q786" s="1"/>
    </row>
    <row r="787" spans="12:17">
      <c r="L787" s="1"/>
      <c r="M787" s="1"/>
      <c r="Q787" s="1"/>
    </row>
    <row r="788" spans="12:17">
      <c r="L788" s="1"/>
      <c r="M788" s="1"/>
      <c r="Q788" s="1"/>
    </row>
    <row r="789" spans="12:17">
      <c r="L789" s="1"/>
      <c r="M789" s="1"/>
      <c r="Q789" s="1"/>
    </row>
    <row r="790" spans="12:17">
      <c r="L790" s="1"/>
      <c r="M790" s="1"/>
      <c r="Q790" s="1"/>
    </row>
    <row r="791" spans="12:17">
      <c r="L791" s="1"/>
      <c r="M791" s="1"/>
      <c r="Q791" s="1"/>
    </row>
    <row r="792" spans="12:17">
      <c r="L792" s="1"/>
      <c r="M792" s="1"/>
      <c r="Q792" s="1"/>
    </row>
    <row r="793" spans="12:17">
      <c r="L793" s="1"/>
      <c r="M793" s="1"/>
      <c r="Q793" s="1"/>
    </row>
    <row r="794" spans="12:17">
      <c r="L794" s="1"/>
      <c r="M794" s="1"/>
      <c r="Q794" s="1"/>
    </row>
    <row r="795" spans="12:17">
      <c r="L795" s="1"/>
      <c r="M795" s="1"/>
      <c r="Q795" s="1"/>
    </row>
    <row r="796" spans="12:17">
      <c r="L796" s="1"/>
      <c r="M796" s="1"/>
      <c r="Q796" s="1"/>
    </row>
    <row r="797" spans="12:17">
      <c r="L797" s="1"/>
      <c r="M797" s="1"/>
      <c r="Q797" s="1"/>
    </row>
    <row r="798" spans="12:17">
      <c r="L798" s="1"/>
      <c r="M798" s="1"/>
      <c r="Q798" s="1"/>
    </row>
    <row r="799" spans="12:17">
      <c r="L799" s="1"/>
      <c r="M799" s="1"/>
      <c r="Q799" s="1"/>
    </row>
    <row r="800" spans="12:17">
      <c r="L800" s="1"/>
      <c r="M800" s="1"/>
      <c r="Q800" s="1"/>
    </row>
    <row r="801" spans="12:17">
      <c r="L801" s="1"/>
      <c r="M801" s="1"/>
      <c r="Q801" s="1"/>
    </row>
    <row r="802" spans="12:17">
      <c r="L802" s="1"/>
      <c r="M802" s="1"/>
      <c r="Q802" s="1"/>
    </row>
    <row r="803" spans="12:17">
      <c r="L803" s="1"/>
      <c r="M803" s="1"/>
      <c r="Q803" s="1"/>
    </row>
    <row r="804" spans="12:17">
      <c r="L804" s="1"/>
      <c r="M804" s="1"/>
      <c r="Q804" s="1"/>
    </row>
    <row r="805" spans="12:17">
      <c r="L805" s="1"/>
      <c r="M805" s="1"/>
      <c r="Q805" s="1"/>
    </row>
    <row r="806" spans="12:17">
      <c r="L806" s="1"/>
      <c r="M806" s="1"/>
      <c r="Q806" s="1"/>
    </row>
    <row r="807" spans="12:17">
      <c r="L807" s="1"/>
      <c r="M807" s="1"/>
      <c r="Q807" s="1"/>
    </row>
    <row r="808" spans="12:17">
      <c r="L808" s="1"/>
      <c r="M808" s="1"/>
      <c r="Q808" s="1"/>
    </row>
    <row r="809" spans="12:17">
      <c r="L809" s="1"/>
      <c r="M809" s="1"/>
      <c r="Q809" s="1"/>
    </row>
    <row r="810" spans="12:17">
      <c r="L810" s="1"/>
      <c r="M810" s="1"/>
      <c r="Q810" s="1"/>
    </row>
    <row r="811" spans="12:17">
      <c r="L811" s="1"/>
      <c r="M811" s="1"/>
      <c r="Q811" s="1"/>
    </row>
    <row r="812" spans="12:17">
      <c r="L812" s="1"/>
      <c r="M812" s="1"/>
      <c r="Q812" s="1"/>
    </row>
    <row r="813" spans="12:17">
      <c r="L813" s="1"/>
      <c r="M813" s="1"/>
      <c r="Q813" s="1"/>
    </row>
    <row r="814" spans="12:17">
      <c r="L814" s="1"/>
      <c r="M814" s="1"/>
      <c r="Q814" s="1"/>
    </row>
    <row r="815" spans="12:17">
      <c r="L815" s="1"/>
      <c r="M815" s="1"/>
      <c r="Q815" s="1"/>
    </row>
    <row r="816" spans="12:17">
      <c r="L816" s="1"/>
      <c r="M816" s="1"/>
      <c r="Q816" s="1"/>
    </row>
    <row r="817" spans="12:17">
      <c r="L817" s="1"/>
      <c r="M817" s="1"/>
      <c r="Q817" s="1"/>
    </row>
    <row r="818" spans="12:17">
      <c r="L818" s="1"/>
      <c r="M818" s="1"/>
      <c r="Q818" s="1"/>
    </row>
    <row r="819" spans="12:17">
      <c r="L819" s="1"/>
      <c r="M819" s="1"/>
      <c r="Q819" s="1"/>
    </row>
    <row r="820" spans="12:17">
      <c r="L820" s="1"/>
      <c r="M820" s="1"/>
      <c r="Q820" s="1"/>
    </row>
    <row r="821" spans="12:17">
      <c r="L821" s="1"/>
      <c r="M821" s="1"/>
      <c r="Q821" s="1"/>
    </row>
    <row r="822" spans="12:17">
      <c r="L822" s="1"/>
      <c r="M822" s="1"/>
      <c r="Q822" s="1"/>
    </row>
    <row r="823" spans="12:17">
      <c r="L823" s="1"/>
      <c r="M823" s="1"/>
      <c r="Q823" s="1"/>
    </row>
    <row r="824" spans="12:17">
      <c r="L824" s="1"/>
      <c r="M824" s="1"/>
      <c r="Q824" s="1"/>
    </row>
    <row r="825" spans="12:17">
      <c r="L825" s="1"/>
      <c r="M825" s="1"/>
      <c r="Q825" s="1"/>
    </row>
    <row r="826" spans="12:17">
      <c r="L826" s="1"/>
      <c r="M826" s="1"/>
      <c r="Q826" s="1"/>
    </row>
    <row r="827" spans="12:17">
      <c r="L827" s="1"/>
      <c r="M827" s="1"/>
      <c r="Q827" s="1"/>
    </row>
    <row r="828" spans="12:17">
      <c r="L828" s="1"/>
      <c r="M828" s="1"/>
      <c r="Q828" s="1"/>
    </row>
    <row r="829" spans="12:17">
      <c r="L829" s="1"/>
      <c r="M829" s="1"/>
      <c r="Q829" s="1"/>
    </row>
    <row r="830" spans="12:17">
      <c r="L830" s="1"/>
      <c r="M830" s="1"/>
      <c r="Q830" s="1"/>
    </row>
    <row r="831" spans="12:17">
      <c r="L831" s="1"/>
      <c r="M831" s="1"/>
      <c r="Q831" s="1"/>
    </row>
    <row r="832" spans="12:17">
      <c r="L832" s="1"/>
      <c r="M832" s="1"/>
      <c r="Q832" s="1"/>
    </row>
    <row r="833" spans="12:17">
      <c r="L833" s="1"/>
      <c r="M833" s="1"/>
      <c r="Q833" s="1"/>
    </row>
    <row r="834" spans="12:17">
      <c r="L834" s="1"/>
      <c r="M834" s="1"/>
      <c r="Q834" s="1"/>
    </row>
    <row r="835" spans="12:17">
      <c r="L835" s="1"/>
      <c r="M835" s="1"/>
      <c r="Q835" s="1"/>
    </row>
    <row r="836" spans="12:17">
      <c r="L836" s="1"/>
      <c r="M836" s="1"/>
      <c r="Q836" s="1"/>
    </row>
    <row r="837" spans="12:17">
      <c r="L837" s="1"/>
      <c r="M837" s="1"/>
      <c r="Q837" s="1"/>
    </row>
    <row r="838" spans="12:17">
      <c r="L838" s="1"/>
      <c r="M838" s="1"/>
      <c r="Q838" s="1"/>
    </row>
    <row r="839" spans="12:17">
      <c r="L839" s="1"/>
      <c r="M839" s="1"/>
      <c r="Q839" s="1"/>
    </row>
    <row r="840" spans="12:17">
      <c r="L840" s="1"/>
      <c r="M840" s="1"/>
      <c r="Q840" s="1"/>
    </row>
    <row r="841" spans="12:17">
      <c r="L841" s="1"/>
      <c r="M841" s="1"/>
      <c r="Q841" s="1"/>
    </row>
    <row r="842" spans="12:17">
      <c r="L842" s="1"/>
      <c r="M842" s="1"/>
      <c r="Q842" s="1"/>
    </row>
    <row r="843" spans="12:17">
      <c r="L843" s="1"/>
      <c r="M843" s="1"/>
      <c r="Q843" s="1"/>
    </row>
    <row r="844" spans="12:17">
      <c r="L844" s="1"/>
      <c r="M844" s="1"/>
      <c r="Q844" s="1"/>
    </row>
    <row r="845" spans="12:17">
      <c r="L845" s="1"/>
      <c r="M845" s="1"/>
      <c r="Q845" s="1"/>
    </row>
    <row r="846" spans="12:17">
      <c r="L846" s="1"/>
      <c r="M846" s="1"/>
      <c r="Q846" s="1"/>
    </row>
    <row r="847" spans="12:17">
      <c r="L847" s="1"/>
      <c r="M847" s="1"/>
      <c r="Q847" s="1"/>
    </row>
    <row r="848" spans="12:17">
      <c r="L848" s="1"/>
      <c r="M848" s="1"/>
      <c r="Q848" s="1"/>
    </row>
    <row r="849" spans="12:17">
      <c r="L849" s="1"/>
      <c r="M849" s="1"/>
      <c r="Q849" s="1"/>
    </row>
    <row r="850" spans="12:17">
      <c r="L850" s="1"/>
      <c r="M850" s="1"/>
      <c r="Q850" s="1"/>
    </row>
    <row r="851" spans="12:17">
      <c r="L851" s="1"/>
      <c r="M851" s="1"/>
      <c r="Q851" s="1"/>
    </row>
    <row r="852" spans="12:17">
      <c r="L852" s="1"/>
      <c r="M852" s="1"/>
      <c r="Q852" s="1"/>
    </row>
    <row r="853" spans="12:17">
      <c r="L853" s="1"/>
      <c r="M853" s="1"/>
      <c r="Q853" s="1"/>
    </row>
    <row r="854" spans="12:17">
      <c r="L854" s="1"/>
      <c r="M854" s="1"/>
      <c r="Q854" s="1"/>
    </row>
    <row r="855" spans="12:17">
      <c r="L855" s="1"/>
      <c r="M855" s="1"/>
      <c r="Q855" s="1"/>
    </row>
    <row r="856" spans="12:17">
      <c r="L856" s="1"/>
      <c r="M856" s="1"/>
      <c r="Q856" s="1"/>
    </row>
    <row r="857" spans="12:17">
      <c r="L857" s="1"/>
      <c r="M857" s="1"/>
      <c r="Q857" s="1"/>
    </row>
    <row r="858" spans="12:17">
      <c r="L858" s="1"/>
      <c r="M858" s="1"/>
      <c r="Q858" s="1"/>
    </row>
    <row r="859" spans="12:17">
      <c r="L859" s="1"/>
      <c r="M859" s="1"/>
      <c r="Q859" s="1"/>
    </row>
    <row r="860" spans="12:17">
      <c r="L860" s="1"/>
      <c r="M860" s="1"/>
      <c r="Q860" s="1"/>
    </row>
    <row r="861" spans="12:17">
      <c r="L861" s="1"/>
      <c r="M861" s="1"/>
      <c r="Q861" s="1"/>
    </row>
    <row r="862" spans="12:17">
      <c r="L862" s="1"/>
      <c r="M862" s="1"/>
      <c r="Q862" s="1"/>
    </row>
    <row r="863" spans="12:17">
      <c r="L863" s="1"/>
      <c r="M863" s="1"/>
      <c r="Q863" s="1"/>
    </row>
    <row r="864" spans="12:17">
      <c r="L864" s="1"/>
      <c r="M864" s="1"/>
      <c r="Q864" s="1"/>
    </row>
    <row r="865" spans="12:17">
      <c r="L865" s="1"/>
      <c r="M865" s="1"/>
      <c r="Q865" s="1"/>
    </row>
    <row r="866" spans="12:17">
      <c r="L866" s="1"/>
      <c r="M866" s="1"/>
      <c r="Q866" s="1"/>
    </row>
    <row r="867" spans="12:17">
      <c r="L867" s="1"/>
      <c r="M867" s="1"/>
      <c r="Q867" s="1"/>
    </row>
    <row r="868" spans="12:17">
      <c r="L868" s="1"/>
      <c r="M868" s="1"/>
      <c r="Q868" s="1"/>
    </row>
    <row r="869" spans="12:17">
      <c r="L869" s="1"/>
      <c r="M869" s="1"/>
      <c r="Q869" s="1"/>
    </row>
    <row r="870" spans="12:17">
      <c r="L870" s="1"/>
      <c r="M870" s="1"/>
      <c r="Q870" s="1"/>
    </row>
    <row r="871" spans="12:17">
      <c r="L871" s="1"/>
      <c r="M871" s="1"/>
      <c r="Q871" s="1"/>
    </row>
    <row r="872" spans="12:17">
      <c r="L872" s="1"/>
      <c r="M872" s="1"/>
      <c r="Q872" s="1"/>
    </row>
    <row r="873" spans="12:17">
      <c r="L873" s="1"/>
      <c r="M873" s="1"/>
      <c r="Q873" s="1"/>
    </row>
    <row r="874" spans="12:17">
      <c r="L874" s="1"/>
      <c r="M874" s="1"/>
      <c r="Q874" s="1"/>
    </row>
    <row r="875" spans="12:17">
      <c r="L875" s="1"/>
      <c r="M875" s="1"/>
      <c r="Q875" s="1"/>
    </row>
    <row r="876" spans="12:17">
      <c r="L876" s="1"/>
      <c r="M876" s="1"/>
      <c r="Q876" s="1"/>
    </row>
    <row r="877" spans="12:17">
      <c r="L877" s="1"/>
      <c r="M877" s="1"/>
      <c r="Q877" s="1"/>
    </row>
    <row r="878" spans="12:17">
      <c r="L878" s="1"/>
      <c r="M878" s="1"/>
      <c r="Q878" s="1"/>
    </row>
    <row r="879" spans="12:17">
      <c r="L879" s="1"/>
      <c r="M879" s="1"/>
      <c r="Q879" s="1"/>
    </row>
    <row r="880" spans="12:17">
      <c r="L880" s="1"/>
      <c r="M880" s="1"/>
      <c r="Q880" s="1"/>
    </row>
    <row r="881" spans="12:17">
      <c r="L881" s="1"/>
      <c r="M881" s="1"/>
      <c r="Q881" s="1"/>
    </row>
    <row r="882" spans="12:17">
      <c r="L882" s="1"/>
      <c r="M882" s="1"/>
      <c r="Q882" s="1"/>
    </row>
    <row r="883" spans="12:17">
      <c r="L883" s="1"/>
      <c r="M883" s="1"/>
      <c r="Q883" s="1"/>
    </row>
    <row r="884" spans="12:17">
      <c r="L884" s="1"/>
      <c r="M884" s="1"/>
      <c r="Q884" s="1"/>
    </row>
    <row r="885" spans="12:17">
      <c r="L885" s="1"/>
      <c r="M885" s="1"/>
      <c r="Q885" s="1"/>
    </row>
    <row r="886" spans="12:17">
      <c r="L886" s="1"/>
      <c r="M886" s="1"/>
      <c r="Q886" s="1"/>
    </row>
    <row r="887" spans="12:17">
      <c r="L887" s="1"/>
      <c r="M887" s="1"/>
      <c r="Q887" s="1"/>
    </row>
    <row r="888" spans="12:17">
      <c r="L888" s="1"/>
      <c r="M888" s="1"/>
      <c r="Q888" s="1"/>
    </row>
    <row r="889" spans="12:17">
      <c r="L889" s="1"/>
      <c r="M889" s="1"/>
      <c r="Q889" s="1"/>
    </row>
    <row r="890" spans="12:17">
      <c r="L890" s="1"/>
      <c r="M890" s="1"/>
      <c r="Q890" s="1"/>
    </row>
    <row r="891" spans="12:17">
      <c r="L891" s="1"/>
      <c r="M891" s="1"/>
      <c r="Q891" s="1"/>
    </row>
    <row r="892" spans="12:17">
      <c r="L892" s="1"/>
      <c r="M892" s="1"/>
      <c r="Q892" s="1"/>
    </row>
    <row r="893" spans="12:17">
      <c r="L893" s="1"/>
      <c r="M893" s="1"/>
      <c r="Q893" s="1"/>
    </row>
    <row r="894" spans="12:17">
      <c r="L894" s="1"/>
      <c r="M894" s="1"/>
      <c r="Q894" s="1"/>
    </row>
    <row r="895" spans="12:17">
      <c r="L895" s="1"/>
      <c r="M895" s="1"/>
      <c r="Q895" s="1"/>
    </row>
    <row r="896" spans="12:17">
      <c r="L896" s="1"/>
      <c r="M896" s="1"/>
      <c r="Q896" s="1"/>
    </row>
    <row r="897" spans="12:17">
      <c r="L897" s="1"/>
      <c r="M897" s="1"/>
      <c r="Q897" s="1"/>
    </row>
    <row r="898" spans="12:17">
      <c r="L898" s="1"/>
      <c r="M898" s="1"/>
      <c r="Q898" s="1"/>
    </row>
    <row r="899" spans="12:17">
      <c r="L899" s="1"/>
      <c r="M899" s="1"/>
      <c r="Q899" s="1"/>
    </row>
    <row r="900" spans="12:17">
      <c r="L900" s="1"/>
      <c r="M900" s="1"/>
      <c r="Q900" s="1"/>
    </row>
    <row r="901" spans="12:17">
      <c r="L901" s="1"/>
      <c r="M901" s="1"/>
      <c r="Q901" s="1"/>
    </row>
    <row r="902" spans="12:17">
      <c r="L902" s="1"/>
      <c r="M902" s="1"/>
      <c r="Q902" s="1"/>
    </row>
    <row r="903" spans="12:17">
      <c r="L903" s="1"/>
      <c r="M903" s="1"/>
      <c r="Q903" s="1"/>
    </row>
    <row r="904" spans="12:17">
      <c r="L904" s="1"/>
      <c r="M904" s="1"/>
      <c r="Q904" s="1"/>
    </row>
    <row r="905" spans="12:17">
      <c r="L905" s="1"/>
      <c r="M905" s="1"/>
      <c r="Q905" s="1"/>
    </row>
    <row r="906" spans="12:17">
      <c r="L906" s="1"/>
      <c r="M906" s="1"/>
      <c r="Q906" s="1"/>
    </row>
    <row r="907" spans="12:17">
      <c r="L907" s="1"/>
      <c r="M907" s="1"/>
      <c r="Q907" s="1"/>
    </row>
    <row r="908" spans="12:17">
      <c r="L908" s="1"/>
      <c r="M908" s="1"/>
      <c r="Q908" s="1"/>
    </row>
    <row r="909" spans="12:17">
      <c r="L909" s="1"/>
      <c r="M909" s="1"/>
      <c r="Q909" s="1"/>
    </row>
    <row r="910" spans="12:17">
      <c r="L910" s="1"/>
      <c r="M910" s="1"/>
      <c r="Q910" s="1"/>
    </row>
    <row r="911" spans="12:17">
      <c r="L911" s="1"/>
      <c r="M911" s="1"/>
      <c r="Q911" s="1"/>
    </row>
    <row r="912" spans="12:17">
      <c r="L912" s="1"/>
      <c r="M912" s="1"/>
      <c r="Q912" s="1"/>
    </row>
    <row r="913" spans="12:17">
      <c r="L913" s="1"/>
      <c r="M913" s="1"/>
      <c r="Q913" s="1"/>
    </row>
    <row r="914" spans="12:17">
      <c r="L914" s="1"/>
      <c r="M914" s="1"/>
      <c r="Q914" s="1"/>
    </row>
    <row r="915" spans="12:17">
      <c r="L915" s="1"/>
      <c r="M915" s="1"/>
      <c r="Q915" s="1"/>
    </row>
    <row r="916" spans="12:17">
      <c r="L916" s="1"/>
      <c r="M916" s="1"/>
      <c r="Q916" s="1"/>
    </row>
    <row r="917" spans="12:17">
      <c r="L917" s="1"/>
      <c r="M917" s="1"/>
      <c r="Q917" s="1"/>
    </row>
    <row r="918" spans="12:17">
      <c r="L918" s="1"/>
      <c r="M918" s="1"/>
      <c r="Q918" s="1"/>
    </row>
    <row r="919" spans="12:17">
      <c r="L919" s="1"/>
      <c r="M919" s="1"/>
      <c r="Q919" s="1"/>
    </row>
    <row r="920" spans="12:17">
      <c r="L920" s="1"/>
      <c r="M920" s="1"/>
      <c r="Q920" s="1"/>
    </row>
    <row r="921" spans="12:17">
      <c r="L921" s="1"/>
      <c r="M921" s="1"/>
      <c r="Q921" s="1"/>
    </row>
    <row r="922" spans="12:17">
      <c r="L922" s="1"/>
      <c r="M922" s="1"/>
      <c r="Q922" s="1"/>
    </row>
    <row r="923" spans="12:17">
      <c r="L923" s="1"/>
      <c r="M923" s="1"/>
      <c r="Q923" s="1"/>
    </row>
    <row r="924" spans="12:17">
      <c r="L924" s="1"/>
      <c r="M924" s="1"/>
      <c r="Q924" s="1"/>
    </row>
    <row r="925" spans="12:17">
      <c r="L925" s="1"/>
      <c r="M925" s="1"/>
      <c r="Q925" s="1"/>
    </row>
    <row r="926" spans="12:17">
      <c r="L926" s="1"/>
      <c r="M926" s="1"/>
      <c r="Q926" s="1"/>
    </row>
    <row r="927" spans="12:17">
      <c r="L927" s="1"/>
      <c r="M927" s="1"/>
      <c r="Q927" s="1"/>
    </row>
    <row r="928" spans="12:17">
      <c r="L928" s="1"/>
      <c r="M928" s="1"/>
      <c r="Q928" s="1"/>
    </row>
    <row r="929" spans="12:17">
      <c r="L929" s="1"/>
      <c r="M929" s="1"/>
      <c r="Q929" s="1"/>
    </row>
    <row r="930" spans="12:17">
      <c r="L930" s="1"/>
      <c r="M930" s="1"/>
      <c r="Q930" s="1"/>
    </row>
    <row r="931" spans="12:17">
      <c r="L931" s="1"/>
      <c r="M931" s="1"/>
      <c r="Q931" s="1"/>
    </row>
    <row r="932" spans="12:17">
      <c r="L932" s="1"/>
      <c r="M932" s="1"/>
      <c r="Q932" s="1"/>
    </row>
    <row r="933" spans="12:17">
      <c r="L933" s="1"/>
      <c r="M933" s="1"/>
      <c r="Q933" s="1"/>
    </row>
    <row r="934" spans="12:17">
      <c r="L934" s="1"/>
      <c r="M934" s="1"/>
      <c r="Q934" s="1"/>
    </row>
    <row r="935" spans="12:17">
      <c r="L935" s="1"/>
      <c r="M935" s="1"/>
      <c r="Q935" s="1"/>
    </row>
    <row r="936" spans="12:17">
      <c r="L936" s="1"/>
      <c r="M936" s="1"/>
      <c r="Q936" s="1"/>
    </row>
    <row r="937" spans="12:17">
      <c r="L937" s="1"/>
      <c r="M937" s="1"/>
      <c r="Q937" s="1"/>
    </row>
    <row r="938" spans="12:17">
      <c r="L938" s="1"/>
      <c r="M938" s="1"/>
      <c r="Q938" s="1"/>
    </row>
    <row r="939" spans="12:17">
      <c r="L939" s="1"/>
      <c r="M939" s="1"/>
      <c r="Q939" s="1"/>
    </row>
    <row r="940" spans="12:17">
      <c r="L940" s="1"/>
      <c r="M940" s="1"/>
      <c r="Q940" s="1"/>
    </row>
    <row r="941" spans="12:17">
      <c r="L941" s="1"/>
      <c r="M941" s="1"/>
      <c r="Q941" s="1"/>
    </row>
    <row r="942" spans="12:17">
      <c r="L942" s="1"/>
      <c r="M942" s="1"/>
      <c r="Q942" s="1"/>
    </row>
    <row r="943" spans="12:17">
      <c r="L943" s="1"/>
      <c r="M943" s="1"/>
      <c r="Q943" s="1"/>
    </row>
    <row r="944" spans="12:17">
      <c r="L944" s="1"/>
      <c r="M944" s="1"/>
      <c r="Q944" s="1"/>
    </row>
    <row r="945" spans="12:17">
      <c r="L945" s="1"/>
      <c r="M945" s="1"/>
      <c r="Q945" s="1"/>
    </row>
    <row r="946" spans="12:17">
      <c r="L946" s="1"/>
      <c r="M946" s="1"/>
      <c r="Q946" s="1"/>
    </row>
    <row r="947" spans="12:17">
      <c r="L947" s="1"/>
      <c r="M947" s="1"/>
      <c r="Q947" s="1"/>
    </row>
    <row r="948" spans="12:17">
      <c r="L948" s="1"/>
      <c r="M948" s="1"/>
      <c r="Q948" s="1"/>
    </row>
    <row r="949" spans="12:17">
      <c r="L949" s="1"/>
      <c r="M949" s="1"/>
      <c r="Q949" s="1"/>
    </row>
    <row r="950" spans="12:17">
      <c r="L950" s="1"/>
      <c r="M950" s="1"/>
      <c r="Q950" s="1"/>
    </row>
    <row r="951" spans="12:17">
      <c r="L951" s="1"/>
      <c r="M951" s="1"/>
      <c r="Q951" s="1"/>
    </row>
    <row r="952" spans="12:17">
      <c r="L952" s="1"/>
      <c r="M952" s="1"/>
      <c r="Q952" s="1"/>
    </row>
    <row r="953" spans="12:17">
      <c r="L953" s="1"/>
      <c r="M953" s="1"/>
      <c r="Q953" s="1"/>
    </row>
    <row r="954" spans="12:17">
      <c r="L954" s="1"/>
      <c r="M954" s="1"/>
      <c r="Q954" s="1"/>
    </row>
    <row r="955" spans="12:17">
      <c r="L955" s="1"/>
      <c r="M955" s="1"/>
      <c r="Q955" s="1"/>
    </row>
    <row r="956" spans="12:17">
      <c r="L956" s="1"/>
      <c r="M956" s="1"/>
      <c r="Q956" s="1"/>
    </row>
    <row r="957" spans="12:17">
      <c r="L957" s="1"/>
      <c r="M957" s="1"/>
      <c r="Q957" s="1"/>
    </row>
    <row r="958" spans="12:17">
      <c r="L958" s="1"/>
      <c r="M958" s="1"/>
      <c r="Q958" s="1"/>
    </row>
    <row r="959" spans="12:17">
      <c r="L959" s="1"/>
      <c r="M959" s="1"/>
      <c r="Q959" s="1"/>
    </row>
    <row r="960" spans="12:17">
      <c r="L960" s="1"/>
      <c r="M960" s="1"/>
      <c r="Q960" s="1"/>
    </row>
    <row r="961" spans="12:17">
      <c r="L961" s="1"/>
      <c r="M961" s="1"/>
      <c r="Q961" s="1"/>
    </row>
    <row r="962" spans="12:17">
      <c r="L962" s="1"/>
      <c r="M962" s="1"/>
      <c r="Q962" s="1"/>
    </row>
    <row r="963" spans="12:17">
      <c r="L963" s="1"/>
      <c r="M963" s="1"/>
      <c r="Q963" s="1"/>
    </row>
    <row r="964" spans="12:17">
      <c r="L964" s="1"/>
      <c r="M964" s="1"/>
      <c r="Q964" s="1"/>
    </row>
    <row r="965" spans="12:17">
      <c r="L965" s="1"/>
      <c r="M965" s="1"/>
      <c r="Q965" s="1"/>
    </row>
    <row r="966" spans="12:17">
      <c r="L966" s="1"/>
      <c r="M966" s="1"/>
      <c r="Q966" s="1"/>
    </row>
    <row r="967" spans="12:17">
      <c r="L967" s="1"/>
      <c r="M967" s="1"/>
      <c r="Q967" s="1"/>
    </row>
    <row r="968" spans="12:17">
      <c r="L968" s="1"/>
      <c r="M968" s="1"/>
      <c r="Q968" s="1"/>
    </row>
    <row r="969" spans="12:17">
      <c r="L969" s="1"/>
      <c r="M969" s="1"/>
      <c r="Q969" s="1"/>
    </row>
    <row r="970" spans="12:17">
      <c r="L970" s="1"/>
      <c r="M970" s="1"/>
      <c r="Q970" s="1"/>
    </row>
    <row r="971" spans="12:17">
      <c r="L971" s="1"/>
      <c r="M971" s="1"/>
      <c r="Q971" s="1"/>
    </row>
    <row r="972" spans="12:17">
      <c r="L972" s="1"/>
      <c r="M972" s="1"/>
      <c r="Q972" s="1"/>
    </row>
    <row r="973" spans="12:17">
      <c r="L973" s="1"/>
      <c r="M973" s="1"/>
      <c r="Q973" s="1"/>
    </row>
    <row r="974" spans="12:17">
      <c r="L974" s="1"/>
      <c r="M974" s="1"/>
      <c r="Q974" s="1"/>
    </row>
    <row r="975" spans="12:17">
      <c r="L975" s="1"/>
      <c r="M975" s="1"/>
      <c r="Q975" s="1"/>
    </row>
    <row r="976" spans="12:17">
      <c r="L976" s="1"/>
      <c r="M976" s="1"/>
      <c r="Q976" s="1"/>
    </row>
    <row r="977" spans="12:17">
      <c r="L977" s="1"/>
      <c r="M977" s="1"/>
      <c r="Q977" s="1"/>
    </row>
    <row r="978" spans="12:17">
      <c r="L978" s="1"/>
      <c r="M978" s="1"/>
      <c r="Q978" s="1"/>
    </row>
    <row r="979" spans="12:17">
      <c r="L979" s="1"/>
      <c r="M979" s="1"/>
      <c r="Q979" s="1"/>
    </row>
    <row r="980" spans="12:17">
      <c r="L980" s="1"/>
      <c r="M980" s="1"/>
      <c r="Q980" s="1"/>
    </row>
    <row r="981" spans="12:17">
      <c r="L981" s="1"/>
      <c r="M981" s="1"/>
      <c r="Q981" s="1"/>
    </row>
    <row r="982" spans="12:17">
      <c r="L982" s="1"/>
      <c r="M982" s="1"/>
      <c r="Q982" s="1"/>
    </row>
    <row r="983" spans="12:17">
      <c r="L983" s="1"/>
      <c r="M983" s="1"/>
      <c r="Q983" s="1"/>
    </row>
    <row r="984" spans="12:17">
      <c r="L984" s="1"/>
      <c r="M984" s="1"/>
      <c r="Q984" s="1"/>
    </row>
    <row r="985" spans="12:17">
      <c r="L985" s="1"/>
      <c r="M985" s="1"/>
      <c r="Q985" s="1"/>
    </row>
    <row r="986" spans="12:17">
      <c r="L986" s="1"/>
      <c r="M986" s="1"/>
      <c r="Q986" s="1"/>
    </row>
    <row r="987" spans="12:17">
      <c r="L987" s="1"/>
      <c r="M987" s="1"/>
      <c r="Q987" s="1"/>
    </row>
    <row r="988" spans="12:17">
      <c r="L988" s="1"/>
      <c r="M988" s="1"/>
      <c r="Q988" s="1"/>
    </row>
    <row r="989" spans="12:17">
      <c r="L989" s="1"/>
      <c r="M989" s="1"/>
      <c r="Q989" s="1"/>
    </row>
    <row r="990" spans="12:17">
      <c r="L990" s="1"/>
      <c r="M990" s="1"/>
      <c r="Q990" s="1"/>
    </row>
    <row r="991" spans="12:17">
      <c r="L991" s="1"/>
      <c r="M991" s="1"/>
      <c r="Q991" s="1"/>
    </row>
    <row r="992" spans="12:17">
      <c r="L992" s="1"/>
      <c r="M992" s="1"/>
      <c r="Q992" s="1"/>
    </row>
    <row r="993" spans="12:17">
      <c r="L993" s="1"/>
      <c r="M993" s="1"/>
      <c r="Q993" s="1"/>
    </row>
    <row r="994" spans="12:17">
      <c r="L994" s="1"/>
      <c r="M994" s="1"/>
      <c r="Q994" s="1"/>
    </row>
    <row r="995" spans="12:17">
      <c r="L995" s="1"/>
      <c r="M995" s="1"/>
      <c r="Q995" s="1"/>
    </row>
    <row r="996" spans="12:17">
      <c r="L996" s="1"/>
      <c r="M996" s="1"/>
      <c r="Q996" s="1"/>
    </row>
    <row r="997" spans="12:17">
      <c r="L997" s="1"/>
      <c r="M997" s="1"/>
      <c r="Q997" s="1"/>
    </row>
    <row r="998" spans="12:17">
      <c r="L998" s="1"/>
      <c r="M998" s="1"/>
      <c r="Q998" s="1"/>
    </row>
    <row r="999" spans="12:17">
      <c r="L999" s="1"/>
      <c r="M999" s="1"/>
      <c r="Q999" s="1"/>
    </row>
    <row r="1000" spans="12:17">
      <c r="L1000" s="1"/>
      <c r="M1000" s="1"/>
      <c r="Q1000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32"/>
  <sheetViews>
    <sheetView workbookViewId="0">
      <selection activeCell="M29" sqref="M29"/>
    </sheetView>
  </sheetViews>
  <sheetFormatPr baseColWidth="10" defaultColWidth="14.5" defaultRowHeight="15" customHeight="1"/>
  <sheetData>
    <row r="1" spans="1:7">
      <c r="A1" s="166" t="s">
        <v>2</v>
      </c>
      <c r="B1" s="13" t="s">
        <v>137</v>
      </c>
      <c r="C1" s="13" t="s">
        <v>138</v>
      </c>
      <c r="D1" s="13" t="s">
        <v>139</v>
      </c>
      <c r="E1" s="13" t="s">
        <v>140</v>
      </c>
      <c r="F1" s="14" t="s">
        <v>141</v>
      </c>
      <c r="G1" s="166" t="s">
        <v>142</v>
      </c>
    </row>
    <row r="2" spans="1:7">
      <c r="A2" s="167"/>
      <c r="B2" s="15" t="s">
        <v>143</v>
      </c>
      <c r="C2" s="15" t="s">
        <v>144</v>
      </c>
      <c r="D2" s="15" t="s">
        <v>143</v>
      </c>
      <c r="E2" s="15" t="s">
        <v>143</v>
      </c>
      <c r="F2" s="16" t="s">
        <v>143</v>
      </c>
      <c r="G2" s="167"/>
    </row>
    <row r="3" spans="1:7">
      <c r="A3" s="17" t="s">
        <v>145</v>
      </c>
      <c r="B3" s="18">
        <v>4</v>
      </c>
      <c r="C3" s="18">
        <v>9</v>
      </c>
      <c r="D3" s="18">
        <v>3</v>
      </c>
      <c r="E3" s="18">
        <v>4</v>
      </c>
      <c r="F3" s="19">
        <v>0</v>
      </c>
      <c r="G3" s="20">
        <v>20</v>
      </c>
    </row>
    <row r="4" spans="1:7">
      <c r="A4" s="17" t="s">
        <v>146</v>
      </c>
      <c r="B4" s="18">
        <v>4</v>
      </c>
      <c r="C4" s="18">
        <v>8.5</v>
      </c>
      <c r="D4" s="18">
        <v>3</v>
      </c>
      <c r="E4" s="18">
        <v>4</v>
      </c>
      <c r="F4" s="19">
        <v>3</v>
      </c>
      <c r="G4" s="20">
        <v>22.5</v>
      </c>
    </row>
    <row r="5" spans="1:7">
      <c r="A5" s="17" t="s">
        <v>147</v>
      </c>
      <c r="B5" s="18">
        <v>1</v>
      </c>
      <c r="C5" s="18">
        <v>0</v>
      </c>
      <c r="D5" s="18">
        <v>0</v>
      </c>
      <c r="E5" s="18">
        <v>0</v>
      </c>
      <c r="F5" s="19">
        <v>0</v>
      </c>
      <c r="G5" s="20">
        <v>1</v>
      </c>
    </row>
    <row r="6" spans="1:7">
      <c r="A6" s="17" t="s">
        <v>148</v>
      </c>
      <c r="B6" s="18">
        <v>4</v>
      </c>
      <c r="C6" s="18">
        <v>9</v>
      </c>
      <c r="D6" s="18">
        <v>3</v>
      </c>
      <c r="E6" s="18">
        <v>4</v>
      </c>
      <c r="F6" s="19">
        <v>3</v>
      </c>
      <c r="G6" s="20">
        <v>23</v>
      </c>
    </row>
    <row r="7" spans="1:7">
      <c r="A7" s="17" t="s">
        <v>149</v>
      </c>
      <c r="B7" s="18">
        <v>3.5</v>
      </c>
      <c r="C7" s="18">
        <v>5</v>
      </c>
      <c r="D7" s="18">
        <v>0</v>
      </c>
      <c r="E7" s="18">
        <v>0</v>
      </c>
      <c r="F7" s="19">
        <v>0</v>
      </c>
      <c r="G7" s="20">
        <v>8.5</v>
      </c>
    </row>
    <row r="8" spans="1:7">
      <c r="A8" s="17" t="s">
        <v>150</v>
      </c>
      <c r="B8" s="18">
        <v>0</v>
      </c>
      <c r="C8" s="18">
        <v>0</v>
      </c>
      <c r="D8" s="18">
        <v>0</v>
      </c>
      <c r="E8" s="18">
        <v>0</v>
      </c>
      <c r="F8" s="19">
        <v>0</v>
      </c>
      <c r="G8" s="20">
        <v>0</v>
      </c>
    </row>
    <row r="9" spans="1:7">
      <c r="A9" s="17" t="s">
        <v>151</v>
      </c>
      <c r="B9" s="18">
        <v>2.5</v>
      </c>
      <c r="C9" s="18">
        <v>0</v>
      </c>
      <c r="D9" s="18">
        <v>0</v>
      </c>
      <c r="E9" s="18">
        <v>0</v>
      </c>
      <c r="F9" s="19">
        <v>1</v>
      </c>
      <c r="G9" s="20">
        <v>3.5</v>
      </c>
    </row>
    <row r="10" spans="1:7">
      <c r="A10" s="17" t="s">
        <v>152</v>
      </c>
      <c r="B10" s="18">
        <v>4</v>
      </c>
      <c r="C10" s="18">
        <v>8</v>
      </c>
      <c r="D10" s="18">
        <v>3</v>
      </c>
      <c r="E10" s="18">
        <v>4</v>
      </c>
      <c r="F10" s="19">
        <v>0</v>
      </c>
      <c r="G10" s="20">
        <v>19</v>
      </c>
    </row>
    <row r="11" spans="1:7">
      <c r="A11" s="17" t="s">
        <v>153</v>
      </c>
      <c r="B11" s="18">
        <v>1.5</v>
      </c>
      <c r="C11" s="18">
        <v>0</v>
      </c>
      <c r="D11" s="18">
        <v>0</v>
      </c>
      <c r="E11" s="18">
        <v>0</v>
      </c>
      <c r="F11" s="19">
        <v>3</v>
      </c>
      <c r="G11" s="20">
        <v>4.5</v>
      </c>
    </row>
    <row r="12" spans="1:7">
      <c r="A12" s="17" t="s">
        <v>154</v>
      </c>
      <c r="B12" s="18">
        <v>0</v>
      </c>
      <c r="C12" s="18">
        <v>1</v>
      </c>
      <c r="D12" s="18">
        <v>0</v>
      </c>
      <c r="E12" s="18">
        <v>0</v>
      </c>
      <c r="F12" s="19">
        <v>1</v>
      </c>
      <c r="G12" s="20">
        <v>2</v>
      </c>
    </row>
    <row r="13" spans="1:7">
      <c r="A13" s="17" t="s">
        <v>155</v>
      </c>
      <c r="B13" s="21">
        <v>3.5</v>
      </c>
      <c r="C13" s="18">
        <v>7.5</v>
      </c>
      <c r="D13" s="18">
        <v>3</v>
      </c>
      <c r="E13" s="18">
        <v>0</v>
      </c>
      <c r="F13" s="19">
        <v>1</v>
      </c>
      <c r="G13" s="20">
        <v>15</v>
      </c>
    </row>
    <row r="14" spans="1:7">
      <c r="A14" s="17" t="s">
        <v>156</v>
      </c>
      <c r="B14" s="18">
        <v>0</v>
      </c>
      <c r="C14" s="18">
        <v>0</v>
      </c>
      <c r="D14" s="18">
        <v>0</v>
      </c>
      <c r="E14" s="18">
        <v>0</v>
      </c>
      <c r="F14" s="19">
        <v>0</v>
      </c>
      <c r="G14" s="20">
        <v>0</v>
      </c>
    </row>
    <row r="15" spans="1:7">
      <c r="A15" s="17" t="s">
        <v>157</v>
      </c>
      <c r="B15" s="18">
        <v>3.5</v>
      </c>
      <c r="C15" s="18">
        <v>8.5</v>
      </c>
      <c r="D15" s="18">
        <v>0</v>
      </c>
      <c r="E15" s="18">
        <v>3.5</v>
      </c>
      <c r="F15" s="19">
        <v>0</v>
      </c>
      <c r="G15" s="20">
        <v>15.5</v>
      </c>
    </row>
    <row r="16" spans="1:7">
      <c r="A16" s="17" t="s">
        <v>158</v>
      </c>
      <c r="B16" s="18">
        <v>4</v>
      </c>
      <c r="C16" s="18">
        <v>6.5</v>
      </c>
      <c r="D16" s="18">
        <v>0</v>
      </c>
      <c r="E16" s="18">
        <v>0</v>
      </c>
      <c r="F16" s="19">
        <v>1</v>
      </c>
      <c r="G16" s="20">
        <v>11.5</v>
      </c>
    </row>
    <row r="17" spans="1:7">
      <c r="A17" s="17" t="s">
        <v>159</v>
      </c>
      <c r="B17" s="18">
        <v>0</v>
      </c>
      <c r="C17" s="18">
        <v>4</v>
      </c>
      <c r="D17" s="18">
        <v>3</v>
      </c>
      <c r="E17" s="18">
        <v>1</v>
      </c>
      <c r="F17" s="19">
        <v>2.5</v>
      </c>
      <c r="G17" s="20">
        <v>10.5</v>
      </c>
    </row>
    <row r="18" spans="1:7">
      <c r="A18" s="17" t="s">
        <v>160</v>
      </c>
      <c r="B18" s="18"/>
      <c r="C18" s="18"/>
      <c r="D18" s="18"/>
      <c r="E18" s="18"/>
      <c r="F18" s="19"/>
      <c r="G18" s="20"/>
    </row>
    <row r="19" spans="1:7">
      <c r="A19" s="17" t="s">
        <v>161</v>
      </c>
      <c r="B19" s="18">
        <v>4</v>
      </c>
      <c r="C19" s="18">
        <v>3</v>
      </c>
      <c r="D19" s="18">
        <v>0</v>
      </c>
      <c r="E19" s="18">
        <v>0</v>
      </c>
      <c r="F19" s="19">
        <v>0</v>
      </c>
      <c r="G19" s="20">
        <v>7</v>
      </c>
    </row>
    <row r="20" spans="1:7">
      <c r="A20" s="17" t="s">
        <v>162</v>
      </c>
      <c r="B20" s="18">
        <v>2.5</v>
      </c>
      <c r="C20" s="18">
        <v>3</v>
      </c>
      <c r="D20" s="18">
        <v>1</v>
      </c>
      <c r="E20" s="18">
        <v>1</v>
      </c>
      <c r="F20" s="19">
        <v>0.5</v>
      </c>
      <c r="G20" s="20">
        <v>8</v>
      </c>
    </row>
    <row r="21" spans="1:7">
      <c r="A21" s="17" t="s">
        <v>163</v>
      </c>
      <c r="B21" s="18">
        <v>2.5</v>
      </c>
      <c r="C21" s="18">
        <v>9</v>
      </c>
      <c r="D21" s="18">
        <v>3</v>
      </c>
      <c r="E21" s="18">
        <v>4</v>
      </c>
      <c r="F21" s="19">
        <v>3</v>
      </c>
      <c r="G21" s="20">
        <v>21.5</v>
      </c>
    </row>
    <row r="22" spans="1:7">
      <c r="A22" s="17" t="s">
        <v>164</v>
      </c>
      <c r="B22" s="18">
        <v>0</v>
      </c>
      <c r="C22" s="18">
        <v>0</v>
      </c>
      <c r="D22" s="18">
        <v>0</v>
      </c>
      <c r="E22" s="18">
        <v>0</v>
      </c>
      <c r="F22" s="19">
        <v>0</v>
      </c>
      <c r="G22" s="20">
        <v>0</v>
      </c>
    </row>
    <row r="23" spans="1:7">
      <c r="A23" s="17" t="s">
        <v>165</v>
      </c>
      <c r="B23" s="18">
        <v>0</v>
      </c>
      <c r="C23" s="18">
        <v>9</v>
      </c>
      <c r="D23" s="18">
        <v>3</v>
      </c>
      <c r="E23" s="18">
        <v>0</v>
      </c>
      <c r="F23" s="19">
        <v>3</v>
      </c>
      <c r="G23" s="20">
        <v>15</v>
      </c>
    </row>
    <row r="24" spans="1:7">
      <c r="A24" s="17" t="s">
        <v>163</v>
      </c>
      <c r="B24" s="18">
        <v>2.5</v>
      </c>
      <c r="C24" s="18">
        <v>9</v>
      </c>
      <c r="D24" s="18">
        <v>3</v>
      </c>
      <c r="E24" s="18">
        <v>4</v>
      </c>
      <c r="F24" s="19">
        <v>3</v>
      </c>
      <c r="G24" s="20">
        <v>21.5</v>
      </c>
    </row>
    <row r="25" spans="1:7">
      <c r="A25" s="17" t="s">
        <v>166</v>
      </c>
      <c r="B25" s="18">
        <v>4</v>
      </c>
      <c r="C25" s="18">
        <v>9</v>
      </c>
      <c r="D25" s="18">
        <v>0</v>
      </c>
      <c r="E25" s="18">
        <v>4</v>
      </c>
      <c r="F25" s="19">
        <v>1</v>
      </c>
      <c r="G25" s="20">
        <v>18</v>
      </c>
    </row>
    <row r="26" spans="1:7">
      <c r="A26" s="17" t="s">
        <v>167</v>
      </c>
      <c r="B26" s="18">
        <v>0</v>
      </c>
      <c r="C26" s="18">
        <v>0</v>
      </c>
      <c r="D26" s="18">
        <v>0.5</v>
      </c>
      <c r="E26" s="18">
        <v>0</v>
      </c>
      <c r="F26" s="19">
        <v>1</v>
      </c>
      <c r="G26" s="20">
        <v>1.5</v>
      </c>
    </row>
    <row r="27" spans="1:7">
      <c r="A27" s="17" t="s">
        <v>168</v>
      </c>
      <c r="B27" s="18">
        <v>0</v>
      </c>
      <c r="C27" s="18">
        <v>5.5</v>
      </c>
      <c r="D27" s="18">
        <v>0</v>
      </c>
      <c r="E27" s="18">
        <v>0</v>
      </c>
      <c r="F27" s="19">
        <v>0</v>
      </c>
      <c r="G27" s="20">
        <v>5.5</v>
      </c>
    </row>
    <row r="28" spans="1:7">
      <c r="A28" s="17" t="s">
        <v>169</v>
      </c>
      <c r="B28" s="18">
        <v>0</v>
      </c>
      <c r="C28" s="18">
        <v>0</v>
      </c>
      <c r="D28" s="18">
        <v>0</v>
      </c>
      <c r="E28" s="18">
        <v>0</v>
      </c>
      <c r="F28" s="19">
        <v>0</v>
      </c>
      <c r="G28" s="20">
        <v>0</v>
      </c>
    </row>
    <row r="29" spans="1:7">
      <c r="A29" s="17" t="s">
        <v>170</v>
      </c>
      <c r="B29" s="18">
        <v>0</v>
      </c>
      <c r="C29" s="18">
        <v>1.5</v>
      </c>
      <c r="D29" s="18">
        <v>3</v>
      </c>
      <c r="E29" s="18">
        <v>0</v>
      </c>
      <c r="F29" s="19">
        <v>2.5</v>
      </c>
      <c r="G29" s="20">
        <v>7</v>
      </c>
    </row>
    <row r="30" spans="1:7">
      <c r="A30" s="17" t="s">
        <v>171</v>
      </c>
      <c r="B30" s="18">
        <v>0</v>
      </c>
      <c r="C30" s="18">
        <v>0</v>
      </c>
      <c r="D30" s="18">
        <v>0</v>
      </c>
      <c r="E30" s="18">
        <v>0</v>
      </c>
      <c r="F30" s="19">
        <v>1</v>
      </c>
      <c r="G30" s="20">
        <v>1</v>
      </c>
    </row>
    <row r="31" spans="1:7">
      <c r="A31" s="17" t="s">
        <v>172</v>
      </c>
      <c r="B31" s="18"/>
      <c r="C31" s="18"/>
      <c r="D31" s="18"/>
      <c r="E31" s="18"/>
      <c r="F31" s="19"/>
      <c r="G31" s="20"/>
    </row>
    <row r="32" spans="1:7">
      <c r="A32" s="17" t="s">
        <v>173</v>
      </c>
      <c r="B32" s="18">
        <v>4</v>
      </c>
      <c r="C32" s="18">
        <v>9</v>
      </c>
      <c r="D32" s="18">
        <v>3</v>
      </c>
      <c r="E32" s="18">
        <v>4</v>
      </c>
      <c r="F32" s="19">
        <v>0</v>
      </c>
      <c r="G32" s="20">
        <v>20</v>
      </c>
    </row>
  </sheetData>
  <mergeCells count="2">
    <mergeCell ref="A1:A2"/>
    <mergeCell ref="G1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30"/>
  <sheetViews>
    <sheetView workbookViewId="0">
      <selection activeCell="M29" sqref="M29"/>
    </sheetView>
  </sheetViews>
  <sheetFormatPr baseColWidth="10" defaultColWidth="14.5" defaultRowHeight="15" customHeight="1"/>
  <cols>
    <col min="1" max="1" width="9.5" customWidth="1"/>
    <col min="2" max="2" width="10.5" customWidth="1"/>
    <col min="3" max="3" width="11.6640625" customWidth="1"/>
    <col min="4" max="4" width="4.1640625" customWidth="1"/>
    <col min="5" max="5" width="5.5" customWidth="1"/>
    <col min="6" max="6" width="8.5" customWidth="1"/>
    <col min="7" max="7" width="10.1640625" customWidth="1"/>
    <col min="8" max="8" width="5.5" customWidth="1"/>
  </cols>
  <sheetData>
    <row r="1" spans="1:8">
      <c r="A1" s="22" t="s">
        <v>0</v>
      </c>
      <c r="B1" s="23" t="s">
        <v>1</v>
      </c>
      <c r="C1" s="23" t="s">
        <v>2</v>
      </c>
      <c r="D1" s="23" t="s">
        <v>174</v>
      </c>
      <c r="E1" s="23" t="s">
        <v>175</v>
      </c>
      <c r="F1" s="23" t="s">
        <v>176</v>
      </c>
      <c r="G1" s="23" t="s">
        <v>177</v>
      </c>
      <c r="H1" s="24" t="s">
        <v>12</v>
      </c>
    </row>
    <row r="2" spans="1:8">
      <c r="A2" s="25">
        <v>32336250</v>
      </c>
      <c r="B2" s="26" t="s">
        <v>131</v>
      </c>
      <c r="C2" s="26" t="s">
        <v>132</v>
      </c>
      <c r="D2" s="27">
        <v>4</v>
      </c>
      <c r="E2" s="28">
        <v>0</v>
      </c>
      <c r="F2" s="29"/>
      <c r="G2" s="29"/>
      <c r="H2" s="30">
        <f t="shared" ref="H2:H30" si="0">SUM(D2:G2)</f>
        <v>4</v>
      </c>
    </row>
    <row r="3" spans="1:8">
      <c r="A3" s="31">
        <v>31935917</v>
      </c>
      <c r="B3" s="29" t="s">
        <v>95</v>
      </c>
      <c r="C3" s="29" t="s">
        <v>178</v>
      </c>
      <c r="D3" s="27">
        <v>3</v>
      </c>
      <c r="E3" s="32">
        <v>0</v>
      </c>
      <c r="F3" s="32">
        <v>0</v>
      </c>
      <c r="G3" s="27">
        <v>0</v>
      </c>
      <c r="H3" s="30">
        <f t="shared" si="0"/>
        <v>3</v>
      </c>
    </row>
    <row r="4" spans="1:8">
      <c r="A4" s="31">
        <v>30612256</v>
      </c>
      <c r="B4" s="29" t="s">
        <v>18</v>
      </c>
      <c r="C4" s="29" t="s">
        <v>19</v>
      </c>
      <c r="D4" s="27">
        <v>4</v>
      </c>
      <c r="E4" s="32">
        <v>3</v>
      </c>
      <c r="F4" s="32">
        <v>6</v>
      </c>
      <c r="G4" s="27">
        <v>7</v>
      </c>
      <c r="H4" s="30">
        <f t="shared" si="0"/>
        <v>20</v>
      </c>
    </row>
    <row r="5" spans="1:8">
      <c r="A5" s="31">
        <v>31696701</v>
      </c>
      <c r="B5" s="29" t="s">
        <v>55</v>
      </c>
      <c r="C5" s="29" t="s">
        <v>56</v>
      </c>
      <c r="D5" s="27">
        <v>4</v>
      </c>
      <c r="E5" s="32">
        <v>3</v>
      </c>
      <c r="F5" s="32">
        <v>5.5</v>
      </c>
      <c r="G5" s="27">
        <v>6.5</v>
      </c>
      <c r="H5" s="30">
        <f t="shared" si="0"/>
        <v>19</v>
      </c>
    </row>
    <row r="6" spans="1:8">
      <c r="A6" s="31">
        <v>31701229</v>
      </c>
      <c r="B6" s="29" t="s">
        <v>107</v>
      </c>
      <c r="C6" s="29" t="s">
        <v>108</v>
      </c>
      <c r="D6" s="27">
        <v>4</v>
      </c>
      <c r="E6" s="32">
        <v>3</v>
      </c>
      <c r="F6" s="32">
        <v>4</v>
      </c>
      <c r="G6" s="27">
        <v>3</v>
      </c>
      <c r="H6" s="30">
        <f t="shared" si="0"/>
        <v>14</v>
      </c>
    </row>
    <row r="7" spans="1:8">
      <c r="A7" s="31">
        <v>30888238</v>
      </c>
      <c r="B7" s="29" t="s">
        <v>34</v>
      </c>
      <c r="C7" s="29" t="s">
        <v>35</v>
      </c>
      <c r="D7" s="27">
        <v>0</v>
      </c>
      <c r="E7" s="32">
        <v>0</v>
      </c>
      <c r="F7" s="32">
        <v>0</v>
      </c>
      <c r="G7" s="27">
        <v>0</v>
      </c>
      <c r="H7" s="30">
        <f t="shared" si="0"/>
        <v>0</v>
      </c>
    </row>
    <row r="8" spans="1:8">
      <c r="A8" s="31">
        <v>32235827</v>
      </c>
      <c r="B8" s="29" t="s">
        <v>71</v>
      </c>
      <c r="C8" s="29" t="s">
        <v>72</v>
      </c>
      <c r="D8" s="33">
        <v>4</v>
      </c>
      <c r="E8" s="34">
        <v>3</v>
      </c>
      <c r="F8" s="34">
        <v>3</v>
      </c>
      <c r="G8" s="33">
        <v>5</v>
      </c>
      <c r="H8" s="30">
        <f t="shared" si="0"/>
        <v>15</v>
      </c>
    </row>
    <row r="9" spans="1:8">
      <c r="A9" s="31">
        <v>31745168</v>
      </c>
      <c r="B9" s="29" t="s">
        <v>99</v>
      </c>
      <c r="C9" s="29" t="s">
        <v>100</v>
      </c>
      <c r="D9" s="27">
        <v>4</v>
      </c>
      <c r="E9" s="32">
        <v>3</v>
      </c>
      <c r="F9" s="32">
        <v>2</v>
      </c>
      <c r="G9" s="27">
        <v>6</v>
      </c>
      <c r="H9" s="30">
        <f t="shared" si="0"/>
        <v>15</v>
      </c>
    </row>
    <row r="10" spans="1:8">
      <c r="A10" s="31">
        <v>31460623</v>
      </c>
      <c r="B10" s="29" t="s">
        <v>83</v>
      </c>
      <c r="C10" s="29" t="s">
        <v>84</v>
      </c>
      <c r="D10" s="27">
        <v>4</v>
      </c>
      <c r="E10" s="32">
        <v>3</v>
      </c>
      <c r="F10" s="32">
        <v>3.5</v>
      </c>
      <c r="G10" s="29"/>
      <c r="H10" s="30">
        <f t="shared" si="0"/>
        <v>10.5</v>
      </c>
    </row>
    <row r="11" spans="1:8">
      <c r="A11" s="31">
        <v>31886469</v>
      </c>
      <c r="B11" s="29" t="s">
        <v>63</v>
      </c>
      <c r="C11" s="29" t="s">
        <v>64</v>
      </c>
      <c r="D11" s="27">
        <v>3</v>
      </c>
      <c r="E11" s="32">
        <v>0</v>
      </c>
      <c r="F11" s="32">
        <v>0</v>
      </c>
      <c r="G11" s="27">
        <v>0</v>
      </c>
      <c r="H11" s="30">
        <f t="shared" si="0"/>
        <v>3</v>
      </c>
    </row>
    <row r="12" spans="1:8">
      <c r="A12" s="31">
        <v>31873242</v>
      </c>
      <c r="B12" s="29" t="s">
        <v>119</v>
      </c>
      <c r="C12" s="29" t="s">
        <v>179</v>
      </c>
      <c r="D12" s="27">
        <v>3</v>
      </c>
      <c r="E12" s="32">
        <v>0</v>
      </c>
      <c r="F12" s="32">
        <v>3</v>
      </c>
      <c r="G12" s="27">
        <v>1</v>
      </c>
      <c r="H12" s="30">
        <f t="shared" si="0"/>
        <v>7</v>
      </c>
    </row>
    <row r="13" spans="1:8">
      <c r="A13" s="31">
        <v>31979046</v>
      </c>
      <c r="B13" s="29" t="s">
        <v>47</v>
      </c>
      <c r="C13" s="29" t="s">
        <v>48</v>
      </c>
      <c r="D13" s="27">
        <v>3</v>
      </c>
      <c r="E13" s="34">
        <v>3</v>
      </c>
      <c r="F13" s="32">
        <v>6</v>
      </c>
      <c r="G13" s="27">
        <v>7</v>
      </c>
      <c r="H13" s="30">
        <f t="shared" si="0"/>
        <v>19</v>
      </c>
    </row>
    <row r="14" spans="1:8">
      <c r="A14" s="31">
        <v>27670956</v>
      </c>
      <c r="B14" s="29" t="s">
        <v>26</v>
      </c>
      <c r="C14" s="29" t="s">
        <v>180</v>
      </c>
      <c r="D14" s="27">
        <v>3</v>
      </c>
      <c r="E14" s="34">
        <v>0</v>
      </c>
      <c r="F14" s="35">
        <v>2</v>
      </c>
      <c r="G14" s="35">
        <v>1</v>
      </c>
      <c r="H14" s="30">
        <f t="shared" si="0"/>
        <v>6</v>
      </c>
    </row>
    <row r="15" spans="1:8">
      <c r="A15" s="36">
        <v>32042714</v>
      </c>
      <c r="B15" s="29" t="s">
        <v>51</v>
      </c>
      <c r="C15" s="29" t="s">
        <v>52</v>
      </c>
      <c r="D15" s="27">
        <v>4</v>
      </c>
      <c r="E15" s="32">
        <v>0</v>
      </c>
      <c r="F15" s="32">
        <v>6</v>
      </c>
      <c r="G15" s="27">
        <v>7</v>
      </c>
      <c r="H15" s="30">
        <f t="shared" si="0"/>
        <v>17</v>
      </c>
    </row>
    <row r="16" spans="1:8">
      <c r="A16" s="31">
        <v>32001498</v>
      </c>
      <c r="B16" s="29" t="s">
        <v>135</v>
      </c>
      <c r="C16" s="29" t="s">
        <v>108</v>
      </c>
      <c r="D16" s="27">
        <v>4</v>
      </c>
      <c r="E16" s="32">
        <v>3</v>
      </c>
      <c r="F16" s="32">
        <v>6</v>
      </c>
      <c r="G16" s="27">
        <v>7</v>
      </c>
      <c r="H16" s="30">
        <f t="shared" si="0"/>
        <v>20</v>
      </c>
    </row>
    <row r="17" spans="1:8">
      <c r="A17" s="31">
        <v>30849483</v>
      </c>
      <c r="B17" s="29" t="s">
        <v>123</v>
      </c>
      <c r="C17" s="29" t="s">
        <v>124</v>
      </c>
      <c r="D17" s="27">
        <v>4</v>
      </c>
      <c r="E17" s="32">
        <v>3</v>
      </c>
      <c r="F17" s="32">
        <v>1</v>
      </c>
      <c r="G17" s="27">
        <v>1</v>
      </c>
      <c r="H17" s="30">
        <f t="shared" si="0"/>
        <v>9</v>
      </c>
    </row>
    <row r="18" spans="1:8">
      <c r="A18" s="31">
        <v>30538673</v>
      </c>
      <c r="B18" s="29" t="s">
        <v>111</v>
      </c>
      <c r="C18" s="29" t="s">
        <v>112</v>
      </c>
      <c r="D18" s="27">
        <v>4</v>
      </c>
      <c r="E18" s="32">
        <v>3</v>
      </c>
      <c r="F18" s="32">
        <v>4</v>
      </c>
      <c r="G18" s="29"/>
      <c r="H18" s="30">
        <f t="shared" si="0"/>
        <v>11</v>
      </c>
    </row>
    <row r="19" spans="1:8">
      <c r="A19" s="31">
        <v>31423864</v>
      </c>
      <c r="B19" s="29" t="s">
        <v>43</v>
      </c>
      <c r="C19" s="29" t="s">
        <v>44</v>
      </c>
      <c r="D19" s="27">
        <v>3</v>
      </c>
      <c r="E19" s="32">
        <v>0</v>
      </c>
      <c r="F19" s="32">
        <v>2.5</v>
      </c>
      <c r="G19" s="27">
        <v>1</v>
      </c>
      <c r="H19" s="30">
        <f t="shared" si="0"/>
        <v>6.5</v>
      </c>
    </row>
    <row r="20" spans="1:8">
      <c r="A20" s="31">
        <v>31382931</v>
      </c>
      <c r="B20" s="29" t="s">
        <v>127</v>
      </c>
      <c r="C20" s="29" t="s">
        <v>128</v>
      </c>
      <c r="D20" s="27">
        <v>3</v>
      </c>
      <c r="E20" s="32">
        <v>3</v>
      </c>
      <c r="F20" s="32">
        <v>2</v>
      </c>
      <c r="G20" s="29"/>
      <c r="H20" s="30">
        <f t="shared" si="0"/>
        <v>8</v>
      </c>
    </row>
    <row r="21" spans="1:8">
      <c r="A21" s="31">
        <v>32511604</v>
      </c>
      <c r="B21" s="29" t="s">
        <v>103</v>
      </c>
      <c r="C21" s="29" t="s">
        <v>104</v>
      </c>
      <c r="D21" s="27">
        <v>3</v>
      </c>
      <c r="E21" s="32">
        <v>3</v>
      </c>
      <c r="F21" s="26"/>
      <c r="G21" s="27">
        <v>6</v>
      </c>
      <c r="H21" s="30">
        <f t="shared" si="0"/>
        <v>12</v>
      </c>
    </row>
    <row r="22" spans="1:8">
      <c r="A22" s="31">
        <v>31985209</v>
      </c>
      <c r="B22" s="29" t="s">
        <v>22</v>
      </c>
      <c r="C22" s="29" t="s">
        <v>23</v>
      </c>
      <c r="D22" s="27">
        <v>3</v>
      </c>
      <c r="E22" s="32">
        <v>3</v>
      </c>
      <c r="F22" s="32">
        <v>1</v>
      </c>
      <c r="G22" s="29"/>
      <c r="H22" s="30">
        <f t="shared" si="0"/>
        <v>7</v>
      </c>
    </row>
    <row r="23" spans="1:8">
      <c r="A23" s="31">
        <v>31935772</v>
      </c>
      <c r="B23" s="29" t="s">
        <v>59</v>
      </c>
      <c r="C23" s="29" t="s">
        <v>60</v>
      </c>
      <c r="D23" s="27">
        <v>4</v>
      </c>
      <c r="E23" s="32">
        <v>0</v>
      </c>
      <c r="F23" s="32">
        <v>4</v>
      </c>
      <c r="G23" s="27">
        <v>4</v>
      </c>
      <c r="H23" s="30">
        <f t="shared" si="0"/>
        <v>12</v>
      </c>
    </row>
    <row r="24" spans="1:8">
      <c r="A24" s="31">
        <v>32001850</v>
      </c>
      <c r="B24" s="29" t="s">
        <v>115</v>
      </c>
      <c r="C24" s="29" t="s">
        <v>116</v>
      </c>
      <c r="D24" s="27">
        <v>4</v>
      </c>
      <c r="E24" s="32">
        <v>3</v>
      </c>
      <c r="F24" s="32">
        <v>1</v>
      </c>
      <c r="G24" s="27">
        <v>3</v>
      </c>
      <c r="H24" s="30">
        <f t="shared" si="0"/>
        <v>11</v>
      </c>
    </row>
    <row r="25" spans="1:8">
      <c r="A25" s="31">
        <v>31873119</v>
      </c>
      <c r="B25" s="29" t="s">
        <v>75</v>
      </c>
      <c r="C25" s="29" t="s">
        <v>76</v>
      </c>
      <c r="D25" s="27">
        <v>4</v>
      </c>
      <c r="E25" s="32">
        <v>3</v>
      </c>
      <c r="F25" s="32">
        <v>3.5</v>
      </c>
      <c r="G25" s="27">
        <v>3.5</v>
      </c>
      <c r="H25" s="30">
        <f t="shared" si="0"/>
        <v>14</v>
      </c>
    </row>
    <row r="26" spans="1:8">
      <c r="A26" s="31">
        <v>32121959</v>
      </c>
      <c r="B26" s="29" t="s">
        <v>67</v>
      </c>
      <c r="C26" s="29" t="s">
        <v>68</v>
      </c>
      <c r="D26" s="27">
        <v>1</v>
      </c>
      <c r="E26" s="32">
        <v>0</v>
      </c>
      <c r="F26" s="32">
        <v>3</v>
      </c>
      <c r="G26" s="29"/>
      <c r="H26" s="30">
        <f t="shared" si="0"/>
        <v>4</v>
      </c>
    </row>
    <row r="27" spans="1:8">
      <c r="A27" s="31">
        <v>33219652</v>
      </c>
      <c r="B27" s="29" t="s">
        <v>91</v>
      </c>
      <c r="C27" s="29" t="s">
        <v>92</v>
      </c>
      <c r="D27" s="27">
        <v>3</v>
      </c>
      <c r="E27" s="32">
        <v>3</v>
      </c>
      <c r="F27" s="26"/>
      <c r="G27" s="27">
        <v>0</v>
      </c>
      <c r="H27" s="30">
        <f t="shared" si="0"/>
        <v>6</v>
      </c>
    </row>
    <row r="28" spans="1:8">
      <c r="A28" s="31">
        <v>30539028</v>
      </c>
      <c r="B28" s="29" t="s">
        <v>39</v>
      </c>
      <c r="C28" s="29" t="s">
        <v>40</v>
      </c>
      <c r="D28" s="27">
        <v>4</v>
      </c>
      <c r="E28" s="32">
        <v>0</v>
      </c>
      <c r="F28" s="32">
        <v>1</v>
      </c>
      <c r="G28" s="29"/>
      <c r="H28" s="30">
        <f t="shared" si="0"/>
        <v>5</v>
      </c>
    </row>
    <row r="29" spans="1:8">
      <c r="A29" s="31">
        <v>33186550</v>
      </c>
      <c r="B29" s="29" t="s">
        <v>87</v>
      </c>
      <c r="C29" s="29" t="s">
        <v>88</v>
      </c>
      <c r="D29" s="27">
        <v>4</v>
      </c>
      <c r="E29" s="37">
        <v>0</v>
      </c>
      <c r="F29" s="35">
        <v>6</v>
      </c>
      <c r="G29" s="35">
        <v>1</v>
      </c>
      <c r="H29" s="30">
        <f t="shared" si="0"/>
        <v>11</v>
      </c>
    </row>
    <row r="30" spans="1:8">
      <c r="A30" s="38">
        <v>32241977</v>
      </c>
      <c r="B30" s="38" t="s">
        <v>181</v>
      </c>
      <c r="C30" s="38" t="s">
        <v>182</v>
      </c>
      <c r="D30" s="39">
        <v>3</v>
      </c>
      <c r="E30" s="39">
        <v>3</v>
      </c>
      <c r="F30" s="32">
        <v>4</v>
      </c>
      <c r="G30" s="32">
        <v>0</v>
      </c>
      <c r="H30" s="30">
        <f t="shared" si="0"/>
        <v>10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L30"/>
  <sheetViews>
    <sheetView workbookViewId="0">
      <pane xSplit="1" ySplit="2" topLeftCell="B3" activePane="bottomRight" state="frozen"/>
      <selection activeCell="M29" sqref="M29"/>
      <selection pane="topRight" activeCell="M29" sqref="M29"/>
      <selection pane="bottomLeft" activeCell="M29" sqref="M29"/>
      <selection pane="bottomRight" activeCell="M29" sqref="M29"/>
    </sheetView>
  </sheetViews>
  <sheetFormatPr baseColWidth="10" defaultColWidth="14.5" defaultRowHeight="15" customHeight="1"/>
  <cols>
    <col min="1" max="1" width="21.83203125" customWidth="1"/>
    <col min="2" max="2" width="8" customWidth="1"/>
    <col min="3" max="3" width="12.83203125" customWidth="1"/>
    <col min="4" max="4" width="8.33203125" customWidth="1"/>
    <col min="5" max="5" width="5.6640625" customWidth="1"/>
    <col min="6" max="6" width="8.5" customWidth="1"/>
    <col min="7" max="7" width="7" customWidth="1"/>
    <col min="8" max="8" width="9.83203125" customWidth="1"/>
    <col min="9" max="9" width="5.6640625" customWidth="1"/>
    <col min="10" max="10" width="7.6640625" customWidth="1"/>
    <col min="11" max="11" width="10.5" customWidth="1"/>
    <col min="12" max="12" width="8.83203125" customWidth="1"/>
  </cols>
  <sheetData>
    <row r="1" spans="1:12">
      <c r="A1" s="168" t="s">
        <v>2</v>
      </c>
      <c r="B1" s="170" t="s">
        <v>183</v>
      </c>
      <c r="C1" s="171"/>
      <c r="D1" s="171"/>
      <c r="E1" s="171"/>
      <c r="F1" s="171"/>
      <c r="G1" s="171"/>
      <c r="H1" s="171"/>
      <c r="I1" s="172"/>
      <c r="J1" s="173" t="s">
        <v>141</v>
      </c>
      <c r="K1" s="174"/>
      <c r="L1" s="175" t="s">
        <v>142</v>
      </c>
    </row>
    <row r="2" spans="1:12">
      <c r="A2" s="169"/>
      <c r="B2" s="40" t="s">
        <v>184</v>
      </c>
      <c r="C2" s="41" t="s">
        <v>185</v>
      </c>
      <c r="D2" s="41" t="s">
        <v>186</v>
      </c>
      <c r="E2" s="41" t="s">
        <v>187</v>
      </c>
      <c r="F2" s="41" t="s">
        <v>188</v>
      </c>
      <c r="G2" s="41" t="s">
        <v>189</v>
      </c>
      <c r="H2" s="41" t="s">
        <v>190</v>
      </c>
      <c r="I2" s="41" t="s">
        <v>191</v>
      </c>
      <c r="J2" s="41" t="s">
        <v>192</v>
      </c>
      <c r="K2" s="41" t="s">
        <v>193</v>
      </c>
      <c r="L2" s="176"/>
    </row>
    <row r="3" spans="1:12">
      <c r="A3" s="42" t="s">
        <v>145</v>
      </c>
      <c r="B3" s="43">
        <v>4</v>
      </c>
      <c r="C3" s="44">
        <v>4</v>
      </c>
      <c r="D3" s="44">
        <v>3</v>
      </c>
      <c r="E3" s="44">
        <v>2</v>
      </c>
      <c r="F3" s="44">
        <v>1</v>
      </c>
      <c r="G3" s="44">
        <v>0.75</v>
      </c>
      <c r="H3" s="44">
        <v>0.25</v>
      </c>
      <c r="I3" s="45">
        <v>2</v>
      </c>
      <c r="J3" s="46">
        <v>0</v>
      </c>
      <c r="K3" s="46">
        <v>0</v>
      </c>
      <c r="L3" s="47">
        <f t="shared" ref="L3:L6" si="0">SUM(B3:K3)</f>
        <v>17</v>
      </c>
    </row>
    <row r="4" spans="1:12">
      <c r="A4" s="42" t="s">
        <v>146</v>
      </c>
      <c r="B4" s="48">
        <v>5</v>
      </c>
      <c r="C4" s="49">
        <v>0</v>
      </c>
      <c r="D4" s="49">
        <v>0</v>
      </c>
      <c r="E4" s="49">
        <v>0</v>
      </c>
      <c r="F4" s="49">
        <v>0</v>
      </c>
      <c r="G4" s="49">
        <v>0</v>
      </c>
      <c r="H4" s="49">
        <v>0</v>
      </c>
      <c r="I4" s="49">
        <v>0</v>
      </c>
      <c r="J4" s="49">
        <v>0</v>
      </c>
      <c r="K4" s="49">
        <v>0</v>
      </c>
      <c r="L4" s="50">
        <f t="shared" si="0"/>
        <v>5</v>
      </c>
    </row>
    <row r="5" spans="1:12">
      <c r="A5" s="42" t="s">
        <v>147</v>
      </c>
      <c r="B5" s="48">
        <v>4.5</v>
      </c>
      <c r="C5" s="49">
        <v>0</v>
      </c>
      <c r="D5" s="49">
        <v>0</v>
      </c>
      <c r="E5" s="49">
        <v>0</v>
      </c>
      <c r="F5" s="49">
        <v>0</v>
      </c>
      <c r="G5" s="49">
        <v>0</v>
      </c>
      <c r="H5" s="49">
        <v>0</v>
      </c>
      <c r="I5" s="49">
        <v>0</v>
      </c>
      <c r="J5" s="49">
        <v>0</v>
      </c>
      <c r="K5" s="49">
        <v>0</v>
      </c>
      <c r="L5" s="50">
        <f t="shared" si="0"/>
        <v>4.5</v>
      </c>
    </row>
    <row r="6" spans="1:12">
      <c r="A6" s="42" t="s">
        <v>148</v>
      </c>
      <c r="B6" s="48">
        <v>5.5</v>
      </c>
      <c r="C6" s="49">
        <v>0</v>
      </c>
      <c r="D6" s="49">
        <v>0</v>
      </c>
      <c r="E6" s="49">
        <v>0</v>
      </c>
      <c r="F6" s="49">
        <v>0</v>
      </c>
      <c r="G6" s="49">
        <v>0</v>
      </c>
      <c r="H6" s="49">
        <v>0</v>
      </c>
      <c r="I6" s="51">
        <v>0</v>
      </c>
      <c r="J6" s="52">
        <v>0</v>
      </c>
      <c r="K6" s="52">
        <v>0</v>
      </c>
      <c r="L6" s="50">
        <f t="shared" si="0"/>
        <v>5.5</v>
      </c>
    </row>
    <row r="7" spans="1:12">
      <c r="A7" s="42" t="s">
        <v>149</v>
      </c>
      <c r="B7" s="48"/>
      <c r="C7" s="49"/>
      <c r="D7" s="49"/>
      <c r="E7" s="49"/>
      <c r="F7" s="49"/>
      <c r="G7" s="49"/>
      <c r="H7" s="49"/>
      <c r="I7" s="49"/>
      <c r="J7" s="49"/>
      <c r="K7" s="49"/>
      <c r="L7" s="50"/>
    </row>
    <row r="8" spans="1:12">
      <c r="A8" s="42" t="s">
        <v>150</v>
      </c>
      <c r="B8" s="48"/>
      <c r="C8" s="49"/>
      <c r="D8" s="49"/>
      <c r="E8" s="49"/>
      <c r="F8" s="49"/>
      <c r="G8" s="49"/>
      <c r="H8" s="49"/>
      <c r="I8" s="49"/>
      <c r="J8" s="49"/>
      <c r="K8" s="49"/>
      <c r="L8" s="50"/>
    </row>
    <row r="9" spans="1:12">
      <c r="A9" s="42" t="s">
        <v>151</v>
      </c>
      <c r="B9" s="48">
        <v>2</v>
      </c>
      <c r="C9" s="49">
        <v>0</v>
      </c>
      <c r="D9" s="49">
        <v>0</v>
      </c>
      <c r="E9" s="49">
        <v>0</v>
      </c>
      <c r="F9" s="49">
        <v>0</v>
      </c>
      <c r="G9" s="49">
        <v>0</v>
      </c>
      <c r="H9" s="49">
        <v>0</v>
      </c>
      <c r="I9" s="49">
        <v>0</v>
      </c>
      <c r="J9" s="49">
        <v>0</v>
      </c>
      <c r="K9" s="49">
        <v>0</v>
      </c>
      <c r="L9" s="50">
        <f t="shared" ref="L9:L11" si="1">SUM(B9:K9)</f>
        <v>2</v>
      </c>
    </row>
    <row r="10" spans="1:12">
      <c r="A10" s="42" t="s">
        <v>152</v>
      </c>
      <c r="B10" s="48">
        <v>4.75</v>
      </c>
      <c r="C10" s="49">
        <v>3</v>
      </c>
      <c r="D10" s="49">
        <v>1.25</v>
      </c>
      <c r="E10" s="49">
        <v>2</v>
      </c>
      <c r="F10" s="49">
        <v>0</v>
      </c>
      <c r="G10" s="49">
        <v>1</v>
      </c>
      <c r="H10" s="49">
        <v>1</v>
      </c>
      <c r="I10" s="51">
        <v>0</v>
      </c>
      <c r="J10" s="52">
        <v>0</v>
      </c>
      <c r="K10" s="52">
        <v>0</v>
      </c>
      <c r="L10" s="50">
        <f t="shared" si="1"/>
        <v>13</v>
      </c>
    </row>
    <row r="11" spans="1:12">
      <c r="A11" s="42" t="s">
        <v>153</v>
      </c>
      <c r="B11" s="48">
        <v>5.25</v>
      </c>
      <c r="C11" s="49">
        <v>1.5</v>
      </c>
      <c r="D11" s="49">
        <v>1</v>
      </c>
      <c r="E11" s="49">
        <v>0.5</v>
      </c>
      <c r="F11" s="49">
        <v>0.25</v>
      </c>
      <c r="G11" s="49">
        <v>0.25</v>
      </c>
      <c r="H11" s="49">
        <v>0</v>
      </c>
      <c r="I11" s="49">
        <v>0</v>
      </c>
      <c r="J11" s="49">
        <v>0</v>
      </c>
      <c r="K11" s="49">
        <v>0</v>
      </c>
      <c r="L11" s="50">
        <f t="shared" si="1"/>
        <v>8.75</v>
      </c>
    </row>
    <row r="12" spans="1:12">
      <c r="A12" s="42" t="s">
        <v>154</v>
      </c>
      <c r="B12" s="48"/>
      <c r="C12" s="49"/>
      <c r="D12" s="49"/>
      <c r="E12" s="49"/>
      <c r="F12" s="49"/>
      <c r="G12" s="49"/>
      <c r="H12" s="49"/>
      <c r="I12" s="49"/>
      <c r="J12" s="49"/>
      <c r="K12" s="49"/>
      <c r="L12" s="50"/>
    </row>
    <row r="13" spans="1:12">
      <c r="A13" s="42" t="s">
        <v>155</v>
      </c>
      <c r="B13" s="48">
        <v>4.75</v>
      </c>
      <c r="C13" s="49">
        <v>0</v>
      </c>
      <c r="D13" s="49">
        <v>0</v>
      </c>
      <c r="E13" s="49">
        <v>0</v>
      </c>
      <c r="F13" s="49">
        <v>1</v>
      </c>
      <c r="G13" s="49">
        <v>0</v>
      </c>
      <c r="H13" s="49">
        <v>0</v>
      </c>
      <c r="I13" s="51">
        <v>0</v>
      </c>
      <c r="J13" s="52">
        <v>0</v>
      </c>
      <c r="K13" s="52">
        <v>0</v>
      </c>
      <c r="L13" s="50">
        <f t="shared" ref="L13:L19" si="2">SUM(B13:K13)</f>
        <v>5.75</v>
      </c>
    </row>
    <row r="14" spans="1:12">
      <c r="A14" s="42" t="s">
        <v>156</v>
      </c>
      <c r="B14" s="48">
        <v>2</v>
      </c>
      <c r="C14" s="49">
        <v>0</v>
      </c>
      <c r="D14" s="49">
        <v>0</v>
      </c>
      <c r="E14" s="49">
        <v>0</v>
      </c>
      <c r="F14" s="49">
        <v>0</v>
      </c>
      <c r="G14" s="49">
        <v>0</v>
      </c>
      <c r="H14" s="49">
        <v>0</v>
      </c>
      <c r="I14" s="49">
        <v>0</v>
      </c>
      <c r="J14" s="49">
        <v>0</v>
      </c>
      <c r="K14" s="49">
        <v>0</v>
      </c>
      <c r="L14" s="50">
        <f t="shared" si="2"/>
        <v>2</v>
      </c>
    </row>
    <row r="15" spans="1:12">
      <c r="A15" s="42" t="s">
        <v>157</v>
      </c>
      <c r="B15" s="48">
        <v>1.75</v>
      </c>
      <c r="C15" s="49">
        <v>0</v>
      </c>
      <c r="D15" s="49">
        <v>2.25</v>
      </c>
      <c r="E15" s="49">
        <v>1</v>
      </c>
      <c r="F15" s="49">
        <v>0.25</v>
      </c>
      <c r="G15" s="49">
        <v>0</v>
      </c>
      <c r="H15" s="49">
        <v>0</v>
      </c>
      <c r="I15" s="49">
        <v>0</v>
      </c>
      <c r="J15" s="49">
        <v>0</v>
      </c>
      <c r="K15" s="49">
        <v>0</v>
      </c>
      <c r="L15" s="50">
        <f t="shared" si="2"/>
        <v>5.25</v>
      </c>
    </row>
    <row r="16" spans="1:12">
      <c r="A16" s="42" t="s">
        <v>158</v>
      </c>
      <c r="B16" s="48">
        <v>5</v>
      </c>
      <c r="C16" s="49">
        <v>0</v>
      </c>
      <c r="D16" s="49">
        <v>1</v>
      </c>
      <c r="E16" s="49">
        <v>2</v>
      </c>
      <c r="F16" s="49">
        <v>0</v>
      </c>
      <c r="G16" s="49">
        <v>0</v>
      </c>
      <c r="H16" s="49">
        <v>0</v>
      </c>
      <c r="I16" s="51">
        <v>0</v>
      </c>
      <c r="J16" s="52">
        <v>0</v>
      </c>
      <c r="K16" s="52">
        <v>0</v>
      </c>
      <c r="L16" s="50">
        <f t="shared" si="2"/>
        <v>8</v>
      </c>
    </row>
    <row r="17" spans="1:12">
      <c r="A17" s="42" t="s">
        <v>159</v>
      </c>
      <c r="B17" s="48">
        <v>6</v>
      </c>
      <c r="C17" s="49">
        <v>0</v>
      </c>
      <c r="D17" s="49">
        <v>0</v>
      </c>
      <c r="E17" s="49">
        <v>0</v>
      </c>
      <c r="F17" s="49">
        <v>0</v>
      </c>
      <c r="G17" s="49">
        <v>0.25</v>
      </c>
      <c r="H17" s="49">
        <v>0</v>
      </c>
      <c r="I17" s="51">
        <v>0</v>
      </c>
      <c r="J17" s="52">
        <v>0</v>
      </c>
      <c r="K17" s="52">
        <v>0</v>
      </c>
      <c r="L17" s="50">
        <f t="shared" si="2"/>
        <v>6.25</v>
      </c>
    </row>
    <row r="18" spans="1:12">
      <c r="A18" s="42" t="s">
        <v>161</v>
      </c>
      <c r="B18" s="48">
        <v>5.5</v>
      </c>
      <c r="C18" s="49">
        <v>0</v>
      </c>
      <c r="D18" s="49">
        <v>0</v>
      </c>
      <c r="E18" s="49">
        <v>0</v>
      </c>
      <c r="F18" s="49">
        <v>0</v>
      </c>
      <c r="G18" s="49">
        <v>0</v>
      </c>
      <c r="H18" s="49">
        <v>0</v>
      </c>
      <c r="I18" s="49">
        <v>0</v>
      </c>
      <c r="J18" s="49">
        <v>0</v>
      </c>
      <c r="K18" s="49">
        <v>0</v>
      </c>
      <c r="L18" s="50">
        <f t="shared" si="2"/>
        <v>5.5</v>
      </c>
    </row>
    <row r="19" spans="1:12">
      <c r="A19" s="42" t="s">
        <v>162</v>
      </c>
      <c r="B19" s="48">
        <v>5.25</v>
      </c>
      <c r="C19" s="49">
        <v>0</v>
      </c>
      <c r="D19" s="53"/>
      <c r="E19" s="49">
        <v>1.5</v>
      </c>
      <c r="F19" s="49">
        <v>0</v>
      </c>
      <c r="G19" s="49">
        <v>0.75</v>
      </c>
      <c r="H19" s="49">
        <v>0</v>
      </c>
      <c r="I19" s="51">
        <v>0</v>
      </c>
      <c r="J19" s="52">
        <v>0</v>
      </c>
      <c r="K19" s="52">
        <v>0</v>
      </c>
      <c r="L19" s="50">
        <f t="shared" si="2"/>
        <v>7.5</v>
      </c>
    </row>
    <row r="20" spans="1:12">
      <c r="A20" s="42" t="s">
        <v>194</v>
      </c>
      <c r="B20" s="48"/>
      <c r="C20" s="49"/>
      <c r="D20" s="49"/>
      <c r="E20" s="49"/>
      <c r="F20" s="49"/>
      <c r="G20" s="49"/>
      <c r="H20" s="49"/>
      <c r="I20" s="49"/>
      <c r="J20" s="49"/>
      <c r="K20" s="49"/>
      <c r="L20" s="50"/>
    </row>
    <row r="21" spans="1:12">
      <c r="A21" s="42" t="s">
        <v>163</v>
      </c>
      <c r="B21" s="48">
        <v>5</v>
      </c>
      <c r="C21" s="49">
        <v>1</v>
      </c>
      <c r="D21" s="49">
        <v>2.75</v>
      </c>
      <c r="E21" s="49">
        <v>2</v>
      </c>
      <c r="F21" s="49">
        <v>0.75</v>
      </c>
      <c r="G21" s="49">
        <v>1</v>
      </c>
      <c r="H21" s="49">
        <v>0.5</v>
      </c>
      <c r="I21" s="51">
        <v>2</v>
      </c>
      <c r="J21" s="52">
        <v>1.5</v>
      </c>
      <c r="K21" s="52">
        <v>1.5</v>
      </c>
      <c r="L21" s="50">
        <f>SUM(B21:K21)</f>
        <v>18</v>
      </c>
    </row>
    <row r="22" spans="1:12">
      <c r="A22" s="42" t="s">
        <v>164</v>
      </c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50"/>
    </row>
    <row r="23" spans="1:12">
      <c r="A23" s="42" t="s">
        <v>165</v>
      </c>
      <c r="B23" s="48">
        <v>4</v>
      </c>
      <c r="C23" s="49">
        <v>4</v>
      </c>
      <c r="D23" s="49">
        <v>3</v>
      </c>
      <c r="E23" s="49">
        <v>2</v>
      </c>
      <c r="F23" s="49">
        <v>1</v>
      </c>
      <c r="G23" s="49">
        <v>1</v>
      </c>
      <c r="H23" s="49">
        <v>0</v>
      </c>
      <c r="I23" s="51">
        <v>2</v>
      </c>
      <c r="J23" s="52">
        <v>0</v>
      </c>
      <c r="K23" s="52">
        <v>1.5</v>
      </c>
      <c r="L23" s="50">
        <f t="shared" ref="L23:L25" si="3">SUM(B23:K23)</f>
        <v>18.5</v>
      </c>
    </row>
    <row r="24" spans="1:12">
      <c r="A24" s="42" t="s">
        <v>166</v>
      </c>
      <c r="B24" s="48">
        <v>4</v>
      </c>
      <c r="C24" s="49">
        <v>3</v>
      </c>
      <c r="D24" s="49">
        <v>3</v>
      </c>
      <c r="E24" s="49">
        <v>1.5</v>
      </c>
      <c r="F24" s="49">
        <v>1</v>
      </c>
      <c r="G24" s="49">
        <v>1</v>
      </c>
      <c r="H24" s="49">
        <v>1</v>
      </c>
      <c r="I24" s="51">
        <v>2</v>
      </c>
      <c r="J24" s="52">
        <v>0</v>
      </c>
      <c r="K24" s="52">
        <v>0</v>
      </c>
      <c r="L24" s="50">
        <f t="shared" si="3"/>
        <v>16.5</v>
      </c>
    </row>
    <row r="25" spans="1:12">
      <c r="A25" s="42" t="s">
        <v>167</v>
      </c>
      <c r="B25" s="48">
        <v>5.5</v>
      </c>
      <c r="C25" s="49">
        <v>0</v>
      </c>
      <c r="D25" s="49">
        <v>0</v>
      </c>
      <c r="E25" s="49">
        <v>0</v>
      </c>
      <c r="F25" s="49">
        <v>0</v>
      </c>
      <c r="G25" s="49">
        <v>0</v>
      </c>
      <c r="H25" s="49">
        <v>0</v>
      </c>
      <c r="I25" s="49">
        <v>0</v>
      </c>
      <c r="J25" s="49">
        <v>0</v>
      </c>
      <c r="K25" s="49">
        <v>0</v>
      </c>
      <c r="L25" s="50">
        <f t="shared" si="3"/>
        <v>5.5</v>
      </c>
    </row>
    <row r="26" spans="1:12">
      <c r="A26" s="42" t="s">
        <v>168</v>
      </c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50"/>
    </row>
    <row r="27" spans="1:12">
      <c r="A27" s="42" t="s">
        <v>195</v>
      </c>
      <c r="B27" s="48">
        <v>2</v>
      </c>
      <c r="C27" s="48">
        <v>0</v>
      </c>
      <c r="D27" s="48">
        <v>0</v>
      </c>
      <c r="E27" s="48">
        <v>0</v>
      </c>
      <c r="F27" s="48">
        <v>0</v>
      </c>
      <c r="G27" s="48">
        <v>0</v>
      </c>
      <c r="H27" s="48">
        <v>0</v>
      </c>
      <c r="I27" s="48">
        <v>0</v>
      </c>
      <c r="J27" s="48">
        <v>0</v>
      </c>
      <c r="K27" s="48">
        <v>0</v>
      </c>
      <c r="L27" s="50">
        <f t="shared" ref="L27:L30" si="4">SUM(B27:K27)</f>
        <v>2</v>
      </c>
    </row>
    <row r="28" spans="1:12">
      <c r="A28" s="42" t="s">
        <v>170</v>
      </c>
      <c r="B28" s="48">
        <v>5.25</v>
      </c>
      <c r="C28" s="48">
        <v>0</v>
      </c>
      <c r="D28" s="48">
        <v>0</v>
      </c>
      <c r="E28" s="48">
        <v>0</v>
      </c>
      <c r="F28" s="48">
        <v>0</v>
      </c>
      <c r="G28" s="48">
        <v>0</v>
      </c>
      <c r="H28" s="48">
        <v>0</v>
      </c>
      <c r="I28" s="48">
        <v>0</v>
      </c>
      <c r="J28" s="48">
        <v>0</v>
      </c>
      <c r="K28" s="48">
        <v>0</v>
      </c>
      <c r="L28" s="50">
        <f t="shared" si="4"/>
        <v>5.25</v>
      </c>
    </row>
    <row r="29" spans="1:12">
      <c r="A29" s="42" t="s">
        <v>171</v>
      </c>
      <c r="B29" s="48">
        <v>5.75</v>
      </c>
      <c r="C29" s="49">
        <v>1</v>
      </c>
      <c r="D29" s="49">
        <v>3</v>
      </c>
      <c r="E29" s="49">
        <v>2</v>
      </c>
      <c r="F29" s="49">
        <v>1</v>
      </c>
      <c r="G29" s="49">
        <v>0.5</v>
      </c>
      <c r="H29" s="49">
        <v>1</v>
      </c>
      <c r="I29" s="51">
        <v>2</v>
      </c>
      <c r="J29" s="52">
        <v>0</v>
      </c>
      <c r="K29" s="52">
        <v>0.5</v>
      </c>
      <c r="L29" s="50">
        <f t="shared" si="4"/>
        <v>16.75</v>
      </c>
    </row>
    <row r="30" spans="1:12">
      <c r="A30" s="42" t="s">
        <v>173</v>
      </c>
      <c r="B30" s="48">
        <v>5.75</v>
      </c>
      <c r="C30" s="49">
        <v>0</v>
      </c>
      <c r="D30" s="49">
        <v>0</v>
      </c>
      <c r="E30" s="49">
        <v>0</v>
      </c>
      <c r="F30" s="49">
        <v>0</v>
      </c>
      <c r="G30" s="49">
        <v>0</v>
      </c>
      <c r="H30" s="49">
        <v>0</v>
      </c>
      <c r="I30" s="49">
        <v>0</v>
      </c>
      <c r="J30" s="49">
        <v>0</v>
      </c>
      <c r="K30" s="49">
        <v>0</v>
      </c>
      <c r="L30" s="50">
        <f t="shared" si="4"/>
        <v>5.75</v>
      </c>
    </row>
  </sheetData>
  <mergeCells count="4">
    <mergeCell ref="A1:A2"/>
    <mergeCell ref="B1:I1"/>
    <mergeCell ref="J1:K1"/>
    <mergeCell ref="L1:L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G21"/>
  <sheetViews>
    <sheetView workbookViewId="0">
      <selection activeCell="M29" sqref="M29"/>
    </sheetView>
  </sheetViews>
  <sheetFormatPr baseColWidth="10" defaultColWidth="14.5" defaultRowHeight="15" customHeight="1"/>
  <cols>
    <col min="1" max="1" width="9.5" customWidth="1"/>
    <col min="2" max="2" width="18.5" customWidth="1"/>
    <col min="3" max="3" width="4.1640625" customWidth="1"/>
    <col min="4" max="4" width="5.5" customWidth="1"/>
    <col min="5" max="5" width="7.1640625" customWidth="1"/>
    <col min="6" max="6" width="10.1640625" customWidth="1"/>
    <col min="7" max="7" width="6.33203125" customWidth="1"/>
  </cols>
  <sheetData>
    <row r="1" spans="1:7">
      <c r="A1" s="54" t="s">
        <v>196</v>
      </c>
      <c r="B1" s="55" t="s">
        <v>197</v>
      </c>
      <c r="C1" s="55" t="s">
        <v>174</v>
      </c>
      <c r="D1" s="55" t="s">
        <v>175</v>
      </c>
      <c r="E1" s="55" t="s">
        <v>198</v>
      </c>
      <c r="F1" s="55" t="s">
        <v>177</v>
      </c>
      <c r="G1" s="55" t="s">
        <v>12</v>
      </c>
    </row>
    <row r="2" spans="1:7">
      <c r="A2" s="56">
        <v>31745168</v>
      </c>
      <c r="B2" s="57" t="s">
        <v>199</v>
      </c>
      <c r="C2" s="58">
        <v>4</v>
      </c>
      <c r="D2" s="59">
        <v>2</v>
      </c>
      <c r="E2" s="59">
        <v>0</v>
      </c>
      <c r="F2" s="60">
        <v>4</v>
      </c>
      <c r="G2" s="61">
        <v>10</v>
      </c>
    </row>
    <row r="3" spans="1:7">
      <c r="A3" s="62">
        <v>31985209</v>
      </c>
      <c r="B3" s="63" t="s">
        <v>146</v>
      </c>
      <c r="C3" s="64">
        <v>4</v>
      </c>
      <c r="D3" s="65">
        <v>2</v>
      </c>
      <c r="E3" s="65">
        <v>0</v>
      </c>
      <c r="F3" s="66">
        <v>1</v>
      </c>
      <c r="G3" s="67">
        <v>7</v>
      </c>
    </row>
    <row r="4" spans="1:7">
      <c r="A4" s="56">
        <v>30538673</v>
      </c>
      <c r="B4" s="57" t="s">
        <v>167</v>
      </c>
      <c r="C4" s="58">
        <v>4</v>
      </c>
      <c r="D4" s="59">
        <v>2</v>
      </c>
      <c r="E4" s="59">
        <v>0</v>
      </c>
      <c r="F4" s="60">
        <v>1</v>
      </c>
      <c r="G4" s="61">
        <v>7</v>
      </c>
    </row>
    <row r="5" spans="1:7">
      <c r="A5" s="62">
        <v>32235827</v>
      </c>
      <c r="B5" s="63" t="s">
        <v>158</v>
      </c>
      <c r="C5" s="64">
        <v>2</v>
      </c>
      <c r="D5" s="65">
        <v>2</v>
      </c>
      <c r="E5" s="65">
        <v>3</v>
      </c>
      <c r="F5" s="66">
        <v>4</v>
      </c>
      <c r="G5" s="67">
        <v>11</v>
      </c>
    </row>
    <row r="6" spans="1:7">
      <c r="A6" s="68">
        <v>31701229</v>
      </c>
      <c r="B6" s="57" t="s">
        <v>166</v>
      </c>
      <c r="C6" s="58">
        <v>2</v>
      </c>
      <c r="D6" s="59">
        <v>2</v>
      </c>
      <c r="E6" s="59">
        <v>3</v>
      </c>
      <c r="F6" s="60">
        <v>5</v>
      </c>
      <c r="G6" s="61">
        <v>12</v>
      </c>
    </row>
    <row r="7" spans="1:7">
      <c r="A7" s="62">
        <v>30849483</v>
      </c>
      <c r="B7" s="63" t="s">
        <v>170</v>
      </c>
      <c r="C7" s="64">
        <v>4</v>
      </c>
      <c r="D7" s="65">
        <v>2</v>
      </c>
      <c r="E7" s="65">
        <v>0</v>
      </c>
      <c r="F7" s="66">
        <v>1</v>
      </c>
      <c r="G7" s="67">
        <v>7</v>
      </c>
    </row>
    <row r="8" spans="1:7">
      <c r="A8" s="56">
        <v>32121959</v>
      </c>
      <c r="B8" s="57" t="s">
        <v>157</v>
      </c>
      <c r="C8" s="58">
        <v>3</v>
      </c>
      <c r="D8" s="59">
        <v>2</v>
      </c>
      <c r="E8" s="59">
        <v>0</v>
      </c>
      <c r="F8" s="60">
        <v>1</v>
      </c>
      <c r="G8" s="61">
        <v>6</v>
      </c>
    </row>
    <row r="9" spans="1:7">
      <c r="A9" s="69">
        <v>31873119</v>
      </c>
      <c r="B9" s="63" t="s">
        <v>159</v>
      </c>
      <c r="C9" s="64">
        <v>4</v>
      </c>
      <c r="D9" s="65">
        <v>2</v>
      </c>
      <c r="E9" s="65">
        <v>3</v>
      </c>
      <c r="F9" s="66">
        <v>2</v>
      </c>
      <c r="G9" s="67">
        <v>11</v>
      </c>
    </row>
    <row r="10" spans="1:7">
      <c r="A10" s="68">
        <v>32042714</v>
      </c>
      <c r="B10" s="57" t="s">
        <v>200</v>
      </c>
      <c r="C10" s="58">
        <v>3</v>
      </c>
      <c r="D10" s="59">
        <v>2</v>
      </c>
      <c r="E10" s="59">
        <v>3</v>
      </c>
      <c r="F10" s="60">
        <v>7</v>
      </c>
      <c r="G10" s="61">
        <v>15</v>
      </c>
    </row>
    <row r="11" spans="1:7">
      <c r="A11" s="62">
        <v>32241977</v>
      </c>
      <c r="B11" s="63" t="s">
        <v>201</v>
      </c>
      <c r="C11" s="64">
        <v>4</v>
      </c>
      <c r="D11" s="65">
        <v>2</v>
      </c>
      <c r="E11" s="65">
        <v>0</v>
      </c>
      <c r="F11" s="66">
        <v>1</v>
      </c>
      <c r="G11" s="67">
        <v>7</v>
      </c>
    </row>
    <row r="12" spans="1:7">
      <c r="A12" s="56">
        <v>27670956</v>
      </c>
      <c r="B12" s="57" t="s">
        <v>202</v>
      </c>
      <c r="C12" s="58">
        <v>3</v>
      </c>
      <c r="D12" s="59">
        <v>2</v>
      </c>
      <c r="E12" s="59">
        <v>3</v>
      </c>
      <c r="F12" s="60">
        <v>1</v>
      </c>
      <c r="G12" s="61">
        <v>9</v>
      </c>
    </row>
    <row r="13" spans="1:7">
      <c r="A13" s="62">
        <v>30612256</v>
      </c>
      <c r="B13" s="63" t="s">
        <v>145</v>
      </c>
      <c r="C13" s="64">
        <v>4</v>
      </c>
      <c r="D13" s="65">
        <v>1</v>
      </c>
      <c r="E13" s="65">
        <v>3</v>
      </c>
      <c r="F13" s="66">
        <v>0</v>
      </c>
      <c r="G13" s="67">
        <v>8</v>
      </c>
    </row>
    <row r="14" spans="1:7">
      <c r="A14" s="56">
        <v>31935772</v>
      </c>
      <c r="B14" s="57" t="s">
        <v>155</v>
      </c>
      <c r="C14" s="58">
        <v>3</v>
      </c>
      <c r="D14" s="59">
        <v>2</v>
      </c>
      <c r="E14" s="59">
        <v>0</v>
      </c>
      <c r="F14" s="60">
        <v>8</v>
      </c>
      <c r="G14" s="61">
        <v>13</v>
      </c>
    </row>
    <row r="15" spans="1:7">
      <c r="A15" s="69">
        <v>31382931</v>
      </c>
      <c r="B15" s="63" t="s">
        <v>203</v>
      </c>
      <c r="C15" s="64">
        <v>4</v>
      </c>
      <c r="D15" s="65">
        <v>2</v>
      </c>
      <c r="E15" s="65">
        <v>3</v>
      </c>
      <c r="F15" s="66">
        <v>5</v>
      </c>
      <c r="G15" s="67">
        <v>14</v>
      </c>
    </row>
    <row r="16" spans="1:7">
      <c r="A16" s="68">
        <v>31979046</v>
      </c>
      <c r="B16" s="57" t="s">
        <v>152</v>
      </c>
      <c r="C16" s="58">
        <v>4</v>
      </c>
      <c r="D16" s="59">
        <v>3</v>
      </c>
      <c r="E16" s="59">
        <v>3</v>
      </c>
      <c r="F16" s="60">
        <v>7</v>
      </c>
      <c r="G16" s="61">
        <v>17</v>
      </c>
    </row>
    <row r="17" spans="1:7">
      <c r="A17" s="62">
        <v>33186550</v>
      </c>
      <c r="B17" s="63" t="s">
        <v>162</v>
      </c>
      <c r="C17" s="64">
        <v>3</v>
      </c>
      <c r="D17" s="65">
        <v>2</v>
      </c>
      <c r="E17" s="65">
        <v>3</v>
      </c>
      <c r="F17" s="66">
        <v>6</v>
      </c>
      <c r="G17" s="67">
        <v>14</v>
      </c>
    </row>
    <row r="18" spans="1:7">
      <c r="A18" s="68">
        <v>32001498</v>
      </c>
      <c r="B18" s="57" t="s">
        <v>173</v>
      </c>
      <c r="C18" s="58">
        <v>3</v>
      </c>
      <c r="D18" s="59">
        <v>2</v>
      </c>
      <c r="E18" s="59">
        <v>0</v>
      </c>
      <c r="F18" s="60">
        <v>8</v>
      </c>
      <c r="G18" s="61">
        <v>13</v>
      </c>
    </row>
    <row r="19" spans="1:7">
      <c r="A19" s="69">
        <v>32511604</v>
      </c>
      <c r="B19" s="63" t="s">
        <v>204</v>
      </c>
      <c r="C19" s="64">
        <v>4</v>
      </c>
      <c r="D19" s="65">
        <v>1</v>
      </c>
      <c r="E19" s="65">
        <v>0</v>
      </c>
      <c r="F19" s="66">
        <v>4</v>
      </c>
      <c r="G19" s="67">
        <v>9</v>
      </c>
    </row>
    <row r="20" spans="1:7">
      <c r="A20" s="56">
        <v>31696701</v>
      </c>
      <c r="B20" s="57" t="s">
        <v>205</v>
      </c>
      <c r="C20" s="58">
        <v>4</v>
      </c>
      <c r="D20" s="59">
        <v>2</v>
      </c>
      <c r="E20" s="59">
        <v>3</v>
      </c>
      <c r="F20" s="60">
        <v>6</v>
      </c>
      <c r="G20" s="61">
        <v>15</v>
      </c>
    </row>
    <row r="21" spans="1:7">
      <c r="A21" s="2">
        <v>31460623</v>
      </c>
      <c r="B21" s="2" t="s">
        <v>161</v>
      </c>
      <c r="C21" s="64">
        <v>4</v>
      </c>
      <c r="D21" s="65">
        <v>3</v>
      </c>
      <c r="E21" s="65">
        <v>3</v>
      </c>
      <c r="F21" s="66">
        <v>0</v>
      </c>
      <c r="G21" s="67">
        <f>SUM(C21:F21)</f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A24"/>
  <sheetViews>
    <sheetView workbookViewId="0">
      <selection activeCell="M29" sqref="M29"/>
    </sheetView>
  </sheetViews>
  <sheetFormatPr baseColWidth="10" defaultColWidth="14.5" defaultRowHeight="15" customHeight="1"/>
  <cols>
    <col min="1" max="1" width="9.5" customWidth="1"/>
    <col min="2" max="2" width="8.5" customWidth="1"/>
    <col min="3" max="4" width="8.33203125" customWidth="1"/>
    <col min="5" max="5" width="8.6640625" customWidth="1"/>
    <col min="6" max="6" width="6.5" customWidth="1"/>
    <col min="7" max="7" width="9" customWidth="1"/>
    <col min="8" max="8" width="8.33203125" customWidth="1"/>
    <col min="9" max="9" width="11.33203125" customWidth="1"/>
    <col min="10" max="10" width="7.5" customWidth="1"/>
    <col min="11" max="11" width="8.5" customWidth="1"/>
    <col min="12" max="13" width="8.1640625" customWidth="1"/>
    <col min="14" max="15" width="7.83203125" customWidth="1"/>
    <col min="16" max="16" width="8" customWidth="1"/>
    <col min="17" max="19" width="6.5" customWidth="1"/>
    <col min="20" max="20" width="5.6640625" customWidth="1"/>
    <col min="21" max="21" width="5.5" customWidth="1"/>
    <col min="22" max="22" width="7.33203125" customWidth="1"/>
    <col min="23" max="23" width="6.1640625" customWidth="1"/>
    <col min="24" max="24" width="5.6640625" customWidth="1"/>
    <col min="25" max="25" width="6.5" customWidth="1"/>
    <col min="26" max="26" width="5.5" customWidth="1"/>
    <col min="27" max="27" width="7.83203125" customWidth="1"/>
  </cols>
  <sheetData>
    <row r="1" spans="1:27">
      <c r="A1" s="38"/>
      <c r="B1" s="38"/>
      <c r="C1" s="38"/>
      <c r="D1" s="38"/>
      <c r="E1" s="38"/>
      <c r="F1" s="177" t="s">
        <v>206</v>
      </c>
      <c r="G1" s="165"/>
      <c r="H1" s="165"/>
      <c r="I1" s="178"/>
      <c r="J1" s="38"/>
      <c r="K1" s="177" t="s">
        <v>207</v>
      </c>
      <c r="L1" s="165"/>
      <c r="M1" s="178"/>
      <c r="N1" s="179" t="s">
        <v>208</v>
      </c>
      <c r="O1" s="165"/>
      <c r="P1" s="165"/>
      <c r="Q1" s="177" t="s">
        <v>209</v>
      </c>
      <c r="R1" s="165"/>
      <c r="S1" s="178"/>
      <c r="T1" s="179" t="s">
        <v>210</v>
      </c>
      <c r="U1" s="165"/>
      <c r="V1" s="165"/>
      <c r="W1" s="177" t="s">
        <v>211</v>
      </c>
      <c r="X1" s="178"/>
      <c r="Y1" s="179" t="s">
        <v>212</v>
      </c>
      <c r="Z1" s="178"/>
      <c r="AA1" s="38"/>
    </row>
    <row r="2" spans="1:27">
      <c r="A2" s="70" t="s">
        <v>196</v>
      </c>
      <c r="B2" s="71" t="s">
        <v>213</v>
      </c>
      <c r="C2" s="71" t="s">
        <v>197</v>
      </c>
      <c r="D2" s="71" t="s">
        <v>214</v>
      </c>
      <c r="E2" s="71" t="s">
        <v>215</v>
      </c>
      <c r="F2" s="72" t="s">
        <v>216</v>
      </c>
      <c r="G2" s="71" t="s">
        <v>217</v>
      </c>
      <c r="H2" s="71" t="s">
        <v>218</v>
      </c>
      <c r="I2" s="73" t="s">
        <v>219</v>
      </c>
      <c r="J2" s="71" t="s">
        <v>220</v>
      </c>
      <c r="K2" s="72" t="s">
        <v>221</v>
      </c>
      <c r="L2" s="71" t="s">
        <v>222</v>
      </c>
      <c r="M2" s="73" t="s">
        <v>223</v>
      </c>
      <c r="N2" s="71" t="s">
        <v>224</v>
      </c>
      <c r="O2" s="71" t="s">
        <v>225</v>
      </c>
      <c r="P2" s="71" t="s">
        <v>226</v>
      </c>
      <c r="Q2" s="72" t="s">
        <v>227</v>
      </c>
      <c r="R2" s="71" t="s">
        <v>228</v>
      </c>
      <c r="S2" s="73" t="s">
        <v>229</v>
      </c>
      <c r="T2" s="71" t="s">
        <v>230</v>
      </c>
      <c r="U2" s="71" t="s">
        <v>231</v>
      </c>
      <c r="V2" s="71" t="s">
        <v>232</v>
      </c>
      <c r="W2" s="72" t="s">
        <v>233</v>
      </c>
      <c r="X2" s="73" t="s">
        <v>234</v>
      </c>
      <c r="Y2" s="72" t="s">
        <v>235</v>
      </c>
      <c r="Z2" s="73" t="s">
        <v>236</v>
      </c>
      <c r="AA2" s="71" t="s">
        <v>12</v>
      </c>
    </row>
    <row r="3" spans="1:27">
      <c r="A3" s="74">
        <v>32235827</v>
      </c>
      <c r="B3" s="75" t="s">
        <v>71</v>
      </c>
      <c r="C3" s="75" t="s">
        <v>72</v>
      </c>
      <c r="D3" s="76">
        <v>14</v>
      </c>
      <c r="E3" s="76"/>
      <c r="F3" s="77">
        <v>2</v>
      </c>
      <c r="G3" s="78">
        <v>1</v>
      </c>
      <c r="H3" s="78">
        <v>0.5</v>
      </c>
      <c r="I3" s="79">
        <v>3.5</v>
      </c>
      <c r="J3" s="78">
        <v>1.9</v>
      </c>
      <c r="K3" s="77">
        <v>0.9</v>
      </c>
      <c r="L3" s="78">
        <v>2</v>
      </c>
      <c r="M3" s="80"/>
      <c r="N3" s="78">
        <v>1</v>
      </c>
      <c r="O3" s="78">
        <v>1.75</v>
      </c>
      <c r="P3" s="78">
        <v>1</v>
      </c>
      <c r="Q3" s="77">
        <v>1</v>
      </c>
      <c r="R3" s="78">
        <v>1</v>
      </c>
      <c r="S3" s="79">
        <v>1</v>
      </c>
      <c r="T3" s="78">
        <v>1</v>
      </c>
      <c r="U3" s="78">
        <v>2</v>
      </c>
      <c r="V3" s="78">
        <v>2</v>
      </c>
      <c r="W3" s="77">
        <v>1</v>
      </c>
      <c r="X3" s="79">
        <v>1</v>
      </c>
      <c r="Y3" s="77">
        <v>1</v>
      </c>
      <c r="Z3" s="79">
        <v>1</v>
      </c>
      <c r="AA3" s="81">
        <f>SUM(F3:Z3)</f>
        <v>27.55</v>
      </c>
    </row>
    <row r="4" spans="1:27">
      <c r="A4" s="82">
        <v>31696701</v>
      </c>
      <c r="B4" s="83" t="s">
        <v>55</v>
      </c>
      <c r="C4" s="83" t="s">
        <v>56</v>
      </c>
      <c r="D4" s="84">
        <v>20</v>
      </c>
      <c r="E4" s="84">
        <v>6</v>
      </c>
      <c r="F4" s="85">
        <v>45690</v>
      </c>
      <c r="G4" s="86">
        <v>1</v>
      </c>
      <c r="H4" s="86">
        <v>1</v>
      </c>
      <c r="I4" s="87">
        <v>5.25</v>
      </c>
      <c r="J4" s="83"/>
      <c r="K4" s="88">
        <v>0.9</v>
      </c>
      <c r="L4" s="89">
        <v>2</v>
      </c>
      <c r="M4" s="90"/>
      <c r="N4" s="86">
        <v>1</v>
      </c>
      <c r="O4" s="89">
        <v>1.5</v>
      </c>
      <c r="P4" s="83"/>
      <c r="Q4" s="88">
        <v>1</v>
      </c>
      <c r="R4" s="89">
        <v>1</v>
      </c>
      <c r="S4" s="90"/>
      <c r="T4" s="89">
        <v>0.9</v>
      </c>
      <c r="U4" s="89">
        <v>1.8</v>
      </c>
      <c r="V4" s="83"/>
      <c r="W4" s="91">
        <v>0.5</v>
      </c>
      <c r="X4" s="92">
        <v>0.5</v>
      </c>
      <c r="Y4" s="88">
        <v>0.5</v>
      </c>
      <c r="Z4" s="92">
        <v>1</v>
      </c>
      <c r="AA4" s="93">
        <v>21.85</v>
      </c>
    </row>
    <row r="5" spans="1:27">
      <c r="A5" s="82">
        <v>30849483</v>
      </c>
      <c r="B5" s="83" t="s">
        <v>123</v>
      </c>
      <c r="C5" s="83" t="s">
        <v>124</v>
      </c>
      <c r="D5" s="84">
        <v>9</v>
      </c>
      <c r="E5" s="84">
        <v>2</v>
      </c>
      <c r="F5" s="94">
        <v>2</v>
      </c>
      <c r="G5" s="86">
        <v>1</v>
      </c>
      <c r="H5" s="86">
        <v>0.75</v>
      </c>
      <c r="I5" s="87">
        <v>0.5</v>
      </c>
      <c r="J5" s="86">
        <v>1.75</v>
      </c>
      <c r="K5" s="94">
        <v>1</v>
      </c>
      <c r="L5" s="86">
        <v>2</v>
      </c>
      <c r="M5" s="90"/>
      <c r="N5" s="89">
        <v>0.9</v>
      </c>
      <c r="O5" s="89">
        <v>1.9</v>
      </c>
      <c r="P5" s="83"/>
      <c r="Q5" s="94">
        <v>1</v>
      </c>
      <c r="R5" s="89">
        <v>1</v>
      </c>
      <c r="S5" s="90"/>
      <c r="T5" s="89">
        <v>1</v>
      </c>
      <c r="U5" s="89">
        <v>2</v>
      </c>
      <c r="V5" s="95">
        <v>2</v>
      </c>
      <c r="W5" s="88">
        <v>0.75</v>
      </c>
      <c r="X5" s="92">
        <v>0.75</v>
      </c>
      <c r="Y5" s="88">
        <v>1</v>
      </c>
      <c r="Z5" s="92">
        <v>1</v>
      </c>
      <c r="AA5" s="93">
        <v>22.3</v>
      </c>
    </row>
    <row r="6" spans="1:27">
      <c r="A6" s="82">
        <v>32121959</v>
      </c>
      <c r="B6" s="83" t="s">
        <v>67</v>
      </c>
      <c r="C6" s="83" t="s">
        <v>68</v>
      </c>
      <c r="D6" s="84">
        <v>1</v>
      </c>
      <c r="E6" s="84"/>
      <c r="F6" s="88">
        <v>0.5</v>
      </c>
      <c r="G6" s="89">
        <v>0</v>
      </c>
      <c r="H6" s="89">
        <v>0.25</v>
      </c>
      <c r="I6" s="92">
        <v>0.5</v>
      </c>
      <c r="J6" s="89">
        <v>0</v>
      </c>
      <c r="K6" s="88">
        <v>0.7</v>
      </c>
      <c r="L6" s="89">
        <v>0.1</v>
      </c>
      <c r="M6" s="90"/>
      <c r="N6" s="89">
        <v>0.8</v>
      </c>
      <c r="O6" s="89">
        <v>0</v>
      </c>
      <c r="P6" s="83"/>
      <c r="Q6" s="88">
        <v>0</v>
      </c>
      <c r="R6" s="89">
        <v>0.1</v>
      </c>
      <c r="S6" s="90"/>
      <c r="T6" s="89">
        <v>0.1</v>
      </c>
      <c r="U6" s="89">
        <v>0.1</v>
      </c>
      <c r="V6" s="83"/>
      <c r="W6" s="88">
        <v>0</v>
      </c>
      <c r="X6" s="92">
        <v>0</v>
      </c>
      <c r="Y6" s="88">
        <v>1</v>
      </c>
      <c r="Z6" s="92">
        <v>1</v>
      </c>
      <c r="AA6" s="93">
        <v>5.15</v>
      </c>
    </row>
    <row r="7" spans="1:27">
      <c r="A7" s="74">
        <v>32042714</v>
      </c>
      <c r="B7" s="75" t="s">
        <v>51</v>
      </c>
      <c r="C7" s="75" t="s">
        <v>52</v>
      </c>
      <c r="D7" s="76">
        <v>7</v>
      </c>
      <c r="E7" s="76">
        <v>1</v>
      </c>
      <c r="F7" s="94">
        <v>2</v>
      </c>
      <c r="G7" s="86">
        <v>1</v>
      </c>
      <c r="H7" s="86">
        <v>0.5</v>
      </c>
      <c r="I7" s="87">
        <v>1</v>
      </c>
      <c r="J7" s="86">
        <v>2</v>
      </c>
      <c r="K7" s="94">
        <v>1</v>
      </c>
      <c r="L7" s="78">
        <v>1.8</v>
      </c>
      <c r="M7" s="80"/>
      <c r="N7" s="78">
        <v>0.6</v>
      </c>
      <c r="O7" s="78">
        <v>1.2</v>
      </c>
      <c r="P7" s="75"/>
      <c r="Q7" s="94">
        <v>1</v>
      </c>
      <c r="R7" s="78">
        <v>1</v>
      </c>
      <c r="S7" s="79">
        <v>1</v>
      </c>
      <c r="T7" s="86">
        <v>1</v>
      </c>
      <c r="U7" s="78">
        <v>2</v>
      </c>
      <c r="V7" s="75"/>
      <c r="W7" s="94">
        <v>1</v>
      </c>
      <c r="X7" s="79">
        <v>1</v>
      </c>
      <c r="Y7" s="77">
        <v>0.33</v>
      </c>
      <c r="Z7" s="79">
        <v>1</v>
      </c>
      <c r="AA7" s="81">
        <v>20.43</v>
      </c>
    </row>
    <row r="8" spans="1:27">
      <c r="A8" s="74">
        <v>31979046</v>
      </c>
      <c r="B8" s="75" t="s">
        <v>47</v>
      </c>
      <c r="C8" s="75" t="s">
        <v>48</v>
      </c>
      <c r="D8" s="76">
        <v>2</v>
      </c>
      <c r="E8" s="76">
        <v>3</v>
      </c>
      <c r="F8" s="94">
        <v>2</v>
      </c>
      <c r="G8" s="86">
        <v>1</v>
      </c>
      <c r="H8" s="86">
        <v>0.75</v>
      </c>
      <c r="I8" s="87">
        <v>1</v>
      </c>
      <c r="J8" s="96">
        <v>2</v>
      </c>
      <c r="K8" s="95">
        <v>1</v>
      </c>
      <c r="L8" s="78">
        <v>1.9</v>
      </c>
      <c r="M8" s="80"/>
      <c r="N8" s="78">
        <v>1</v>
      </c>
      <c r="O8" s="78">
        <v>2</v>
      </c>
      <c r="P8" s="75"/>
      <c r="Q8" s="91">
        <v>0.75</v>
      </c>
      <c r="R8" s="78">
        <v>1</v>
      </c>
      <c r="S8" s="79">
        <v>1</v>
      </c>
      <c r="T8" s="91">
        <v>1</v>
      </c>
      <c r="U8" s="78">
        <v>2</v>
      </c>
      <c r="V8" s="78">
        <v>4</v>
      </c>
      <c r="W8" s="91">
        <v>1</v>
      </c>
      <c r="X8" s="79">
        <v>1</v>
      </c>
      <c r="Y8" s="77">
        <v>1</v>
      </c>
      <c r="Z8" s="79">
        <v>1</v>
      </c>
      <c r="AA8" s="81">
        <v>26.4</v>
      </c>
    </row>
    <row r="9" spans="1:27">
      <c r="A9" s="82">
        <v>30538673</v>
      </c>
      <c r="B9" s="83" t="s">
        <v>111</v>
      </c>
      <c r="C9" s="83" t="s">
        <v>112</v>
      </c>
      <c r="D9" s="84">
        <v>3</v>
      </c>
      <c r="E9" s="84">
        <v>4</v>
      </c>
      <c r="F9" s="94">
        <v>2</v>
      </c>
      <c r="G9" s="86">
        <v>0.5</v>
      </c>
      <c r="H9" s="86">
        <v>1.5</v>
      </c>
      <c r="I9" s="87">
        <v>0.5</v>
      </c>
      <c r="J9" s="86">
        <v>2</v>
      </c>
      <c r="K9" s="95">
        <v>0.75</v>
      </c>
      <c r="L9" s="89">
        <v>0.9</v>
      </c>
      <c r="M9" s="90"/>
      <c r="N9" s="95">
        <v>0.75</v>
      </c>
      <c r="O9" s="89">
        <v>1</v>
      </c>
      <c r="P9" s="83"/>
      <c r="Q9" s="95">
        <v>0.5</v>
      </c>
      <c r="R9" s="89">
        <v>0</v>
      </c>
      <c r="S9" s="90"/>
      <c r="T9" s="89">
        <v>0.5</v>
      </c>
      <c r="U9" s="89">
        <v>1</v>
      </c>
      <c r="V9" s="83"/>
      <c r="W9" s="88">
        <v>0.5</v>
      </c>
      <c r="X9" s="92">
        <v>0.5</v>
      </c>
      <c r="Y9" s="88">
        <v>1</v>
      </c>
      <c r="Z9" s="92">
        <v>1</v>
      </c>
      <c r="AA9" s="93">
        <v>14.9</v>
      </c>
    </row>
    <row r="10" spans="1:27">
      <c r="A10" s="74">
        <v>31935772</v>
      </c>
      <c r="B10" s="75" t="s">
        <v>59</v>
      </c>
      <c r="C10" s="75" t="s">
        <v>60</v>
      </c>
      <c r="D10" s="76">
        <v>4</v>
      </c>
      <c r="E10" s="76">
        <v>5</v>
      </c>
      <c r="F10" s="85">
        <v>45690</v>
      </c>
      <c r="G10" s="86" t="s">
        <v>237</v>
      </c>
      <c r="H10" s="86" t="s">
        <v>238</v>
      </c>
      <c r="I10" s="97"/>
      <c r="J10" s="75"/>
      <c r="K10" s="77" t="s">
        <v>239</v>
      </c>
      <c r="L10" s="98">
        <v>45690</v>
      </c>
      <c r="M10" s="80"/>
      <c r="N10" s="78" t="s">
        <v>240</v>
      </c>
      <c r="O10" s="98">
        <v>45659</v>
      </c>
      <c r="P10" s="78">
        <f>1</f>
        <v>1</v>
      </c>
      <c r="Q10" s="77" t="s">
        <v>237</v>
      </c>
      <c r="R10" s="78" t="s">
        <v>237</v>
      </c>
      <c r="S10" s="80"/>
      <c r="T10" s="78" t="s">
        <v>237</v>
      </c>
      <c r="U10" s="78" t="s">
        <v>241</v>
      </c>
      <c r="V10" s="75"/>
      <c r="W10" s="85">
        <v>45658</v>
      </c>
      <c r="X10" s="99">
        <v>45658</v>
      </c>
      <c r="Y10" s="77" t="s">
        <v>237</v>
      </c>
      <c r="Z10" s="79" t="s">
        <v>237</v>
      </c>
      <c r="AA10" s="81">
        <v>10.5</v>
      </c>
    </row>
    <row r="11" spans="1:27">
      <c r="A11" s="74">
        <v>31873242</v>
      </c>
      <c r="B11" s="75" t="s">
        <v>119</v>
      </c>
      <c r="C11" s="75" t="s">
        <v>120</v>
      </c>
      <c r="D11" s="76">
        <v>5</v>
      </c>
      <c r="E11" s="76">
        <v>7</v>
      </c>
      <c r="F11" s="94">
        <v>2</v>
      </c>
      <c r="G11" s="86">
        <v>0</v>
      </c>
      <c r="H11" s="86">
        <v>1.5</v>
      </c>
      <c r="I11" s="87">
        <v>2.5</v>
      </c>
      <c r="J11" s="75"/>
      <c r="K11" s="94">
        <v>1</v>
      </c>
      <c r="L11" s="78">
        <v>0</v>
      </c>
      <c r="M11" s="80"/>
      <c r="N11" s="78">
        <v>0</v>
      </c>
      <c r="O11" s="78">
        <v>0</v>
      </c>
      <c r="P11" s="75"/>
      <c r="Q11" s="77">
        <v>0</v>
      </c>
      <c r="R11" s="78">
        <v>0</v>
      </c>
      <c r="S11" s="80"/>
      <c r="T11" s="86">
        <v>0</v>
      </c>
      <c r="U11" s="78">
        <v>0</v>
      </c>
      <c r="V11" s="75"/>
      <c r="W11" s="95">
        <v>0.5</v>
      </c>
      <c r="X11" s="79">
        <v>0</v>
      </c>
      <c r="Y11" s="95">
        <v>0.5</v>
      </c>
      <c r="Z11" s="95">
        <v>0.5</v>
      </c>
      <c r="AA11" s="81">
        <v>8.5</v>
      </c>
    </row>
    <row r="12" spans="1:27">
      <c r="A12" s="82">
        <v>31873119</v>
      </c>
      <c r="B12" s="83" t="s">
        <v>75</v>
      </c>
      <c r="C12" s="83" t="s">
        <v>76</v>
      </c>
      <c r="D12" s="84">
        <v>21</v>
      </c>
      <c r="E12" s="84">
        <v>8</v>
      </c>
      <c r="F12" s="94">
        <v>2</v>
      </c>
      <c r="G12" s="86">
        <v>1</v>
      </c>
      <c r="H12" s="86">
        <v>4</v>
      </c>
      <c r="I12" s="87">
        <v>1</v>
      </c>
      <c r="J12" s="86">
        <v>2</v>
      </c>
      <c r="K12" s="95">
        <v>0.75</v>
      </c>
      <c r="L12" s="89">
        <v>2</v>
      </c>
      <c r="M12" s="90"/>
      <c r="N12" s="95">
        <v>0.75</v>
      </c>
      <c r="O12" s="89">
        <v>2</v>
      </c>
      <c r="P12" s="83"/>
      <c r="Q12" s="88">
        <v>1</v>
      </c>
      <c r="R12" s="89">
        <v>0.5</v>
      </c>
      <c r="S12" s="92">
        <v>1.5</v>
      </c>
      <c r="T12" s="91">
        <v>1</v>
      </c>
      <c r="U12" s="89">
        <v>1</v>
      </c>
      <c r="V12" s="83"/>
      <c r="W12" s="95">
        <v>0.5</v>
      </c>
      <c r="X12" s="92">
        <v>1</v>
      </c>
      <c r="Y12" s="91">
        <v>1</v>
      </c>
      <c r="Z12" s="92">
        <v>1</v>
      </c>
      <c r="AA12" s="93">
        <v>24</v>
      </c>
    </row>
    <row r="13" spans="1:27">
      <c r="A13" s="82">
        <v>33186550</v>
      </c>
      <c r="B13" s="83" t="s">
        <v>87</v>
      </c>
      <c r="C13" s="83" t="s">
        <v>88</v>
      </c>
      <c r="D13" s="84">
        <v>11</v>
      </c>
      <c r="E13" s="84"/>
      <c r="F13" s="88">
        <v>2</v>
      </c>
      <c r="G13" s="89">
        <v>1</v>
      </c>
      <c r="H13" s="89">
        <v>0.5</v>
      </c>
      <c r="I13" s="92">
        <v>5</v>
      </c>
      <c r="J13" s="89">
        <v>1</v>
      </c>
      <c r="K13" s="88">
        <v>1</v>
      </c>
      <c r="L13" s="89">
        <v>2</v>
      </c>
      <c r="M13" s="90"/>
      <c r="N13" s="89">
        <v>1</v>
      </c>
      <c r="O13" s="89">
        <v>1.8</v>
      </c>
      <c r="P13" s="83"/>
      <c r="Q13" s="88">
        <v>1</v>
      </c>
      <c r="R13" s="89">
        <v>0</v>
      </c>
      <c r="S13" s="92">
        <v>2</v>
      </c>
      <c r="T13" s="89">
        <v>1</v>
      </c>
      <c r="U13" s="89">
        <v>1.8</v>
      </c>
      <c r="V13" s="89">
        <v>0.2</v>
      </c>
      <c r="W13" s="88">
        <v>1</v>
      </c>
      <c r="X13" s="92">
        <v>1</v>
      </c>
      <c r="Y13" s="88">
        <v>1</v>
      </c>
      <c r="Z13" s="92">
        <v>1</v>
      </c>
      <c r="AA13" s="93">
        <v>25.3</v>
      </c>
    </row>
    <row r="14" spans="1:27">
      <c r="A14" s="82">
        <v>27670956</v>
      </c>
      <c r="B14" s="83" t="s">
        <v>26</v>
      </c>
      <c r="C14" s="83" t="s">
        <v>27</v>
      </c>
      <c r="D14" s="84">
        <v>8</v>
      </c>
      <c r="E14" s="84"/>
      <c r="F14" s="88">
        <v>2</v>
      </c>
      <c r="G14" s="89">
        <v>0.75</v>
      </c>
      <c r="H14" s="89">
        <v>0.5</v>
      </c>
      <c r="I14" s="92">
        <v>4</v>
      </c>
      <c r="J14" s="89">
        <v>1.75</v>
      </c>
      <c r="K14" s="88">
        <v>1</v>
      </c>
      <c r="L14" s="89">
        <v>2</v>
      </c>
      <c r="M14" s="92">
        <v>1</v>
      </c>
      <c r="N14" s="89">
        <v>1</v>
      </c>
      <c r="O14" s="89">
        <v>1</v>
      </c>
      <c r="P14" s="89">
        <v>1</v>
      </c>
      <c r="Q14" s="88">
        <v>1</v>
      </c>
      <c r="R14" s="89">
        <v>2</v>
      </c>
      <c r="S14" s="92">
        <v>2</v>
      </c>
      <c r="T14" s="89">
        <v>1</v>
      </c>
      <c r="U14" s="89">
        <v>2</v>
      </c>
      <c r="V14" s="89">
        <v>1</v>
      </c>
      <c r="W14" s="88">
        <v>1</v>
      </c>
      <c r="X14" s="92">
        <v>1</v>
      </c>
      <c r="Y14" s="88">
        <v>1</v>
      </c>
      <c r="Z14" s="92">
        <v>1</v>
      </c>
      <c r="AA14" s="93">
        <v>29</v>
      </c>
    </row>
    <row r="15" spans="1:27">
      <c r="A15" s="82">
        <v>32511604</v>
      </c>
      <c r="B15" s="83" t="s">
        <v>103</v>
      </c>
      <c r="C15" s="83" t="s">
        <v>104</v>
      </c>
      <c r="D15" s="84">
        <v>13</v>
      </c>
      <c r="E15" s="84"/>
      <c r="F15" s="88">
        <v>1</v>
      </c>
      <c r="G15" s="89">
        <v>1</v>
      </c>
      <c r="H15" s="89">
        <v>0.5</v>
      </c>
      <c r="I15" s="92">
        <v>7</v>
      </c>
      <c r="J15" s="83"/>
      <c r="K15" s="88">
        <v>1</v>
      </c>
      <c r="L15" s="89">
        <v>1</v>
      </c>
      <c r="M15" s="90"/>
      <c r="N15" s="89">
        <v>1</v>
      </c>
      <c r="O15" s="89">
        <v>1</v>
      </c>
      <c r="P15" s="89">
        <v>2</v>
      </c>
      <c r="Q15" s="88">
        <v>0</v>
      </c>
      <c r="R15" s="89">
        <v>0</v>
      </c>
      <c r="S15" s="90"/>
      <c r="T15" s="89">
        <v>0</v>
      </c>
      <c r="U15" s="89">
        <v>0</v>
      </c>
      <c r="V15" s="83"/>
      <c r="W15" s="88">
        <v>0</v>
      </c>
      <c r="X15" s="92">
        <v>0</v>
      </c>
      <c r="Y15" s="88">
        <v>0.5</v>
      </c>
      <c r="Z15" s="92">
        <v>0.75</v>
      </c>
      <c r="AA15" s="93">
        <v>16.75</v>
      </c>
    </row>
    <row r="16" spans="1:27">
      <c r="A16" s="74">
        <v>31985209</v>
      </c>
      <c r="B16" s="75" t="s">
        <v>22</v>
      </c>
      <c r="C16" s="75" t="s">
        <v>23</v>
      </c>
      <c r="D16" s="76">
        <v>18</v>
      </c>
      <c r="E16" s="76"/>
      <c r="F16" s="77">
        <v>0.5</v>
      </c>
      <c r="G16" s="78">
        <v>0</v>
      </c>
      <c r="H16" s="78">
        <v>0.25</v>
      </c>
      <c r="I16" s="79">
        <v>1</v>
      </c>
      <c r="J16" s="75"/>
      <c r="K16" s="77">
        <v>0</v>
      </c>
      <c r="L16" s="78">
        <v>0</v>
      </c>
      <c r="M16" s="80"/>
      <c r="N16" s="78">
        <v>0</v>
      </c>
      <c r="O16" s="78">
        <v>0</v>
      </c>
      <c r="P16" s="75"/>
      <c r="Q16" s="77">
        <v>0</v>
      </c>
      <c r="R16" s="78">
        <v>0</v>
      </c>
      <c r="S16" s="79">
        <v>1</v>
      </c>
      <c r="T16" s="78">
        <v>0</v>
      </c>
      <c r="U16" s="78">
        <v>0</v>
      </c>
      <c r="V16" s="75"/>
      <c r="W16" s="77">
        <v>0</v>
      </c>
      <c r="X16" s="79">
        <v>0</v>
      </c>
      <c r="Y16" s="77">
        <v>1</v>
      </c>
      <c r="Z16" s="79">
        <v>0</v>
      </c>
      <c r="AA16" s="81">
        <v>3.75</v>
      </c>
    </row>
    <row r="17" spans="1:27">
      <c r="A17" s="100">
        <v>32241977</v>
      </c>
      <c r="B17" s="101" t="s">
        <v>30</v>
      </c>
      <c r="C17" s="101" t="s">
        <v>31</v>
      </c>
      <c r="D17" s="102">
        <v>19</v>
      </c>
      <c r="E17" s="102"/>
      <c r="F17" s="103">
        <v>0.5</v>
      </c>
      <c r="G17" s="104">
        <v>0</v>
      </c>
      <c r="H17" s="104">
        <v>0.25</v>
      </c>
      <c r="I17" s="105">
        <v>0.5</v>
      </c>
      <c r="J17" s="101"/>
      <c r="K17" s="103">
        <v>0.14000000000000001</v>
      </c>
      <c r="L17" s="104">
        <v>0.4</v>
      </c>
      <c r="M17" s="106"/>
      <c r="N17" s="104">
        <v>0</v>
      </c>
      <c r="O17" s="104">
        <v>0</v>
      </c>
      <c r="P17" s="101"/>
      <c r="Q17" s="103">
        <v>0.25</v>
      </c>
      <c r="R17" s="104">
        <v>0.1</v>
      </c>
      <c r="S17" s="105">
        <v>1</v>
      </c>
      <c r="T17" s="104">
        <v>0</v>
      </c>
      <c r="U17" s="104">
        <v>0</v>
      </c>
      <c r="V17" s="101"/>
      <c r="W17" s="103">
        <v>0</v>
      </c>
      <c r="X17" s="105">
        <v>0</v>
      </c>
      <c r="Y17" s="107"/>
      <c r="Z17" s="106"/>
      <c r="AA17" s="108">
        <v>3.14</v>
      </c>
    </row>
    <row r="18" spans="1:27">
      <c r="A18" s="82">
        <v>31701229</v>
      </c>
      <c r="B18" s="83" t="s">
        <v>107</v>
      </c>
      <c r="C18" s="83" t="s">
        <v>108</v>
      </c>
      <c r="D18" s="84"/>
      <c r="E18" s="84">
        <v>10</v>
      </c>
      <c r="F18" s="94">
        <v>2</v>
      </c>
      <c r="G18" s="86">
        <v>0</v>
      </c>
      <c r="H18" s="86">
        <v>1.5</v>
      </c>
      <c r="I18" s="87">
        <v>0.5</v>
      </c>
      <c r="J18" s="83"/>
      <c r="K18" s="95">
        <v>0.5</v>
      </c>
      <c r="L18" s="89">
        <v>0</v>
      </c>
      <c r="M18" s="90"/>
      <c r="N18" s="89">
        <v>0.5</v>
      </c>
      <c r="O18" s="89">
        <v>1</v>
      </c>
      <c r="P18" s="83"/>
      <c r="Q18" s="88">
        <v>0</v>
      </c>
      <c r="R18" s="89">
        <v>0</v>
      </c>
      <c r="S18" s="90"/>
      <c r="T18" s="89">
        <v>0.5</v>
      </c>
      <c r="U18" s="89">
        <v>2</v>
      </c>
      <c r="V18" s="95">
        <v>1</v>
      </c>
      <c r="W18" s="95">
        <v>0.5</v>
      </c>
      <c r="X18" s="92">
        <v>0.75</v>
      </c>
      <c r="Y18" s="88">
        <v>1</v>
      </c>
      <c r="Z18" s="92">
        <v>0</v>
      </c>
      <c r="AA18" s="93">
        <v>11.75</v>
      </c>
    </row>
    <row r="19" spans="1:27">
      <c r="A19" s="74">
        <v>31382931</v>
      </c>
      <c r="B19" s="75" t="s">
        <v>127</v>
      </c>
      <c r="C19" s="75" t="s">
        <v>128</v>
      </c>
      <c r="D19" s="76">
        <v>15</v>
      </c>
      <c r="E19" s="76">
        <v>11</v>
      </c>
      <c r="F19" s="94" t="s">
        <v>242</v>
      </c>
      <c r="G19" s="109">
        <v>45658</v>
      </c>
      <c r="H19" s="86" t="s">
        <v>243</v>
      </c>
      <c r="I19" s="87" t="s">
        <v>244</v>
      </c>
      <c r="J19" s="109">
        <v>45690</v>
      </c>
      <c r="K19" s="110">
        <v>45658</v>
      </c>
      <c r="L19" s="98">
        <v>45690</v>
      </c>
      <c r="M19" s="80"/>
      <c r="N19" s="95" t="s">
        <v>239</v>
      </c>
      <c r="O19" s="98">
        <v>45690</v>
      </c>
      <c r="P19" s="78">
        <f t="shared" ref="P19:P20" si="0">1</f>
        <v>1</v>
      </c>
      <c r="Q19" s="91" t="s">
        <v>245</v>
      </c>
      <c r="R19" s="78" t="s">
        <v>246</v>
      </c>
      <c r="S19" s="80"/>
      <c r="T19" s="109">
        <v>45658</v>
      </c>
      <c r="U19" s="78">
        <v>2</v>
      </c>
      <c r="V19" s="78">
        <f>2</f>
        <v>2</v>
      </c>
      <c r="W19" s="85">
        <v>45658</v>
      </c>
      <c r="X19" s="80"/>
      <c r="Y19" s="111">
        <v>45658</v>
      </c>
      <c r="Z19" s="112">
        <v>45658</v>
      </c>
      <c r="AA19" s="93">
        <v>24.9</v>
      </c>
    </row>
    <row r="20" spans="1:27">
      <c r="A20" s="74">
        <v>30612256</v>
      </c>
      <c r="B20" s="75" t="s">
        <v>18</v>
      </c>
      <c r="C20" s="75" t="s">
        <v>19</v>
      </c>
      <c r="D20" s="76">
        <v>6</v>
      </c>
      <c r="E20" s="76"/>
      <c r="F20" s="113"/>
      <c r="G20" s="75"/>
      <c r="H20" s="75"/>
      <c r="I20" s="80"/>
      <c r="J20" s="75"/>
      <c r="K20" s="77" t="s">
        <v>239</v>
      </c>
      <c r="L20" s="78" t="s">
        <v>247</v>
      </c>
      <c r="M20" s="80"/>
      <c r="N20" s="78" t="s">
        <v>239</v>
      </c>
      <c r="O20" s="78" t="s">
        <v>248</v>
      </c>
      <c r="P20" s="78">
        <f t="shared" si="0"/>
        <v>1</v>
      </c>
      <c r="Q20" s="77" t="s">
        <v>237</v>
      </c>
      <c r="R20" s="78" t="s">
        <v>237</v>
      </c>
      <c r="S20" s="80"/>
      <c r="T20" s="78" t="s">
        <v>237</v>
      </c>
      <c r="U20" s="78" t="s">
        <v>241</v>
      </c>
      <c r="V20" s="75"/>
      <c r="W20" s="114">
        <v>45658</v>
      </c>
      <c r="X20" s="99">
        <v>45658</v>
      </c>
      <c r="Y20" s="114">
        <v>45658</v>
      </c>
      <c r="Z20" s="79" t="s">
        <v>237</v>
      </c>
      <c r="AA20" s="81">
        <v>5.2</v>
      </c>
    </row>
    <row r="21" spans="1:27">
      <c r="A21" s="74">
        <v>31460623</v>
      </c>
      <c r="B21" s="75" t="s">
        <v>83</v>
      </c>
      <c r="C21" s="75" t="s">
        <v>84</v>
      </c>
      <c r="D21" s="76">
        <v>10</v>
      </c>
      <c r="E21" s="76"/>
      <c r="F21" s="77">
        <v>1.5</v>
      </c>
      <c r="G21" s="78">
        <v>0.5</v>
      </c>
      <c r="H21" s="78">
        <v>0.5</v>
      </c>
      <c r="I21" s="79">
        <v>1.5</v>
      </c>
      <c r="J21" s="78">
        <v>1</v>
      </c>
      <c r="K21" s="77">
        <v>0.75</v>
      </c>
      <c r="L21" s="78">
        <v>1.75</v>
      </c>
      <c r="M21" s="80"/>
      <c r="N21" s="78">
        <v>0.5</v>
      </c>
      <c r="O21" s="78">
        <v>0</v>
      </c>
      <c r="P21" s="75"/>
      <c r="Q21" s="78">
        <v>0.5</v>
      </c>
      <c r="R21" s="78">
        <v>0</v>
      </c>
      <c r="S21" s="80"/>
      <c r="T21" s="78">
        <v>0.5</v>
      </c>
      <c r="U21" s="78">
        <v>0</v>
      </c>
      <c r="V21" s="75"/>
      <c r="W21" s="77">
        <v>0.5</v>
      </c>
      <c r="X21" s="79">
        <v>0.5</v>
      </c>
      <c r="Y21" s="77">
        <v>1</v>
      </c>
      <c r="Z21" s="79">
        <v>0</v>
      </c>
      <c r="AA21" s="81">
        <v>11</v>
      </c>
    </row>
    <row r="22" spans="1:27">
      <c r="A22" s="74">
        <v>31745168</v>
      </c>
      <c r="B22" s="75" t="s">
        <v>99</v>
      </c>
      <c r="C22" s="75" t="s">
        <v>100</v>
      </c>
      <c r="D22" s="76">
        <v>12</v>
      </c>
      <c r="E22" s="76"/>
      <c r="F22" s="113"/>
      <c r="G22" s="75"/>
      <c r="H22" s="75"/>
      <c r="I22" s="79" t="s">
        <v>249</v>
      </c>
      <c r="J22" s="75"/>
      <c r="K22" s="77" t="s">
        <v>250</v>
      </c>
      <c r="L22" s="78" t="s">
        <v>241</v>
      </c>
      <c r="M22" s="80"/>
      <c r="N22" s="78" t="s">
        <v>237</v>
      </c>
      <c r="O22" s="78" t="s">
        <v>241</v>
      </c>
      <c r="P22" s="75"/>
      <c r="Q22" s="77" t="s">
        <v>237</v>
      </c>
      <c r="R22" s="78" t="s">
        <v>237</v>
      </c>
      <c r="S22" s="80"/>
      <c r="T22" s="78" t="s">
        <v>237</v>
      </c>
      <c r="U22" s="78" t="s">
        <v>241</v>
      </c>
      <c r="V22" s="75"/>
      <c r="W22" s="77" t="s">
        <v>237</v>
      </c>
      <c r="X22" s="79" t="s">
        <v>237</v>
      </c>
      <c r="Y22" s="114">
        <v>45658</v>
      </c>
      <c r="Z22" s="79" t="s">
        <v>237</v>
      </c>
      <c r="AA22" s="81">
        <v>1.5</v>
      </c>
    </row>
    <row r="23" spans="1:27">
      <c r="A23" s="82">
        <v>31886469</v>
      </c>
      <c r="B23" s="83" t="s">
        <v>63</v>
      </c>
      <c r="C23" s="83" t="s">
        <v>64</v>
      </c>
      <c r="D23" s="84">
        <v>17</v>
      </c>
      <c r="E23" s="84"/>
      <c r="F23" s="115"/>
      <c r="G23" s="83"/>
      <c r="H23" s="83"/>
      <c r="I23" s="90"/>
      <c r="J23" s="83"/>
      <c r="K23" s="88" t="s">
        <v>246</v>
      </c>
      <c r="L23" s="89" t="s">
        <v>241</v>
      </c>
      <c r="M23" s="90"/>
      <c r="N23" s="89" t="s">
        <v>237</v>
      </c>
      <c r="O23" s="89" t="s">
        <v>241</v>
      </c>
      <c r="P23" s="83"/>
      <c r="Q23" s="88" t="s">
        <v>237</v>
      </c>
      <c r="R23" s="89" t="s">
        <v>237</v>
      </c>
      <c r="S23" s="90"/>
      <c r="T23" s="89" t="s">
        <v>237</v>
      </c>
      <c r="U23" s="89" t="s">
        <v>241</v>
      </c>
      <c r="V23" s="83"/>
      <c r="W23" s="116">
        <v>45658</v>
      </c>
      <c r="X23" s="92" t="s">
        <v>237</v>
      </c>
      <c r="Y23" s="88" t="s">
        <v>237</v>
      </c>
      <c r="Z23" s="92" t="s">
        <v>237</v>
      </c>
      <c r="AA23" s="93">
        <v>1</v>
      </c>
    </row>
    <row r="24" spans="1:27">
      <c r="A24" s="74">
        <v>32001498</v>
      </c>
      <c r="B24" s="75" t="s">
        <v>135</v>
      </c>
      <c r="C24" s="75" t="s">
        <v>108</v>
      </c>
      <c r="D24" s="76">
        <v>16</v>
      </c>
      <c r="E24" s="76">
        <v>9</v>
      </c>
      <c r="F24" s="94">
        <v>1.9</v>
      </c>
      <c r="G24" s="86">
        <v>1</v>
      </c>
      <c r="H24" s="86">
        <v>2.5</v>
      </c>
      <c r="I24" s="87">
        <v>3.5</v>
      </c>
      <c r="J24" s="75"/>
      <c r="K24" s="94">
        <v>1</v>
      </c>
      <c r="L24" s="78">
        <v>0</v>
      </c>
      <c r="M24" s="80"/>
      <c r="N24" s="86">
        <v>1</v>
      </c>
      <c r="O24" s="78">
        <v>0</v>
      </c>
      <c r="P24" s="75"/>
      <c r="Q24" s="77">
        <v>0.5</v>
      </c>
      <c r="R24" s="78">
        <v>0</v>
      </c>
      <c r="S24" s="80"/>
      <c r="T24" s="78">
        <v>0.5</v>
      </c>
      <c r="U24" s="78">
        <v>1</v>
      </c>
      <c r="V24" s="75"/>
      <c r="W24" s="77">
        <v>0</v>
      </c>
      <c r="X24" s="79">
        <v>0</v>
      </c>
      <c r="Y24" s="94">
        <v>1</v>
      </c>
      <c r="Z24" s="79">
        <v>0</v>
      </c>
      <c r="AA24" s="81">
        <v>13.9</v>
      </c>
    </row>
  </sheetData>
  <mergeCells count="7">
    <mergeCell ref="W1:X1"/>
    <mergeCell ref="Y1:Z1"/>
    <mergeCell ref="F1:I1"/>
    <mergeCell ref="K1:M1"/>
    <mergeCell ref="N1:P1"/>
    <mergeCell ref="Q1:S1"/>
    <mergeCell ref="T1:V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Q1000"/>
  <sheetViews>
    <sheetView workbookViewId="0">
      <pane xSplit="2" ySplit="1" topLeftCell="C2" activePane="bottomRight" state="frozen"/>
      <selection activeCell="M29" sqref="M29"/>
      <selection pane="topRight" activeCell="M29" sqref="M29"/>
      <selection pane="bottomLeft" activeCell="M29" sqref="M29"/>
      <selection pane="bottomRight" activeCell="M29" sqref="M29"/>
    </sheetView>
  </sheetViews>
  <sheetFormatPr baseColWidth="10" defaultColWidth="14.5" defaultRowHeight="15" customHeight="1"/>
  <cols>
    <col min="2" max="2" width="17.5" customWidth="1"/>
  </cols>
  <sheetData>
    <row r="1" spans="1:17">
      <c r="A1" s="2" t="s">
        <v>251</v>
      </c>
      <c r="B1" s="2" t="s">
        <v>197</v>
      </c>
      <c r="C1" s="117" t="s">
        <v>252</v>
      </c>
      <c r="D1" s="117" t="s">
        <v>253</v>
      </c>
      <c r="E1" s="117" t="s">
        <v>254</v>
      </c>
      <c r="F1" s="117" t="s">
        <v>255</v>
      </c>
      <c r="G1" s="117" t="s">
        <v>256</v>
      </c>
      <c r="H1" s="117" t="s">
        <v>257</v>
      </c>
      <c r="I1" s="117" t="s">
        <v>258</v>
      </c>
      <c r="J1" s="117" t="s">
        <v>259</v>
      </c>
      <c r="K1" s="117" t="s">
        <v>260</v>
      </c>
      <c r="L1" s="117" t="s">
        <v>261</v>
      </c>
      <c r="M1" s="117" t="s">
        <v>262</v>
      </c>
      <c r="N1" s="117" t="s">
        <v>263</v>
      </c>
      <c r="O1" s="117" t="s">
        <v>264</v>
      </c>
      <c r="P1" s="117" t="s">
        <v>265</v>
      </c>
      <c r="Q1" s="1" t="s">
        <v>266</v>
      </c>
    </row>
    <row r="2" spans="1:17">
      <c r="A2" s="117" t="s">
        <v>267</v>
      </c>
      <c r="B2" s="117" t="s">
        <v>268</v>
      </c>
      <c r="C2" s="118">
        <v>18</v>
      </c>
      <c r="D2" s="118">
        <v>15</v>
      </c>
      <c r="E2" s="118">
        <v>11</v>
      </c>
      <c r="F2" s="118">
        <v>12</v>
      </c>
      <c r="G2" s="118">
        <v>20</v>
      </c>
      <c r="H2" s="118">
        <v>16</v>
      </c>
      <c r="I2" s="118">
        <v>10</v>
      </c>
      <c r="J2" s="118">
        <v>19</v>
      </c>
      <c r="K2" s="118">
        <v>16.670000000000002</v>
      </c>
      <c r="L2" s="118">
        <v>18</v>
      </c>
      <c r="M2" s="118">
        <v>20</v>
      </c>
      <c r="N2" s="118">
        <v>18</v>
      </c>
      <c r="O2" s="118">
        <v>18</v>
      </c>
      <c r="P2" s="119">
        <v>18</v>
      </c>
      <c r="Q2" s="9">
        <f t="shared" ref="Q2:Q31" si="0">SUM(C2:P2)/COUNTA(C$1:P$1)</f>
        <v>16.405000000000001</v>
      </c>
    </row>
    <row r="3" spans="1:17">
      <c r="A3" s="117" t="s">
        <v>269</v>
      </c>
      <c r="B3" s="117" t="s">
        <v>270</v>
      </c>
      <c r="C3" s="118">
        <v>16</v>
      </c>
      <c r="D3" s="118">
        <v>18.329999999999998</v>
      </c>
      <c r="E3" s="118">
        <v>16</v>
      </c>
      <c r="F3" s="118">
        <v>10</v>
      </c>
      <c r="G3" s="118">
        <v>19</v>
      </c>
      <c r="H3" s="118">
        <v>20</v>
      </c>
      <c r="I3" s="118">
        <v>18</v>
      </c>
      <c r="J3" s="118">
        <v>20</v>
      </c>
      <c r="K3" s="118">
        <v>18</v>
      </c>
      <c r="L3" s="118">
        <v>14.7</v>
      </c>
      <c r="M3" s="118">
        <v>20</v>
      </c>
      <c r="N3" s="118">
        <v>18</v>
      </c>
      <c r="O3" s="118">
        <v>18</v>
      </c>
      <c r="P3" s="119">
        <v>18</v>
      </c>
      <c r="Q3" s="9">
        <f t="shared" si="0"/>
        <v>17.430714285714284</v>
      </c>
    </row>
    <row r="4" spans="1:17">
      <c r="A4" s="117" t="s">
        <v>271</v>
      </c>
      <c r="B4" s="117" t="s">
        <v>272</v>
      </c>
      <c r="C4" s="118">
        <v>18</v>
      </c>
      <c r="D4" s="118">
        <v>20</v>
      </c>
      <c r="E4" s="118">
        <v>18</v>
      </c>
      <c r="F4" s="118">
        <v>19.5</v>
      </c>
      <c r="G4" s="118">
        <v>18</v>
      </c>
      <c r="H4" s="118">
        <v>20</v>
      </c>
      <c r="I4" s="118">
        <v>14</v>
      </c>
      <c r="J4" s="118">
        <v>19</v>
      </c>
      <c r="K4" s="118">
        <v>20</v>
      </c>
      <c r="L4" s="118">
        <v>19.600000000000001</v>
      </c>
      <c r="M4" s="118">
        <v>20</v>
      </c>
      <c r="N4" s="118">
        <v>20</v>
      </c>
      <c r="O4" s="118">
        <v>16</v>
      </c>
      <c r="P4" s="119">
        <v>18</v>
      </c>
      <c r="Q4" s="9">
        <f t="shared" si="0"/>
        <v>18.578571428571429</v>
      </c>
    </row>
    <row r="5" spans="1:17">
      <c r="A5" s="117" t="s">
        <v>273</v>
      </c>
      <c r="B5" s="117" t="s">
        <v>274</v>
      </c>
      <c r="C5" s="118">
        <v>18</v>
      </c>
      <c r="D5" s="118">
        <v>18</v>
      </c>
      <c r="E5" s="118">
        <v>14</v>
      </c>
      <c r="F5" s="118">
        <v>20</v>
      </c>
      <c r="G5" s="118">
        <v>18</v>
      </c>
      <c r="H5" s="118">
        <v>20</v>
      </c>
      <c r="I5" s="118">
        <v>16</v>
      </c>
      <c r="J5" s="118">
        <v>10</v>
      </c>
      <c r="K5" s="118">
        <v>20</v>
      </c>
      <c r="L5" s="118">
        <v>18</v>
      </c>
      <c r="M5" s="118">
        <v>16</v>
      </c>
      <c r="N5" s="118">
        <v>18</v>
      </c>
      <c r="O5" s="118">
        <v>12</v>
      </c>
      <c r="P5" s="119">
        <v>20</v>
      </c>
      <c r="Q5" s="9">
        <f t="shared" si="0"/>
        <v>17</v>
      </c>
    </row>
    <row r="6" spans="1:17">
      <c r="A6" s="117" t="s">
        <v>275</v>
      </c>
      <c r="B6" s="117" t="s">
        <v>276</v>
      </c>
      <c r="C6" s="118">
        <v>18</v>
      </c>
      <c r="D6" s="118">
        <v>16</v>
      </c>
      <c r="E6" s="118">
        <v>11.67</v>
      </c>
      <c r="F6" s="118">
        <v>16</v>
      </c>
      <c r="G6" s="118">
        <v>12</v>
      </c>
      <c r="H6" s="118">
        <v>10</v>
      </c>
      <c r="I6" s="118">
        <v>10</v>
      </c>
      <c r="J6" s="118">
        <v>13.33</v>
      </c>
      <c r="K6" s="118">
        <v>10</v>
      </c>
      <c r="L6" s="118">
        <v>18</v>
      </c>
      <c r="M6" s="118">
        <v>14</v>
      </c>
      <c r="N6" s="118">
        <v>18</v>
      </c>
      <c r="O6" s="119"/>
      <c r="P6" s="119"/>
      <c r="Q6" s="9">
        <f t="shared" si="0"/>
        <v>11.928571428571429</v>
      </c>
    </row>
    <row r="7" spans="1:17">
      <c r="A7" s="117" t="s">
        <v>277</v>
      </c>
      <c r="B7" s="117" t="s">
        <v>278</v>
      </c>
      <c r="C7" s="118">
        <v>18</v>
      </c>
      <c r="D7" s="118">
        <v>15.33</v>
      </c>
      <c r="E7" s="118">
        <v>14</v>
      </c>
      <c r="F7" s="118">
        <v>7.5</v>
      </c>
      <c r="G7" s="118">
        <v>10</v>
      </c>
      <c r="H7" s="118">
        <v>17.5</v>
      </c>
      <c r="I7" s="119"/>
      <c r="J7" s="119"/>
      <c r="K7" s="119"/>
      <c r="L7" s="119"/>
      <c r="M7" s="119"/>
      <c r="N7" s="119"/>
      <c r="O7" s="119"/>
      <c r="P7" s="119"/>
      <c r="Q7" s="9">
        <f t="shared" si="0"/>
        <v>5.8807142857142853</v>
      </c>
    </row>
    <row r="8" spans="1:17">
      <c r="A8" s="117" t="s">
        <v>279</v>
      </c>
      <c r="B8" s="117" t="s">
        <v>280</v>
      </c>
      <c r="C8" s="118">
        <v>10</v>
      </c>
      <c r="D8" s="118">
        <v>10</v>
      </c>
      <c r="E8" s="118">
        <v>10</v>
      </c>
      <c r="F8" s="118">
        <v>10</v>
      </c>
      <c r="G8" s="118">
        <v>10</v>
      </c>
      <c r="H8" s="118">
        <v>10</v>
      </c>
      <c r="I8" s="118">
        <v>10</v>
      </c>
      <c r="J8" s="118">
        <v>16</v>
      </c>
      <c r="K8" s="118">
        <v>12</v>
      </c>
      <c r="L8" s="118">
        <v>15.1</v>
      </c>
      <c r="M8" s="118">
        <v>16</v>
      </c>
      <c r="N8" s="118">
        <v>18</v>
      </c>
      <c r="O8" s="118">
        <v>18</v>
      </c>
      <c r="P8" s="118">
        <v>18</v>
      </c>
      <c r="Q8" s="9">
        <f t="shared" si="0"/>
        <v>13.078571428571427</v>
      </c>
    </row>
    <row r="9" spans="1:17">
      <c r="A9" s="117" t="s">
        <v>281</v>
      </c>
      <c r="B9" s="117" t="s">
        <v>282</v>
      </c>
      <c r="C9" s="118">
        <v>20</v>
      </c>
      <c r="D9" s="118">
        <v>18</v>
      </c>
      <c r="E9" s="118">
        <v>11</v>
      </c>
      <c r="F9" s="118">
        <v>19.5</v>
      </c>
      <c r="G9" s="118">
        <v>16</v>
      </c>
      <c r="H9" s="118">
        <v>18</v>
      </c>
      <c r="I9" s="118">
        <v>18</v>
      </c>
      <c r="J9" s="118">
        <v>18</v>
      </c>
      <c r="K9" s="118">
        <v>20</v>
      </c>
      <c r="L9" s="118">
        <v>20</v>
      </c>
      <c r="M9" s="118">
        <v>20</v>
      </c>
      <c r="N9" s="118">
        <v>14</v>
      </c>
      <c r="O9" s="119"/>
      <c r="P9" s="119">
        <v>20</v>
      </c>
      <c r="Q9" s="9">
        <f t="shared" si="0"/>
        <v>16.607142857142858</v>
      </c>
    </row>
    <row r="10" spans="1:17">
      <c r="A10" s="120" t="s">
        <v>283</v>
      </c>
      <c r="B10" s="117" t="s">
        <v>284</v>
      </c>
      <c r="C10" s="118">
        <v>20</v>
      </c>
      <c r="D10" s="118">
        <v>17</v>
      </c>
      <c r="E10" s="118">
        <v>16</v>
      </c>
      <c r="F10" s="118">
        <v>20</v>
      </c>
      <c r="G10" s="118">
        <v>20</v>
      </c>
      <c r="H10" s="118">
        <v>20</v>
      </c>
      <c r="I10" s="118">
        <v>18</v>
      </c>
      <c r="J10" s="118">
        <v>18</v>
      </c>
      <c r="K10" s="118">
        <v>19</v>
      </c>
      <c r="L10" s="118">
        <v>20</v>
      </c>
      <c r="M10" s="118">
        <v>20</v>
      </c>
      <c r="N10" s="118">
        <v>20</v>
      </c>
      <c r="O10" s="118">
        <v>10</v>
      </c>
      <c r="P10" s="119">
        <v>18</v>
      </c>
      <c r="Q10" s="9">
        <f t="shared" si="0"/>
        <v>18.285714285714285</v>
      </c>
    </row>
    <row r="11" spans="1:17">
      <c r="A11" s="117" t="s">
        <v>285</v>
      </c>
      <c r="B11" s="117" t="s">
        <v>286</v>
      </c>
      <c r="C11" s="118">
        <v>20</v>
      </c>
      <c r="D11" s="118">
        <v>16.670000000000002</v>
      </c>
      <c r="E11" s="118">
        <v>16</v>
      </c>
      <c r="F11" s="118">
        <v>18</v>
      </c>
      <c r="G11" s="118">
        <v>18</v>
      </c>
      <c r="H11" s="118">
        <v>11</v>
      </c>
      <c r="I11" s="119">
        <v>10</v>
      </c>
      <c r="J11" s="118">
        <v>16.670000000000002</v>
      </c>
      <c r="K11" s="118">
        <v>12</v>
      </c>
      <c r="L11" s="118">
        <v>16</v>
      </c>
      <c r="M11" s="118">
        <v>10</v>
      </c>
      <c r="N11" s="118">
        <v>10</v>
      </c>
      <c r="O11" s="118">
        <v>10</v>
      </c>
      <c r="P11" s="118">
        <v>14</v>
      </c>
      <c r="Q11" s="9">
        <f t="shared" si="0"/>
        <v>14.167142857142858</v>
      </c>
    </row>
    <row r="12" spans="1:17">
      <c r="A12" s="117" t="s">
        <v>287</v>
      </c>
      <c r="B12" s="117" t="s">
        <v>288</v>
      </c>
      <c r="C12" s="118">
        <v>16</v>
      </c>
      <c r="D12" s="118">
        <v>16</v>
      </c>
      <c r="E12" s="118">
        <v>18</v>
      </c>
      <c r="F12" s="118">
        <v>20</v>
      </c>
      <c r="G12" s="118">
        <v>18</v>
      </c>
      <c r="H12" s="118">
        <v>11.5</v>
      </c>
      <c r="I12" s="118">
        <v>16</v>
      </c>
      <c r="J12" s="118">
        <v>15.33</v>
      </c>
      <c r="K12" s="118">
        <v>10</v>
      </c>
      <c r="L12" s="119"/>
      <c r="M12" s="118">
        <v>10</v>
      </c>
      <c r="N12" s="118">
        <v>10</v>
      </c>
      <c r="O12" s="118">
        <v>10</v>
      </c>
      <c r="P12" s="119"/>
      <c r="Q12" s="9">
        <f t="shared" si="0"/>
        <v>12.202142857142858</v>
      </c>
    </row>
    <row r="13" spans="1:17">
      <c r="A13" s="117" t="s">
        <v>289</v>
      </c>
      <c r="B13" s="117" t="s">
        <v>290</v>
      </c>
      <c r="C13" s="118">
        <v>16</v>
      </c>
      <c r="D13" s="118">
        <v>15.67</v>
      </c>
      <c r="E13" s="118">
        <v>12</v>
      </c>
      <c r="F13" s="118">
        <v>13.5</v>
      </c>
      <c r="G13" s="119"/>
      <c r="H13" s="118">
        <v>15</v>
      </c>
      <c r="I13" s="119"/>
      <c r="J13" s="119"/>
      <c r="K13" s="118">
        <v>17</v>
      </c>
      <c r="L13" s="118">
        <v>17.5</v>
      </c>
      <c r="M13" s="118">
        <v>18</v>
      </c>
      <c r="N13" s="118">
        <v>18</v>
      </c>
      <c r="O13" s="118">
        <v>18</v>
      </c>
      <c r="P13" s="119">
        <v>18</v>
      </c>
      <c r="Q13" s="9">
        <f t="shared" si="0"/>
        <v>12.762142857142859</v>
      </c>
    </row>
    <row r="14" spans="1:17">
      <c r="A14" s="117" t="s">
        <v>291</v>
      </c>
      <c r="B14" s="117" t="s">
        <v>292</v>
      </c>
      <c r="C14" s="119"/>
      <c r="D14" s="119"/>
      <c r="E14" s="119"/>
      <c r="F14" s="119"/>
      <c r="G14" s="119"/>
      <c r="H14" s="119"/>
      <c r="I14" s="119"/>
      <c r="J14" s="119"/>
      <c r="K14" s="119"/>
      <c r="L14" s="119"/>
      <c r="M14" s="119"/>
      <c r="N14" s="119"/>
      <c r="O14" s="119"/>
      <c r="P14" s="119"/>
      <c r="Q14" s="9">
        <f t="shared" si="0"/>
        <v>0</v>
      </c>
    </row>
    <row r="15" spans="1:17">
      <c r="A15" s="117" t="s">
        <v>293</v>
      </c>
      <c r="B15" s="117" t="s">
        <v>294</v>
      </c>
      <c r="C15" s="118">
        <v>10</v>
      </c>
      <c r="D15" s="118">
        <v>12</v>
      </c>
      <c r="E15" s="118">
        <v>11</v>
      </c>
      <c r="F15" s="118">
        <v>14</v>
      </c>
      <c r="G15" s="118">
        <v>20</v>
      </c>
      <c r="H15" s="118">
        <v>17.5</v>
      </c>
      <c r="I15" s="118">
        <v>20</v>
      </c>
      <c r="J15" s="118">
        <v>18</v>
      </c>
      <c r="K15" s="118">
        <v>19</v>
      </c>
      <c r="L15" s="118">
        <v>20</v>
      </c>
      <c r="M15" s="118">
        <v>18</v>
      </c>
      <c r="N15" s="118">
        <v>14</v>
      </c>
      <c r="O15" s="118">
        <v>16</v>
      </c>
      <c r="P15" s="119">
        <v>17</v>
      </c>
      <c r="Q15" s="9">
        <f t="shared" si="0"/>
        <v>16.178571428571427</v>
      </c>
    </row>
    <row r="16" spans="1:17">
      <c r="A16" s="117" t="s">
        <v>295</v>
      </c>
      <c r="B16" s="117" t="s">
        <v>296</v>
      </c>
      <c r="C16" s="118">
        <v>20</v>
      </c>
      <c r="D16" s="118">
        <v>16</v>
      </c>
      <c r="E16" s="118">
        <v>18</v>
      </c>
      <c r="F16" s="118">
        <v>16</v>
      </c>
      <c r="G16" s="118">
        <v>20</v>
      </c>
      <c r="H16" s="118">
        <v>20</v>
      </c>
      <c r="I16" s="118">
        <v>18</v>
      </c>
      <c r="J16" s="118">
        <v>19</v>
      </c>
      <c r="K16" s="118">
        <v>19</v>
      </c>
      <c r="L16" s="118">
        <v>18.600000000000001</v>
      </c>
      <c r="M16" s="118">
        <v>20</v>
      </c>
      <c r="N16" s="118">
        <v>18</v>
      </c>
      <c r="O16" s="118">
        <v>16</v>
      </c>
      <c r="P16" s="118">
        <v>18</v>
      </c>
      <c r="Q16" s="9">
        <f t="shared" si="0"/>
        <v>18.328571428571429</v>
      </c>
    </row>
    <row r="17" spans="1:17">
      <c r="A17" s="117" t="s">
        <v>297</v>
      </c>
      <c r="B17" s="117" t="s">
        <v>298</v>
      </c>
      <c r="C17" s="118">
        <v>20</v>
      </c>
      <c r="D17" s="118">
        <v>20</v>
      </c>
      <c r="E17" s="118">
        <v>16</v>
      </c>
      <c r="F17" s="118">
        <v>20</v>
      </c>
      <c r="G17" s="118">
        <v>18</v>
      </c>
      <c r="H17" s="118">
        <v>19.5</v>
      </c>
      <c r="I17" s="118">
        <v>20</v>
      </c>
      <c r="J17" s="118">
        <v>17</v>
      </c>
      <c r="K17" s="118">
        <v>20</v>
      </c>
      <c r="L17" s="118">
        <v>20</v>
      </c>
      <c r="M17" s="118">
        <v>16</v>
      </c>
      <c r="N17" s="118">
        <v>18</v>
      </c>
      <c r="O17" s="118">
        <v>18</v>
      </c>
      <c r="P17" s="119">
        <v>16</v>
      </c>
      <c r="Q17" s="9">
        <f t="shared" si="0"/>
        <v>18.464285714285715</v>
      </c>
    </row>
    <row r="18" spans="1:17">
      <c r="A18" s="117" t="s">
        <v>299</v>
      </c>
      <c r="B18" s="117" t="s">
        <v>300</v>
      </c>
      <c r="C18" s="118">
        <v>14</v>
      </c>
      <c r="D18" s="118">
        <v>18</v>
      </c>
      <c r="E18" s="118">
        <v>13</v>
      </c>
      <c r="F18" s="118">
        <v>18</v>
      </c>
      <c r="G18" s="118">
        <v>20</v>
      </c>
      <c r="H18" s="118">
        <v>17.5</v>
      </c>
      <c r="I18" s="118">
        <v>10</v>
      </c>
      <c r="J18" s="118">
        <v>10</v>
      </c>
      <c r="K18" s="118">
        <v>10</v>
      </c>
      <c r="L18" s="118">
        <v>10</v>
      </c>
      <c r="M18" s="118">
        <v>12</v>
      </c>
      <c r="N18" s="118">
        <v>16</v>
      </c>
      <c r="O18" s="118">
        <v>16</v>
      </c>
      <c r="P18" s="119">
        <v>14</v>
      </c>
      <c r="Q18" s="9">
        <f t="shared" si="0"/>
        <v>14.178571428571429</v>
      </c>
    </row>
    <row r="19" spans="1:17">
      <c r="A19" s="117" t="s">
        <v>301</v>
      </c>
      <c r="B19" s="117" t="s">
        <v>302</v>
      </c>
      <c r="C19" s="118">
        <v>16</v>
      </c>
      <c r="D19" s="118">
        <v>17</v>
      </c>
      <c r="E19" s="118">
        <v>16</v>
      </c>
      <c r="F19" s="118">
        <v>18</v>
      </c>
      <c r="G19" s="118">
        <v>20</v>
      </c>
      <c r="H19" s="118">
        <v>19.5</v>
      </c>
      <c r="I19" s="118">
        <v>16</v>
      </c>
      <c r="J19" s="118">
        <v>13.33</v>
      </c>
      <c r="K19" s="118">
        <v>18</v>
      </c>
      <c r="L19" s="118">
        <v>18</v>
      </c>
      <c r="M19" s="118">
        <v>18</v>
      </c>
      <c r="N19" s="118">
        <v>20</v>
      </c>
      <c r="O19" s="118">
        <v>18</v>
      </c>
      <c r="P19" s="119">
        <v>18</v>
      </c>
      <c r="Q19" s="9">
        <f t="shared" si="0"/>
        <v>17.559285714285714</v>
      </c>
    </row>
    <row r="20" spans="1:17">
      <c r="A20" s="117" t="s">
        <v>303</v>
      </c>
      <c r="B20" s="117" t="s">
        <v>304</v>
      </c>
      <c r="C20" s="118">
        <v>18</v>
      </c>
      <c r="D20" s="118">
        <v>19</v>
      </c>
      <c r="E20" s="118">
        <v>12</v>
      </c>
      <c r="F20" s="118">
        <v>18</v>
      </c>
      <c r="G20" s="118">
        <v>10</v>
      </c>
      <c r="H20" s="118">
        <v>18</v>
      </c>
      <c r="I20" s="118">
        <v>10</v>
      </c>
      <c r="J20" s="119"/>
      <c r="K20" s="119"/>
      <c r="L20" s="119"/>
      <c r="M20" s="119"/>
      <c r="N20" s="119"/>
      <c r="O20" s="119"/>
      <c r="P20" s="119"/>
      <c r="Q20" s="9">
        <f t="shared" si="0"/>
        <v>7.5</v>
      </c>
    </row>
    <row r="21" spans="1:17">
      <c r="A21" s="117" t="s">
        <v>305</v>
      </c>
      <c r="B21" s="117" t="s">
        <v>306</v>
      </c>
      <c r="C21" s="118">
        <v>20</v>
      </c>
      <c r="D21" s="118">
        <v>18</v>
      </c>
      <c r="E21" s="118">
        <v>20</v>
      </c>
      <c r="F21" s="118">
        <v>17.5</v>
      </c>
      <c r="G21" s="118">
        <v>18</v>
      </c>
      <c r="H21" s="118">
        <v>18</v>
      </c>
      <c r="I21" s="118">
        <v>20</v>
      </c>
      <c r="J21" s="118">
        <v>17</v>
      </c>
      <c r="K21" s="118">
        <v>14</v>
      </c>
      <c r="L21" s="118">
        <v>20</v>
      </c>
      <c r="M21" s="118">
        <v>20</v>
      </c>
      <c r="N21" s="118">
        <v>18</v>
      </c>
      <c r="O21" s="118">
        <v>20</v>
      </c>
      <c r="P21" s="119">
        <v>18</v>
      </c>
      <c r="Q21" s="9">
        <f t="shared" si="0"/>
        <v>18.464285714285715</v>
      </c>
    </row>
    <row r="22" spans="1:17">
      <c r="A22" s="117" t="s">
        <v>307</v>
      </c>
      <c r="B22" s="117" t="s">
        <v>308</v>
      </c>
      <c r="C22" s="118">
        <v>17.329999999999998</v>
      </c>
      <c r="D22" s="118">
        <v>14</v>
      </c>
      <c r="E22" s="118">
        <v>13.33</v>
      </c>
      <c r="F22" s="119"/>
      <c r="G22" s="119"/>
      <c r="H22" s="118">
        <v>15</v>
      </c>
      <c r="I22" s="119"/>
      <c r="J22" s="119"/>
      <c r="K22" s="119"/>
      <c r="L22" s="119"/>
      <c r="M22" s="119"/>
      <c r="N22" s="119"/>
      <c r="O22" s="119"/>
      <c r="P22" s="119"/>
      <c r="Q22" s="9">
        <f t="shared" si="0"/>
        <v>4.2614285714285716</v>
      </c>
    </row>
    <row r="23" spans="1:17">
      <c r="A23" s="117" t="s">
        <v>309</v>
      </c>
      <c r="B23" s="117" t="s">
        <v>310</v>
      </c>
      <c r="C23" s="118">
        <v>14</v>
      </c>
      <c r="D23" s="118">
        <v>15</v>
      </c>
      <c r="E23" s="118">
        <v>7</v>
      </c>
      <c r="F23" s="118">
        <v>7.67</v>
      </c>
      <c r="G23" s="118">
        <v>16</v>
      </c>
      <c r="H23" s="118">
        <v>18</v>
      </c>
      <c r="I23" s="118">
        <v>10</v>
      </c>
      <c r="J23" s="118">
        <v>17.329999999999998</v>
      </c>
      <c r="K23" s="118">
        <v>18</v>
      </c>
      <c r="L23" s="118">
        <v>20</v>
      </c>
      <c r="M23" s="118">
        <v>16</v>
      </c>
      <c r="N23" s="118">
        <v>16</v>
      </c>
      <c r="O23" s="118">
        <v>18</v>
      </c>
      <c r="P23" s="119">
        <v>16</v>
      </c>
      <c r="Q23" s="9">
        <f t="shared" si="0"/>
        <v>14.928571428571429</v>
      </c>
    </row>
    <row r="24" spans="1:17">
      <c r="A24" s="117" t="s">
        <v>311</v>
      </c>
      <c r="B24" s="117" t="s">
        <v>312</v>
      </c>
      <c r="C24" s="118">
        <v>18</v>
      </c>
      <c r="D24" s="118">
        <v>17</v>
      </c>
      <c r="E24" s="118">
        <v>18</v>
      </c>
      <c r="F24" s="118">
        <v>20</v>
      </c>
      <c r="G24" s="118">
        <v>16</v>
      </c>
      <c r="H24" s="118">
        <v>18</v>
      </c>
      <c r="I24" s="118">
        <v>20</v>
      </c>
      <c r="J24" s="118">
        <v>18</v>
      </c>
      <c r="K24" s="118">
        <v>17</v>
      </c>
      <c r="L24" s="118">
        <v>10</v>
      </c>
      <c r="M24" s="118">
        <v>18</v>
      </c>
      <c r="N24" s="118">
        <v>18</v>
      </c>
      <c r="O24" s="118">
        <v>10</v>
      </c>
      <c r="P24" s="118">
        <v>20</v>
      </c>
      <c r="Q24" s="9">
        <f t="shared" si="0"/>
        <v>17</v>
      </c>
    </row>
    <row r="25" spans="1:17">
      <c r="A25" s="117" t="s">
        <v>313</v>
      </c>
      <c r="B25" s="117" t="s">
        <v>314</v>
      </c>
      <c r="C25" s="118">
        <v>20</v>
      </c>
      <c r="D25" s="118">
        <v>18.329999999999998</v>
      </c>
      <c r="E25" s="118">
        <v>19.329999999999998</v>
      </c>
      <c r="F25" s="118">
        <v>18</v>
      </c>
      <c r="G25" s="118">
        <v>16</v>
      </c>
      <c r="H25" s="118">
        <v>17</v>
      </c>
      <c r="I25" s="118">
        <v>20</v>
      </c>
      <c r="J25" s="118">
        <v>18</v>
      </c>
      <c r="K25" s="118">
        <v>17.329999999999998</v>
      </c>
      <c r="L25" s="118">
        <v>20</v>
      </c>
      <c r="M25" s="118">
        <v>17</v>
      </c>
      <c r="N25" s="118">
        <v>16</v>
      </c>
      <c r="O25" s="118">
        <v>20</v>
      </c>
      <c r="P25" s="119">
        <v>16</v>
      </c>
      <c r="Q25" s="9">
        <f t="shared" si="0"/>
        <v>18.070714285714285</v>
      </c>
    </row>
    <row r="26" spans="1:17">
      <c r="A26" s="117" t="s">
        <v>315</v>
      </c>
      <c r="B26" s="117" t="s">
        <v>316</v>
      </c>
      <c r="C26" s="118">
        <v>16</v>
      </c>
      <c r="D26" s="118">
        <v>17</v>
      </c>
      <c r="E26" s="118">
        <v>14</v>
      </c>
      <c r="F26" s="118">
        <v>16</v>
      </c>
      <c r="G26" s="118">
        <v>20</v>
      </c>
      <c r="H26" s="118">
        <v>18</v>
      </c>
      <c r="I26" s="118">
        <v>18</v>
      </c>
      <c r="J26" s="118">
        <v>15</v>
      </c>
      <c r="K26" s="118">
        <v>17</v>
      </c>
      <c r="L26" s="118">
        <v>19.2</v>
      </c>
      <c r="M26" s="118">
        <v>18</v>
      </c>
      <c r="N26" s="118">
        <v>18</v>
      </c>
      <c r="O26" s="119"/>
      <c r="P26" s="119"/>
      <c r="Q26" s="9">
        <f t="shared" si="0"/>
        <v>14.728571428571428</v>
      </c>
    </row>
    <row r="27" spans="1:17">
      <c r="A27" s="117" t="s">
        <v>317</v>
      </c>
      <c r="B27" s="117" t="s">
        <v>318</v>
      </c>
      <c r="C27" s="118">
        <v>16</v>
      </c>
      <c r="D27" s="118">
        <v>16</v>
      </c>
      <c r="E27" s="118">
        <v>6</v>
      </c>
      <c r="F27" s="118">
        <v>18</v>
      </c>
      <c r="G27" s="119"/>
      <c r="H27" s="118">
        <v>17.5</v>
      </c>
      <c r="I27" s="119"/>
      <c r="J27" s="119"/>
      <c r="K27" s="118">
        <v>18</v>
      </c>
      <c r="L27" s="118">
        <v>20</v>
      </c>
      <c r="M27" s="118">
        <v>14</v>
      </c>
      <c r="N27" s="118">
        <v>18</v>
      </c>
      <c r="O27" s="118">
        <v>18</v>
      </c>
      <c r="P27" s="119">
        <v>16</v>
      </c>
      <c r="Q27" s="9">
        <f t="shared" si="0"/>
        <v>12.678571428571429</v>
      </c>
    </row>
    <row r="28" spans="1:17">
      <c r="A28" s="117" t="s">
        <v>319</v>
      </c>
      <c r="B28" s="117" t="s">
        <v>320</v>
      </c>
      <c r="C28" s="118">
        <v>14</v>
      </c>
      <c r="D28" s="118">
        <v>19</v>
      </c>
      <c r="E28" s="118">
        <v>18</v>
      </c>
      <c r="F28" s="118">
        <v>19</v>
      </c>
      <c r="G28" s="118">
        <v>20</v>
      </c>
      <c r="H28" s="118">
        <v>20</v>
      </c>
      <c r="I28" s="118">
        <v>18</v>
      </c>
      <c r="J28" s="118">
        <v>18</v>
      </c>
      <c r="K28" s="118">
        <v>17</v>
      </c>
      <c r="L28" s="118">
        <v>19.600000000000001</v>
      </c>
      <c r="M28" s="118">
        <v>20</v>
      </c>
      <c r="N28" s="118">
        <v>20</v>
      </c>
      <c r="O28" s="118">
        <v>16</v>
      </c>
      <c r="P28" s="119">
        <v>14</v>
      </c>
      <c r="Q28" s="9">
        <f t="shared" si="0"/>
        <v>18.042857142857141</v>
      </c>
    </row>
    <row r="29" spans="1:17">
      <c r="A29" s="117" t="s">
        <v>321</v>
      </c>
      <c r="B29" s="117" t="s">
        <v>322</v>
      </c>
      <c r="C29" s="118">
        <v>18</v>
      </c>
      <c r="D29" s="118">
        <v>17</v>
      </c>
      <c r="E29" s="118">
        <v>20</v>
      </c>
      <c r="F29" s="118">
        <v>18</v>
      </c>
      <c r="G29" s="118">
        <v>20</v>
      </c>
      <c r="H29" s="118">
        <v>16</v>
      </c>
      <c r="I29" s="118">
        <v>20</v>
      </c>
      <c r="J29" s="118">
        <v>20</v>
      </c>
      <c r="K29" s="118">
        <v>20</v>
      </c>
      <c r="L29" s="118">
        <v>20</v>
      </c>
      <c r="M29" s="118">
        <v>18</v>
      </c>
      <c r="N29" s="118">
        <v>20</v>
      </c>
      <c r="O29" s="118">
        <v>20</v>
      </c>
      <c r="P29" s="119">
        <v>18</v>
      </c>
      <c r="Q29" s="9">
        <f t="shared" si="0"/>
        <v>18.928571428571427</v>
      </c>
    </row>
    <row r="30" spans="1:17">
      <c r="A30" s="117" t="s">
        <v>323</v>
      </c>
      <c r="B30" s="117" t="s">
        <v>324</v>
      </c>
      <c r="C30" s="118">
        <v>16</v>
      </c>
      <c r="D30" s="118">
        <v>18</v>
      </c>
      <c r="E30" s="118">
        <v>18</v>
      </c>
      <c r="F30" s="118">
        <v>11.5</v>
      </c>
      <c r="G30" s="118">
        <v>10</v>
      </c>
      <c r="H30" s="119"/>
      <c r="I30" s="118">
        <v>10</v>
      </c>
      <c r="J30" s="119"/>
      <c r="K30" s="119"/>
      <c r="L30" s="119"/>
      <c r="M30" s="119"/>
      <c r="N30" s="119"/>
      <c r="O30" s="119"/>
      <c r="P30" s="119"/>
      <c r="Q30" s="9">
        <f t="shared" si="0"/>
        <v>5.9642857142857144</v>
      </c>
    </row>
    <row r="31" spans="1:17">
      <c r="A31" s="117" t="s">
        <v>325</v>
      </c>
      <c r="B31" s="117" t="s">
        <v>326</v>
      </c>
      <c r="C31" s="118">
        <v>20</v>
      </c>
      <c r="D31" s="118">
        <v>17</v>
      </c>
      <c r="E31" s="118">
        <v>16.670000000000002</v>
      </c>
      <c r="F31" s="118">
        <v>20</v>
      </c>
      <c r="G31" s="118">
        <v>10</v>
      </c>
      <c r="H31" s="118">
        <v>19.5</v>
      </c>
      <c r="I31" s="118">
        <v>14</v>
      </c>
      <c r="J31" s="118">
        <v>14</v>
      </c>
      <c r="K31" s="118">
        <v>20</v>
      </c>
      <c r="L31" s="118">
        <v>13</v>
      </c>
      <c r="M31" s="118">
        <v>14</v>
      </c>
      <c r="N31" s="118">
        <v>16</v>
      </c>
      <c r="O31" s="118">
        <v>18</v>
      </c>
      <c r="P31" s="118">
        <v>16</v>
      </c>
      <c r="Q31" s="9">
        <f t="shared" si="0"/>
        <v>16.297857142857143</v>
      </c>
    </row>
    <row r="32" spans="1:17">
      <c r="P32" s="117"/>
      <c r="Q32" s="1"/>
    </row>
    <row r="33" spans="17:17">
      <c r="Q33" s="1"/>
    </row>
    <row r="34" spans="17:17">
      <c r="Q34" s="1"/>
    </row>
    <row r="35" spans="17:17">
      <c r="Q35" s="1"/>
    </row>
    <row r="36" spans="17:17">
      <c r="Q36" s="1"/>
    </row>
    <row r="37" spans="17:17">
      <c r="Q37" s="1"/>
    </row>
    <row r="38" spans="17:17">
      <c r="Q38" s="1"/>
    </row>
    <row r="39" spans="17:17">
      <c r="Q39" s="1"/>
    </row>
    <row r="40" spans="17:17">
      <c r="Q40" s="1"/>
    </row>
    <row r="41" spans="17:17">
      <c r="Q41" s="1"/>
    </row>
    <row r="42" spans="17:17">
      <c r="Q42" s="1"/>
    </row>
    <row r="43" spans="17:17">
      <c r="Q43" s="1"/>
    </row>
    <row r="44" spans="17:17">
      <c r="Q44" s="1"/>
    </row>
    <row r="45" spans="17:17">
      <c r="Q45" s="1"/>
    </row>
    <row r="46" spans="17:17">
      <c r="Q46" s="1"/>
    </row>
    <row r="47" spans="17:17">
      <c r="Q47" s="1"/>
    </row>
    <row r="48" spans="17:17">
      <c r="Q48" s="1"/>
    </row>
    <row r="49" spans="17:17">
      <c r="Q49" s="1"/>
    </row>
    <row r="50" spans="17:17">
      <c r="Q50" s="1"/>
    </row>
    <row r="51" spans="17:17">
      <c r="Q51" s="1"/>
    </row>
    <row r="52" spans="17:17">
      <c r="Q52" s="1"/>
    </row>
    <row r="53" spans="17:17">
      <c r="Q53" s="1"/>
    </row>
    <row r="54" spans="17:17">
      <c r="Q54" s="1"/>
    </row>
    <row r="55" spans="17:17">
      <c r="Q55" s="1"/>
    </row>
    <row r="56" spans="17:17">
      <c r="Q56" s="1"/>
    </row>
    <row r="57" spans="17:17">
      <c r="Q57" s="1"/>
    </row>
    <row r="58" spans="17:17">
      <c r="Q58" s="1"/>
    </row>
    <row r="59" spans="17:17">
      <c r="Q59" s="1"/>
    </row>
    <row r="60" spans="17:17">
      <c r="Q60" s="1"/>
    </row>
    <row r="61" spans="17:17">
      <c r="Q61" s="1"/>
    </row>
    <row r="62" spans="17:17">
      <c r="Q62" s="1"/>
    </row>
    <row r="63" spans="17:17">
      <c r="Q63" s="1"/>
    </row>
    <row r="64" spans="17:17">
      <c r="Q64" s="1"/>
    </row>
    <row r="65" spans="17:17">
      <c r="Q65" s="1"/>
    </row>
    <row r="66" spans="17:17">
      <c r="Q66" s="1"/>
    </row>
    <row r="67" spans="17:17">
      <c r="Q67" s="1"/>
    </row>
    <row r="68" spans="17:17">
      <c r="Q68" s="1"/>
    </row>
    <row r="69" spans="17:17">
      <c r="Q69" s="1"/>
    </row>
    <row r="70" spans="17:17">
      <c r="Q70" s="1"/>
    </row>
    <row r="71" spans="17:17">
      <c r="Q71" s="1"/>
    </row>
    <row r="72" spans="17:17">
      <c r="Q72" s="1"/>
    </row>
    <row r="73" spans="17:17">
      <c r="Q73" s="1"/>
    </row>
    <row r="74" spans="17:17">
      <c r="Q74" s="1"/>
    </row>
    <row r="75" spans="17:17">
      <c r="Q75" s="1"/>
    </row>
    <row r="76" spans="17:17">
      <c r="Q76" s="1"/>
    </row>
    <row r="77" spans="17:17">
      <c r="Q77" s="1"/>
    </row>
    <row r="78" spans="17:17">
      <c r="Q78" s="1"/>
    </row>
    <row r="79" spans="17:17">
      <c r="Q79" s="1"/>
    </row>
    <row r="80" spans="17:17">
      <c r="Q80" s="1"/>
    </row>
    <row r="81" spans="17:17">
      <c r="Q81" s="1"/>
    </row>
    <row r="82" spans="17:17">
      <c r="Q82" s="1"/>
    </row>
    <row r="83" spans="17:17">
      <c r="Q83" s="1"/>
    </row>
    <row r="84" spans="17:17">
      <c r="Q84" s="1"/>
    </row>
    <row r="85" spans="17:17">
      <c r="Q85" s="1"/>
    </row>
    <row r="86" spans="17:17">
      <c r="Q86" s="1"/>
    </row>
    <row r="87" spans="17:17">
      <c r="Q87" s="1"/>
    </row>
    <row r="88" spans="17:17">
      <c r="Q88" s="1"/>
    </row>
    <row r="89" spans="17:17">
      <c r="Q89" s="1"/>
    </row>
    <row r="90" spans="17:17">
      <c r="Q90" s="1"/>
    </row>
    <row r="91" spans="17:17">
      <c r="Q91" s="1"/>
    </row>
    <row r="92" spans="17:17">
      <c r="Q92" s="1"/>
    </row>
    <row r="93" spans="17:17">
      <c r="Q93" s="1"/>
    </row>
    <row r="94" spans="17:17">
      <c r="Q94" s="1"/>
    </row>
    <row r="95" spans="17:17">
      <c r="Q95" s="1"/>
    </row>
    <row r="96" spans="17:17">
      <c r="Q96" s="1"/>
    </row>
    <row r="97" spans="17:17">
      <c r="Q97" s="1"/>
    </row>
    <row r="98" spans="17:17">
      <c r="Q98" s="1"/>
    </row>
    <row r="99" spans="17:17">
      <c r="Q99" s="1"/>
    </row>
    <row r="100" spans="17:17">
      <c r="Q100" s="1"/>
    </row>
    <row r="101" spans="17:17">
      <c r="Q101" s="1"/>
    </row>
    <row r="102" spans="17:17">
      <c r="Q102" s="1"/>
    </row>
    <row r="103" spans="17:17">
      <c r="Q103" s="1"/>
    </row>
    <row r="104" spans="17:17">
      <c r="Q104" s="1"/>
    </row>
    <row r="105" spans="17:17">
      <c r="Q105" s="1"/>
    </row>
    <row r="106" spans="17:17">
      <c r="Q106" s="1"/>
    </row>
    <row r="107" spans="17:17">
      <c r="Q107" s="1"/>
    </row>
    <row r="108" spans="17:17">
      <c r="Q108" s="1"/>
    </row>
    <row r="109" spans="17:17">
      <c r="Q109" s="1"/>
    </row>
    <row r="110" spans="17:17">
      <c r="Q110" s="1"/>
    </row>
    <row r="111" spans="17:17">
      <c r="Q111" s="1"/>
    </row>
    <row r="112" spans="17:17">
      <c r="Q112" s="1"/>
    </row>
    <row r="113" spans="17:17">
      <c r="Q113" s="1"/>
    </row>
    <row r="114" spans="17:17">
      <c r="Q114" s="1"/>
    </row>
    <row r="115" spans="17:17">
      <c r="Q115" s="1"/>
    </row>
    <row r="116" spans="17:17">
      <c r="Q116" s="1"/>
    </row>
    <row r="117" spans="17:17">
      <c r="Q117" s="1"/>
    </row>
    <row r="118" spans="17:17">
      <c r="Q118" s="1"/>
    </row>
    <row r="119" spans="17:17">
      <c r="Q119" s="1"/>
    </row>
    <row r="120" spans="17:17">
      <c r="Q120" s="1"/>
    </row>
    <row r="121" spans="17:17">
      <c r="Q121" s="1"/>
    </row>
    <row r="122" spans="17:17">
      <c r="Q122" s="1"/>
    </row>
    <row r="123" spans="17:17">
      <c r="Q123" s="1"/>
    </row>
    <row r="124" spans="17:17">
      <c r="Q124" s="1"/>
    </row>
    <row r="125" spans="17:17">
      <c r="Q125" s="1"/>
    </row>
    <row r="126" spans="17:17">
      <c r="Q126" s="1"/>
    </row>
    <row r="127" spans="17:17">
      <c r="Q127" s="1"/>
    </row>
    <row r="128" spans="17:17">
      <c r="Q128" s="1"/>
    </row>
    <row r="129" spans="17:17">
      <c r="Q129" s="1"/>
    </row>
    <row r="130" spans="17:17">
      <c r="Q130" s="1"/>
    </row>
    <row r="131" spans="17:17">
      <c r="Q131" s="1"/>
    </row>
    <row r="132" spans="17:17">
      <c r="Q132" s="1"/>
    </row>
    <row r="133" spans="17:17">
      <c r="Q133" s="1"/>
    </row>
    <row r="134" spans="17:17">
      <c r="Q134" s="1"/>
    </row>
    <row r="135" spans="17:17">
      <c r="Q135" s="1"/>
    </row>
    <row r="136" spans="17:17">
      <c r="Q136" s="1"/>
    </row>
    <row r="137" spans="17:17">
      <c r="Q137" s="1"/>
    </row>
    <row r="138" spans="17:17">
      <c r="Q138" s="1"/>
    </row>
    <row r="139" spans="17:17">
      <c r="Q139" s="1"/>
    </row>
    <row r="140" spans="17:17">
      <c r="Q140" s="1"/>
    </row>
    <row r="141" spans="17:17">
      <c r="Q141" s="1"/>
    </row>
    <row r="142" spans="17:17">
      <c r="Q142" s="1"/>
    </row>
    <row r="143" spans="17:17">
      <c r="Q143" s="1"/>
    </row>
    <row r="144" spans="17:17">
      <c r="Q144" s="1"/>
    </row>
    <row r="145" spans="17:17">
      <c r="Q145" s="1"/>
    </row>
    <row r="146" spans="17:17">
      <c r="Q146" s="1"/>
    </row>
    <row r="147" spans="17:17">
      <c r="Q147" s="1"/>
    </row>
    <row r="148" spans="17:17">
      <c r="Q148" s="1"/>
    </row>
    <row r="149" spans="17:17">
      <c r="Q149" s="1"/>
    </row>
    <row r="150" spans="17:17">
      <c r="Q150" s="1"/>
    </row>
    <row r="151" spans="17:17">
      <c r="Q151" s="1"/>
    </row>
    <row r="152" spans="17:17">
      <c r="Q152" s="1"/>
    </row>
    <row r="153" spans="17:17">
      <c r="Q153" s="1"/>
    </row>
    <row r="154" spans="17:17">
      <c r="Q154" s="1"/>
    </row>
    <row r="155" spans="17:17">
      <c r="Q155" s="1"/>
    </row>
    <row r="156" spans="17:17">
      <c r="Q156" s="1"/>
    </row>
    <row r="157" spans="17:17">
      <c r="Q157" s="1"/>
    </row>
    <row r="158" spans="17:17">
      <c r="Q158" s="1"/>
    </row>
    <row r="159" spans="17:17">
      <c r="Q159" s="1"/>
    </row>
    <row r="160" spans="17:17">
      <c r="Q160" s="1"/>
    </row>
    <row r="161" spans="17:17">
      <c r="Q161" s="1"/>
    </row>
    <row r="162" spans="17:17">
      <c r="Q162" s="1"/>
    </row>
    <row r="163" spans="17:17">
      <c r="Q163" s="1"/>
    </row>
    <row r="164" spans="17:17">
      <c r="Q164" s="1"/>
    </row>
    <row r="165" spans="17:17">
      <c r="Q165" s="1"/>
    </row>
    <row r="166" spans="17:17">
      <c r="Q166" s="1"/>
    </row>
    <row r="167" spans="17:17">
      <c r="Q167" s="1"/>
    </row>
    <row r="168" spans="17:17">
      <c r="Q168" s="1"/>
    </row>
    <row r="169" spans="17:17">
      <c r="Q169" s="1"/>
    </row>
    <row r="170" spans="17:17">
      <c r="Q170" s="1"/>
    </row>
    <row r="171" spans="17:17">
      <c r="Q171" s="1"/>
    </row>
    <row r="172" spans="17:17">
      <c r="Q172" s="1"/>
    </row>
    <row r="173" spans="17:17">
      <c r="Q173" s="1"/>
    </row>
    <row r="174" spans="17:17">
      <c r="Q174" s="1"/>
    </row>
    <row r="175" spans="17:17">
      <c r="Q175" s="1"/>
    </row>
    <row r="176" spans="17:17">
      <c r="Q176" s="1"/>
    </row>
    <row r="177" spans="17:17">
      <c r="Q177" s="1"/>
    </row>
    <row r="178" spans="17:17">
      <c r="Q178" s="1"/>
    </row>
    <row r="179" spans="17:17">
      <c r="Q179" s="1"/>
    </row>
    <row r="180" spans="17:17">
      <c r="Q180" s="1"/>
    </row>
    <row r="181" spans="17:17">
      <c r="Q181" s="1"/>
    </row>
    <row r="182" spans="17:17">
      <c r="Q182" s="1"/>
    </row>
    <row r="183" spans="17:17">
      <c r="Q183" s="1"/>
    </row>
    <row r="184" spans="17:17">
      <c r="Q184" s="1"/>
    </row>
    <row r="185" spans="17:17">
      <c r="Q185" s="1"/>
    </row>
    <row r="186" spans="17:17">
      <c r="Q186" s="1"/>
    </row>
    <row r="187" spans="17:17">
      <c r="Q187" s="1"/>
    </row>
    <row r="188" spans="17:17">
      <c r="Q188" s="1"/>
    </row>
    <row r="189" spans="17:17">
      <c r="Q189" s="1"/>
    </row>
    <row r="190" spans="17:17">
      <c r="Q190" s="1"/>
    </row>
    <row r="191" spans="17:17">
      <c r="Q191" s="1"/>
    </row>
    <row r="192" spans="17:17">
      <c r="Q192" s="1"/>
    </row>
    <row r="193" spans="17:17">
      <c r="Q193" s="1"/>
    </row>
    <row r="194" spans="17:17">
      <c r="Q194" s="1"/>
    </row>
    <row r="195" spans="17:17">
      <c r="Q195" s="1"/>
    </row>
    <row r="196" spans="17:17">
      <c r="Q196" s="1"/>
    </row>
    <row r="197" spans="17:17">
      <c r="Q197" s="1"/>
    </row>
    <row r="198" spans="17:17">
      <c r="Q198" s="1"/>
    </row>
    <row r="199" spans="17:17">
      <c r="Q199" s="1"/>
    </row>
    <row r="200" spans="17:17">
      <c r="Q200" s="1"/>
    </row>
    <row r="201" spans="17:17">
      <c r="Q201" s="1"/>
    </row>
    <row r="202" spans="17:17">
      <c r="Q202" s="1"/>
    </row>
    <row r="203" spans="17:17">
      <c r="Q203" s="1"/>
    </row>
    <row r="204" spans="17:17">
      <c r="Q204" s="1"/>
    </row>
    <row r="205" spans="17:17">
      <c r="Q205" s="1"/>
    </row>
    <row r="206" spans="17:17">
      <c r="Q206" s="1"/>
    </row>
    <row r="207" spans="17:17">
      <c r="Q207" s="1"/>
    </row>
    <row r="208" spans="17:17">
      <c r="Q208" s="1"/>
    </row>
    <row r="209" spans="17:17">
      <c r="Q209" s="1"/>
    </row>
    <row r="210" spans="17:17">
      <c r="Q210" s="1"/>
    </row>
    <row r="211" spans="17:17">
      <c r="Q211" s="1"/>
    </row>
    <row r="212" spans="17:17">
      <c r="Q212" s="1"/>
    </row>
    <row r="213" spans="17:17">
      <c r="Q213" s="1"/>
    </row>
    <row r="214" spans="17:17">
      <c r="Q214" s="1"/>
    </row>
    <row r="215" spans="17:17">
      <c r="Q215" s="1"/>
    </row>
    <row r="216" spans="17:17">
      <c r="Q216" s="1"/>
    </row>
    <row r="217" spans="17:17">
      <c r="Q217" s="1"/>
    </row>
    <row r="218" spans="17:17">
      <c r="Q218" s="1"/>
    </row>
    <row r="219" spans="17:17">
      <c r="Q219" s="1"/>
    </row>
    <row r="220" spans="17:17">
      <c r="Q220" s="1"/>
    </row>
    <row r="221" spans="17:17">
      <c r="Q221" s="1"/>
    </row>
    <row r="222" spans="17:17">
      <c r="Q222" s="1"/>
    </row>
    <row r="223" spans="17:17">
      <c r="Q223" s="1"/>
    </row>
    <row r="224" spans="17:17">
      <c r="Q224" s="1"/>
    </row>
    <row r="225" spans="17:17">
      <c r="Q225" s="1"/>
    </row>
    <row r="226" spans="17:17">
      <c r="Q226" s="1"/>
    </row>
    <row r="227" spans="17:17">
      <c r="Q227" s="1"/>
    </row>
    <row r="228" spans="17:17">
      <c r="Q228" s="1"/>
    </row>
    <row r="229" spans="17:17">
      <c r="Q229" s="1"/>
    </row>
    <row r="230" spans="17:17">
      <c r="Q230" s="1"/>
    </row>
    <row r="231" spans="17:17">
      <c r="Q231" s="1"/>
    </row>
    <row r="232" spans="17:17">
      <c r="Q232" s="1"/>
    </row>
    <row r="233" spans="17:17">
      <c r="Q233" s="1"/>
    </row>
    <row r="234" spans="17:17">
      <c r="Q234" s="1"/>
    </row>
    <row r="235" spans="17:17">
      <c r="Q235" s="1"/>
    </row>
    <row r="236" spans="17:17">
      <c r="Q236" s="1"/>
    </row>
    <row r="237" spans="17:17">
      <c r="Q237" s="1"/>
    </row>
    <row r="238" spans="17:17">
      <c r="Q238" s="1"/>
    </row>
    <row r="239" spans="17:17">
      <c r="Q239" s="1"/>
    </row>
    <row r="240" spans="17:17">
      <c r="Q240" s="1"/>
    </row>
    <row r="241" spans="17:17">
      <c r="Q241" s="1"/>
    </row>
    <row r="242" spans="17:17">
      <c r="Q242" s="1"/>
    </row>
    <row r="243" spans="17:17">
      <c r="Q243" s="1"/>
    </row>
    <row r="244" spans="17:17">
      <c r="Q244" s="1"/>
    </row>
    <row r="245" spans="17:17">
      <c r="Q245" s="1"/>
    </row>
    <row r="246" spans="17:17">
      <c r="Q246" s="1"/>
    </row>
    <row r="247" spans="17:17">
      <c r="Q247" s="1"/>
    </row>
    <row r="248" spans="17:17">
      <c r="Q248" s="1"/>
    </row>
    <row r="249" spans="17:17">
      <c r="Q249" s="1"/>
    </row>
    <row r="250" spans="17:17">
      <c r="Q250" s="1"/>
    </row>
    <row r="251" spans="17:17">
      <c r="Q251" s="1"/>
    </row>
    <row r="252" spans="17:17">
      <c r="Q252" s="1"/>
    </row>
    <row r="253" spans="17:17">
      <c r="Q253" s="1"/>
    </row>
    <row r="254" spans="17:17">
      <c r="Q254" s="1"/>
    </row>
    <row r="255" spans="17:17">
      <c r="Q255" s="1"/>
    </row>
    <row r="256" spans="17:17">
      <c r="Q256" s="1"/>
    </row>
    <row r="257" spans="17:17">
      <c r="Q257" s="1"/>
    </row>
    <row r="258" spans="17:17">
      <c r="Q258" s="1"/>
    </row>
    <row r="259" spans="17:17">
      <c r="Q259" s="1"/>
    </row>
    <row r="260" spans="17:17">
      <c r="Q260" s="1"/>
    </row>
    <row r="261" spans="17:17">
      <c r="Q261" s="1"/>
    </row>
    <row r="262" spans="17:17">
      <c r="Q262" s="1"/>
    </row>
    <row r="263" spans="17:17">
      <c r="Q263" s="1"/>
    </row>
    <row r="264" spans="17:17">
      <c r="Q264" s="1"/>
    </row>
    <row r="265" spans="17:17">
      <c r="Q265" s="1"/>
    </row>
    <row r="266" spans="17:17">
      <c r="Q266" s="1"/>
    </row>
    <row r="267" spans="17:17">
      <c r="Q267" s="1"/>
    </row>
    <row r="268" spans="17:17">
      <c r="Q268" s="1"/>
    </row>
    <row r="269" spans="17:17">
      <c r="Q269" s="1"/>
    </row>
    <row r="270" spans="17:17">
      <c r="Q270" s="1"/>
    </row>
    <row r="271" spans="17:17">
      <c r="Q271" s="1"/>
    </row>
    <row r="272" spans="17:17">
      <c r="Q272" s="1"/>
    </row>
    <row r="273" spans="17:17">
      <c r="Q273" s="1"/>
    </row>
    <row r="274" spans="17:17">
      <c r="Q274" s="1"/>
    </row>
    <row r="275" spans="17:17">
      <c r="Q275" s="1"/>
    </row>
    <row r="276" spans="17:17">
      <c r="Q276" s="1"/>
    </row>
    <row r="277" spans="17:17">
      <c r="Q277" s="1"/>
    </row>
    <row r="278" spans="17:17">
      <c r="Q278" s="1"/>
    </row>
    <row r="279" spans="17:17">
      <c r="Q279" s="1"/>
    </row>
    <row r="280" spans="17:17">
      <c r="Q280" s="1"/>
    </row>
    <row r="281" spans="17:17">
      <c r="Q281" s="1"/>
    </row>
    <row r="282" spans="17:17">
      <c r="Q282" s="1"/>
    </row>
    <row r="283" spans="17:17">
      <c r="Q283" s="1"/>
    </row>
    <row r="284" spans="17:17">
      <c r="Q284" s="1"/>
    </row>
    <row r="285" spans="17:17">
      <c r="Q285" s="1"/>
    </row>
    <row r="286" spans="17:17">
      <c r="Q286" s="1"/>
    </row>
    <row r="287" spans="17:17">
      <c r="Q287" s="1"/>
    </row>
    <row r="288" spans="17:17">
      <c r="Q288" s="1"/>
    </row>
    <row r="289" spans="17:17">
      <c r="Q289" s="1"/>
    </row>
    <row r="290" spans="17:17">
      <c r="Q290" s="1"/>
    </row>
    <row r="291" spans="17:17">
      <c r="Q291" s="1"/>
    </row>
    <row r="292" spans="17:17">
      <c r="Q292" s="1"/>
    </row>
    <row r="293" spans="17:17">
      <c r="Q293" s="1"/>
    </row>
    <row r="294" spans="17:17">
      <c r="Q294" s="1"/>
    </row>
    <row r="295" spans="17:17">
      <c r="Q295" s="1"/>
    </row>
    <row r="296" spans="17:17">
      <c r="Q296" s="1"/>
    </row>
    <row r="297" spans="17:17">
      <c r="Q297" s="1"/>
    </row>
    <row r="298" spans="17:17">
      <c r="Q298" s="1"/>
    </row>
    <row r="299" spans="17:17">
      <c r="Q299" s="1"/>
    </row>
    <row r="300" spans="17:17">
      <c r="Q300" s="1"/>
    </row>
    <row r="301" spans="17:17">
      <c r="Q301" s="1"/>
    </row>
    <row r="302" spans="17:17">
      <c r="Q302" s="1"/>
    </row>
    <row r="303" spans="17:17">
      <c r="Q303" s="1"/>
    </row>
    <row r="304" spans="17:17">
      <c r="Q304" s="1"/>
    </row>
    <row r="305" spans="17:17">
      <c r="Q305" s="1"/>
    </row>
    <row r="306" spans="17:17">
      <c r="Q306" s="1"/>
    </row>
    <row r="307" spans="17:17">
      <c r="Q307" s="1"/>
    </row>
    <row r="308" spans="17:17">
      <c r="Q308" s="1"/>
    </row>
    <row r="309" spans="17:17">
      <c r="Q309" s="1"/>
    </row>
    <row r="310" spans="17:17">
      <c r="Q310" s="1"/>
    </row>
    <row r="311" spans="17:17">
      <c r="Q311" s="1"/>
    </row>
    <row r="312" spans="17:17">
      <c r="Q312" s="1"/>
    </row>
    <row r="313" spans="17:17">
      <c r="Q313" s="1"/>
    </row>
    <row r="314" spans="17:17">
      <c r="Q314" s="1"/>
    </row>
    <row r="315" spans="17:17">
      <c r="Q315" s="1"/>
    </row>
    <row r="316" spans="17:17">
      <c r="Q316" s="1"/>
    </row>
    <row r="317" spans="17:17">
      <c r="Q317" s="1"/>
    </row>
    <row r="318" spans="17:17">
      <c r="Q318" s="1"/>
    </row>
    <row r="319" spans="17:17">
      <c r="Q319" s="1"/>
    </row>
    <row r="320" spans="17:17">
      <c r="Q320" s="1"/>
    </row>
    <row r="321" spans="17:17">
      <c r="Q321" s="1"/>
    </row>
    <row r="322" spans="17:17">
      <c r="Q322" s="1"/>
    </row>
    <row r="323" spans="17:17">
      <c r="Q323" s="1"/>
    </row>
    <row r="324" spans="17:17">
      <c r="Q324" s="1"/>
    </row>
    <row r="325" spans="17:17">
      <c r="Q325" s="1"/>
    </row>
    <row r="326" spans="17:17">
      <c r="Q326" s="1"/>
    </row>
    <row r="327" spans="17:17">
      <c r="Q327" s="1"/>
    </row>
    <row r="328" spans="17:17">
      <c r="Q328" s="1"/>
    </row>
    <row r="329" spans="17:17">
      <c r="Q329" s="1"/>
    </row>
    <row r="330" spans="17:17">
      <c r="Q330" s="1"/>
    </row>
    <row r="331" spans="17:17">
      <c r="Q331" s="1"/>
    </row>
    <row r="332" spans="17:17">
      <c r="Q332" s="1"/>
    </row>
    <row r="333" spans="17:17">
      <c r="Q333" s="1"/>
    </row>
    <row r="334" spans="17:17">
      <c r="Q334" s="1"/>
    </row>
    <row r="335" spans="17:17">
      <c r="Q335" s="1"/>
    </row>
    <row r="336" spans="17:17">
      <c r="Q336" s="1"/>
    </row>
    <row r="337" spans="17:17">
      <c r="Q337" s="1"/>
    </row>
    <row r="338" spans="17:17">
      <c r="Q338" s="1"/>
    </row>
    <row r="339" spans="17:17">
      <c r="Q339" s="1"/>
    </row>
    <row r="340" spans="17:17">
      <c r="Q340" s="1"/>
    </row>
    <row r="341" spans="17:17">
      <c r="Q341" s="1"/>
    </row>
    <row r="342" spans="17:17">
      <c r="Q342" s="1"/>
    </row>
    <row r="343" spans="17:17">
      <c r="Q343" s="1"/>
    </row>
    <row r="344" spans="17:17">
      <c r="Q344" s="1"/>
    </row>
    <row r="345" spans="17:17">
      <c r="Q345" s="1"/>
    </row>
    <row r="346" spans="17:17">
      <c r="Q346" s="1"/>
    </row>
    <row r="347" spans="17:17">
      <c r="Q347" s="1"/>
    </row>
    <row r="348" spans="17:17">
      <c r="Q348" s="1"/>
    </row>
    <row r="349" spans="17:17">
      <c r="Q349" s="1"/>
    </row>
    <row r="350" spans="17:17">
      <c r="Q350" s="1"/>
    </row>
    <row r="351" spans="17:17">
      <c r="Q351" s="1"/>
    </row>
    <row r="352" spans="17:17">
      <c r="Q352" s="1"/>
    </row>
    <row r="353" spans="17:17">
      <c r="Q353" s="1"/>
    </row>
    <row r="354" spans="17:17">
      <c r="Q354" s="1"/>
    </row>
    <row r="355" spans="17:17">
      <c r="Q355" s="1"/>
    </row>
    <row r="356" spans="17:17">
      <c r="Q356" s="1"/>
    </row>
    <row r="357" spans="17:17">
      <c r="Q357" s="1"/>
    </row>
    <row r="358" spans="17:17">
      <c r="Q358" s="1"/>
    </row>
    <row r="359" spans="17:17">
      <c r="Q359" s="1"/>
    </row>
    <row r="360" spans="17:17">
      <c r="Q360" s="1"/>
    </row>
    <row r="361" spans="17:17">
      <c r="Q361" s="1"/>
    </row>
    <row r="362" spans="17:17">
      <c r="Q362" s="1"/>
    </row>
    <row r="363" spans="17:17">
      <c r="Q363" s="1"/>
    </row>
    <row r="364" spans="17:17">
      <c r="Q364" s="1"/>
    </row>
    <row r="365" spans="17:17">
      <c r="Q365" s="1"/>
    </row>
    <row r="366" spans="17:17">
      <c r="Q366" s="1"/>
    </row>
    <row r="367" spans="17:17">
      <c r="Q367" s="1"/>
    </row>
    <row r="368" spans="17:17">
      <c r="Q368" s="1"/>
    </row>
    <row r="369" spans="17:17">
      <c r="Q369" s="1"/>
    </row>
    <row r="370" spans="17:17">
      <c r="Q370" s="1"/>
    </row>
    <row r="371" spans="17:17">
      <c r="Q371" s="1"/>
    </row>
    <row r="372" spans="17:17">
      <c r="Q372" s="1"/>
    </row>
    <row r="373" spans="17:17">
      <c r="Q373" s="1"/>
    </row>
    <row r="374" spans="17:17">
      <c r="Q374" s="1"/>
    </row>
    <row r="375" spans="17:17">
      <c r="Q375" s="1"/>
    </row>
    <row r="376" spans="17:17">
      <c r="Q376" s="1"/>
    </row>
    <row r="377" spans="17:17">
      <c r="Q377" s="1"/>
    </row>
    <row r="378" spans="17:17">
      <c r="Q378" s="1"/>
    </row>
    <row r="379" spans="17:17">
      <c r="Q379" s="1"/>
    </row>
    <row r="380" spans="17:17">
      <c r="Q380" s="1"/>
    </row>
    <row r="381" spans="17:17">
      <c r="Q381" s="1"/>
    </row>
    <row r="382" spans="17:17">
      <c r="Q382" s="1"/>
    </row>
    <row r="383" spans="17:17">
      <c r="Q383" s="1"/>
    </row>
    <row r="384" spans="17:17">
      <c r="Q384" s="1"/>
    </row>
    <row r="385" spans="17:17">
      <c r="Q385" s="1"/>
    </row>
    <row r="386" spans="17:17">
      <c r="Q386" s="1"/>
    </row>
    <row r="387" spans="17:17">
      <c r="Q387" s="1"/>
    </row>
    <row r="388" spans="17:17">
      <c r="Q388" s="1"/>
    </row>
    <row r="389" spans="17:17">
      <c r="Q389" s="1"/>
    </row>
    <row r="390" spans="17:17">
      <c r="Q390" s="1"/>
    </row>
    <row r="391" spans="17:17">
      <c r="Q391" s="1"/>
    </row>
    <row r="392" spans="17:17">
      <c r="Q392" s="1"/>
    </row>
    <row r="393" spans="17:17">
      <c r="Q393" s="1"/>
    </row>
    <row r="394" spans="17:17">
      <c r="Q394" s="1"/>
    </row>
    <row r="395" spans="17:17">
      <c r="Q395" s="1"/>
    </row>
    <row r="396" spans="17:17">
      <c r="Q396" s="1"/>
    </row>
    <row r="397" spans="17:17">
      <c r="Q397" s="1"/>
    </row>
    <row r="398" spans="17:17">
      <c r="Q398" s="1"/>
    </row>
    <row r="399" spans="17:17">
      <c r="Q399" s="1"/>
    </row>
    <row r="400" spans="17:17">
      <c r="Q400" s="1"/>
    </row>
    <row r="401" spans="17:17">
      <c r="Q401" s="1"/>
    </row>
    <row r="402" spans="17:17">
      <c r="Q402" s="1"/>
    </row>
    <row r="403" spans="17:17">
      <c r="Q403" s="1"/>
    </row>
    <row r="404" spans="17:17">
      <c r="Q404" s="1"/>
    </row>
    <row r="405" spans="17:17">
      <c r="Q405" s="1"/>
    </row>
    <row r="406" spans="17:17">
      <c r="Q406" s="1"/>
    </row>
    <row r="407" spans="17:17">
      <c r="Q407" s="1"/>
    </row>
    <row r="408" spans="17:17">
      <c r="Q408" s="1"/>
    </row>
    <row r="409" spans="17:17">
      <c r="Q409" s="1"/>
    </row>
    <row r="410" spans="17:17">
      <c r="Q410" s="1"/>
    </row>
    <row r="411" spans="17:17">
      <c r="Q411" s="1"/>
    </row>
    <row r="412" spans="17:17">
      <c r="Q412" s="1"/>
    </row>
    <row r="413" spans="17:17">
      <c r="Q413" s="1"/>
    </row>
    <row r="414" spans="17:17">
      <c r="Q414" s="1"/>
    </row>
    <row r="415" spans="17:17">
      <c r="Q415" s="1"/>
    </row>
    <row r="416" spans="17:17">
      <c r="Q416" s="1"/>
    </row>
    <row r="417" spans="17:17">
      <c r="Q417" s="1"/>
    </row>
    <row r="418" spans="17:17">
      <c r="Q418" s="1"/>
    </row>
    <row r="419" spans="17:17">
      <c r="Q419" s="1"/>
    </row>
    <row r="420" spans="17:17">
      <c r="Q420" s="1"/>
    </row>
    <row r="421" spans="17:17">
      <c r="Q421" s="1"/>
    </row>
    <row r="422" spans="17:17">
      <c r="Q422" s="1"/>
    </row>
    <row r="423" spans="17:17">
      <c r="Q423" s="1"/>
    </row>
    <row r="424" spans="17:17">
      <c r="Q424" s="1"/>
    </row>
    <row r="425" spans="17:17">
      <c r="Q425" s="1"/>
    </row>
    <row r="426" spans="17:17">
      <c r="Q426" s="1"/>
    </row>
    <row r="427" spans="17:17">
      <c r="Q427" s="1"/>
    </row>
    <row r="428" spans="17:17">
      <c r="Q428" s="1"/>
    </row>
    <row r="429" spans="17:17">
      <c r="Q429" s="1"/>
    </row>
    <row r="430" spans="17:17">
      <c r="Q430" s="1"/>
    </row>
    <row r="431" spans="17:17">
      <c r="Q431" s="1"/>
    </row>
    <row r="432" spans="17:17">
      <c r="Q432" s="1"/>
    </row>
    <row r="433" spans="17:17">
      <c r="Q433" s="1"/>
    </row>
    <row r="434" spans="17:17">
      <c r="Q434" s="1"/>
    </row>
    <row r="435" spans="17:17">
      <c r="Q435" s="1"/>
    </row>
    <row r="436" spans="17:17">
      <c r="Q436" s="1"/>
    </row>
    <row r="437" spans="17:17">
      <c r="Q437" s="1"/>
    </row>
    <row r="438" spans="17:17">
      <c r="Q438" s="1"/>
    </row>
    <row r="439" spans="17:17">
      <c r="Q439" s="1"/>
    </row>
    <row r="440" spans="17:17">
      <c r="Q440" s="1"/>
    </row>
    <row r="441" spans="17:17">
      <c r="Q441" s="1"/>
    </row>
    <row r="442" spans="17:17">
      <c r="Q442" s="1"/>
    </row>
    <row r="443" spans="17:17">
      <c r="Q443" s="1"/>
    </row>
    <row r="444" spans="17:17">
      <c r="Q444" s="1"/>
    </row>
    <row r="445" spans="17:17">
      <c r="Q445" s="1"/>
    </row>
    <row r="446" spans="17:17">
      <c r="Q446" s="1"/>
    </row>
    <row r="447" spans="17:17">
      <c r="Q447" s="1"/>
    </row>
    <row r="448" spans="17:17">
      <c r="Q448" s="1"/>
    </row>
    <row r="449" spans="17:17">
      <c r="Q449" s="1"/>
    </row>
    <row r="450" spans="17:17">
      <c r="Q450" s="1"/>
    </row>
    <row r="451" spans="17:17">
      <c r="Q451" s="1"/>
    </row>
    <row r="452" spans="17:17">
      <c r="Q452" s="1"/>
    </row>
    <row r="453" spans="17:17">
      <c r="Q453" s="1"/>
    </row>
    <row r="454" spans="17:17">
      <c r="Q454" s="1"/>
    </row>
    <row r="455" spans="17:17">
      <c r="Q455" s="1"/>
    </row>
    <row r="456" spans="17:17">
      <c r="Q456" s="1"/>
    </row>
    <row r="457" spans="17:17">
      <c r="Q457" s="1"/>
    </row>
    <row r="458" spans="17:17">
      <c r="Q458" s="1"/>
    </row>
    <row r="459" spans="17:17">
      <c r="Q459" s="1"/>
    </row>
    <row r="460" spans="17:17">
      <c r="Q460" s="1"/>
    </row>
    <row r="461" spans="17:17">
      <c r="Q461" s="1"/>
    </row>
    <row r="462" spans="17:17">
      <c r="Q462" s="1"/>
    </row>
    <row r="463" spans="17:17">
      <c r="Q463" s="1"/>
    </row>
    <row r="464" spans="17:17">
      <c r="Q464" s="1"/>
    </row>
    <row r="465" spans="17:17">
      <c r="Q465" s="1"/>
    </row>
    <row r="466" spans="17:17">
      <c r="Q466" s="1"/>
    </row>
    <row r="467" spans="17:17">
      <c r="Q467" s="1"/>
    </row>
    <row r="468" spans="17:17">
      <c r="Q468" s="1"/>
    </row>
    <row r="469" spans="17:17">
      <c r="Q469" s="1"/>
    </row>
    <row r="470" spans="17:17">
      <c r="Q470" s="1"/>
    </row>
    <row r="471" spans="17:17">
      <c r="Q471" s="1"/>
    </row>
    <row r="472" spans="17:17">
      <c r="Q472" s="1"/>
    </row>
    <row r="473" spans="17:17">
      <c r="Q473" s="1"/>
    </row>
    <row r="474" spans="17:17">
      <c r="Q474" s="1"/>
    </row>
    <row r="475" spans="17:17">
      <c r="Q475" s="1"/>
    </row>
    <row r="476" spans="17:17">
      <c r="Q476" s="1"/>
    </row>
    <row r="477" spans="17:17">
      <c r="Q477" s="1"/>
    </row>
    <row r="478" spans="17:17">
      <c r="Q478" s="1"/>
    </row>
    <row r="479" spans="17:17">
      <c r="Q479" s="1"/>
    </row>
    <row r="480" spans="17:17">
      <c r="Q480" s="1"/>
    </row>
    <row r="481" spans="17:17">
      <c r="Q481" s="1"/>
    </row>
    <row r="482" spans="17:17">
      <c r="Q482" s="1"/>
    </row>
    <row r="483" spans="17:17">
      <c r="Q483" s="1"/>
    </row>
    <row r="484" spans="17:17">
      <c r="Q484" s="1"/>
    </row>
    <row r="485" spans="17:17">
      <c r="Q485" s="1"/>
    </row>
    <row r="486" spans="17:17">
      <c r="Q486" s="1"/>
    </row>
    <row r="487" spans="17:17">
      <c r="Q487" s="1"/>
    </row>
    <row r="488" spans="17:17">
      <c r="Q488" s="1"/>
    </row>
    <row r="489" spans="17:17">
      <c r="Q489" s="1"/>
    </row>
    <row r="490" spans="17:17">
      <c r="Q490" s="1"/>
    </row>
    <row r="491" spans="17:17">
      <c r="Q491" s="1"/>
    </row>
    <row r="492" spans="17:17">
      <c r="Q492" s="1"/>
    </row>
    <row r="493" spans="17:17">
      <c r="Q493" s="1"/>
    </row>
    <row r="494" spans="17:17">
      <c r="Q494" s="1"/>
    </row>
    <row r="495" spans="17:17">
      <c r="Q495" s="1"/>
    </row>
    <row r="496" spans="17:17">
      <c r="Q496" s="1"/>
    </row>
    <row r="497" spans="17:17">
      <c r="Q497" s="1"/>
    </row>
    <row r="498" spans="17:17">
      <c r="Q498" s="1"/>
    </row>
    <row r="499" spans="17:17">
      <c r="Q499" s="1"/>
    </row>
    <row r="500" spans="17:17">
      <c r="Q500" s="1"/>
    </row>
    <row r="501" spans="17:17">
      <c r="Q501" s="1"/>
    </row>
    <row r="502" spans="17:17">
      <c r="Q502" s="1"/>
    </row>
    <row r="503" spans="17:17">
      <c r="Q503" s="1"/>
    </row>
    <row r="504" spans="17:17">
      <c r="Q504" s="1"/>
    </row>
    <row r="505" spans="17:17">
      <c r="Q505" s="1"/>
    </row>
    <row r="506" spans="17:17">
      <c r="Q506" s="1"/>
    </row>
    <row r="507" spans="17:17">
      <c r="Q507" s="1"/>
    </row>
    <row r="508" spans="17:17">
      <c r="Q508" s="1"/>
    </row>
    <row r="509" spans="17:17">
      <c r="Q509" s="1"/>
    </row>
    <row r="510" spans="17:17">
      <c r="Q510" s="1"/>
    </row>
    <row r="511" spans="17:17">
      <c r="Q511" s="1"/>
    </row>
    <row r="512" spans="17:17">
      <c r="Q512" s="1"/>
    </row>
    <row r="513" spans="17:17">
      <c r="Q513" s="1"/>
    </row>
    <row r="514" spans="17:17">
      <c r="Q514" s="1"/>
    </row>
    <row r="515" spans="17:17">
      <c r="Q515" s="1"/>
    </row>
    <row r="516" spans="17:17">
      <c r="Q516" s="1"/>
    </row>
    <row r="517" spans="17:17">
      <c r="Q517" s="1"/>
    </row>
    <row r="518" spans="17:17">
      <c r="Q518" s="1"/>
    </row>
    <row r="519" spans="17:17">
      <c r="Q519" s="1"/>
    </row>
    <row r="520" spans="17:17">
      <c r="Q520" s="1"/>
    </row>
    <row r="521" spans="17:17">
      <c r="Q521" s="1"/>
    </row>
    <row r="522" spans="17:17">
      <c r="Q522" s="1"/>
    </row>
    <row r="523" spans="17:17">
      <c r="Q523" s="1"/>
    </row>
    <row r="524" spans="17:17">
      <c r="Q524" s="1"/>
    </row>
    <row r="525" spans="17:17">
      <c r="Q525" s="1"/>
    </row>
    <row r="526" spans="17:17">
      <c r="Q526" s="1"/>
    </row>
    <row r="527" spans="17:17">
      <c r="Q527" s="1"/>
    </row>
    <row r="528" spans="17:17">
      <c r="Q528" s="1"/>
    </row>
    <row r="529" spans="17:17">
      <c r="Q529" s="1"/>
    </row>
    <row r="530" spans="17:17">
      <c r="Q530" s="1"/>
    </row>
    <row r="531" spans="17:17">
      <c r="Q531" s="1"/>
    </row>
    <row r="532" spans="17:17">
      <c r="Q532" s="1"/>
    </row>
    <row r="533" spans="17:17">
      <c r="Q533" s="1"/>
    </row>
    <row r="534" spans="17:17">
      <c r="Q534" s="1"/>
    </row>
    <row r="535" spans="17:17">
      <c r="Q535" s="1"/>
    </row>
    <row r="536" spans="17:17">
      <c r="Q536" s="1"/>
    </row>
    <row r="537" spans="17:17">
      <c r="Q537" s="1"/>
    </row>
    <row r="538" spans="17:17">
      <c r="Q538" s="1"/>
    </row>
    <row r="539" spans="17:17">
      <c r="Q539" s="1"/>
    </row>
    <row r="540" spans="17:17">
      <c r="Q540" s="1"/>
    </row>
    <row r="541" spans="17:17">
      <c r="Q541" s="1"/>
    </row>
    <row r="542" spans="17:17">
      <c r="Q542" s="1"/>
    </row>
    <row r="543" spans="17:17">
      <c r="Q543" s="1"/>
    </row>
    <row r="544" spans="17:17">
      <c r="Q544" s="1"/>
    </row>
    <row r="545" spans="17:17">
      <c r="Q545" s="1"/>
    </row>
    <row r="546" spans="17:17">
      <c r="Q546" s="1"/>
    </row>
    <row r="547" spans="17:17">
      <c r="Q547" s="1"/>
    </row>
    <row r="548" spans="17:17">
      <c r="Q548" s="1"/>
    </row>
    <row r="549" spans="17:17">
      <c r="Q549" s="1"/>
    </row>
    <row r="550" spans="17:17">
      <c r="Q550" s="1"/>
    </row>
    <row r="551" spans="17:17">
      <c r="Q551" s="1"/>
    </row>
    <row r="552" spans="17:17">
      <c r="Q552" s="1"/>
    </row>
    <row r="553" spans="17:17">
      <c r="Q553" s="1"/>
    </row>
    <row r="554" spans="17:17">
      <c r="Q554" s="1"/>
    </row>
    <row r="555" spans="17:17">
      <c r="Q555" s="1"/>
    </row>
    <row r="556" spans="17:17">
      <c r="Q556" s="1"/>
    </row>
    <row r="557" spans="17:17">
      <c r="Q557" s="1"/>
    </row>
    <row r="558" spans="17:17">
      <c r="Q558" s="1"/>
    </row>
    <row r="559" spans="17:17">
      <c r="Q559" s="1"/>
    </row>
    <row r="560" spans="17:17">
      <c r="Q560" s="1"/>
    </row>
    <row r="561" spans="17:17">
      <c r="Q561" s="1"/>
    </row>
    <row r="562" spans="17:17">
      <c r="Q562" s="1"/>
    </row>
    <row r="563" spans="17:17">
      <c r="Q563" s="1"/>
    </row>
    <row r="564" spans="17:17">
      <c r="Q564" s="1"/>
    </row>
    <row r="565" spans="17:17">
      <c r="Q565" s="1"/>
    </row>
    <row r="566" spans="17:17">
      <c r="Q566" s="1"/>
    </row>
    <row r="567" spans="17:17">
      <c r="Q567" s="1"/>
    </row>
    <row r="568" spans="17:17">
      <c r="Q568" s="1"/>
    </row>
    <row r="569" spans="17:17">
      <c r="Q569" s="1"/>
    </row>
    <row r="570" spans="17:17">
      <c r="Q570" s="1"/>
    </row>
    <row r="571" spans="17:17">
      <c r="Q571" s="1"/>
    </row>
    <row r="572" spans="17:17">
      <c r="Q572" s="1"/>
    </row>
    <row r="573" spans="17:17">
      <c r="Q573" s="1"/>
    </row>
    <row r="574" spans="17:17">
      <c r="Q574" s="1"/>
    </row>
    <row r="575" spans="17:17">
      <c r="Q575" s="1"/>
    </row>
    <row r="576" spans="17:17">
      <c r="Q576" s="1"/>
    </row>
    <row r="577" spans="17:17">
      <c r="Q577" s="1"/>
    </row>
    <row r="578" spans="17:17">
      <c r="Q578" s="1"/>
    </row>
    <row r="579" spans="17:17">
      <c r="Q579" s="1"/>
    </row>
    <row r="580" spans="17:17">
      <c r="Q580" s="1"/>
    </row>
    <row r="581" spans="17:17">
      <c r="Q581" s="1"/>
    </row>
    <row r="582" spans="17:17">
      <c r="Q582" s="1"/>
    </row>
    <row r="583" spans="17:17">
      <c r="Q583" s="1"/>
    </row>
    <row r="584" spans="17:17">
      <c r="Q584" s="1"/>
    </row>
    <row r="585" spans="17:17">
      <c r="Q585" s="1"/>
    </row>
    <row r="586" spans="17:17">
      <c r="Q586" s="1"/>
    </row>
    <row r="587" spans="17:17">
      <c r="Q587" s="1"/>
    </row>
    <row r="588" spans="17:17">
      <c r="Q588" s="1"/>
    </row>
    <row r="589" spans="17:17">
      <c r="Q589" s="1"/>
    </row>
    <row r="590" spans="17:17">
      <c r="Q590" s="1"/>
    </row>
    <row r="591" spans="17:17">
      <c r="Q591" s="1"/>
    </row>
    <row r="592" spans="17:17">
      <c r="Q592" s="1"/>
    </row>
    <row r="593" spans="17:17">
      <c r="Q593" s="1"/>
    </row>
    <row r="594" spans="17:17">
      <c r="Q594" s="1"/>
    </row>
    <row r="595" spans="17:17">
      <c r="Q595" s="1"/>
    </row>
    <row r="596" spans="17:17">
      <c r="Q596" s="1"/>
    </row>
    <row r="597" spans="17:17">
      <c r="Q597" s="1"/>
    </row>
    <row r="598" spans="17:17">
      <c r="Q598" s="1"/>
    </row>
    <row r="599" spans="17:17">
      <c r="Q599" s="1"/>
    </row>
    <row r="600" spans="17:17">
      <c r="Q600" s="1"/>
    </row>
    <row r="601" spans="17:17">
      <c r="Q601" s="1"/>
    </row>
    <row r="602" spans="17:17">
      <c r="Q602" s="1"/>
    </row>
    <row r="603" spans="17:17">
      <c r="Q603" s="1"/>
    </row>
    <row r="604" spans="17:17">
      <c r="Q604" s="1"/>
    </row>
    <row r="605" spans="17:17">
      <c r="Q605" s="1"/>
    </row>
    <row r="606" spans="17:17">
      <c r="Q606" s="1"/>
    </row>
    <row r="607" spans="17:17">
      <c r="Q607" s="1"/>
    </row>
    <row r="608" spans="17:17">
      <c r="Q608" s="1"/>
    </row>
    <row r="609" spans="17:17">
      <c r="Q609" s="1"/>
    </row>
    <row r="610" spans="17:17">
      <c r="Q610" s="1"/>
    </row>
    <row r="611" spans="17:17">
      <c r="Q611" s="1"/>
    </row>
    <row r="612" spans="17:17">
      <c r="Q612" s="1"/>
    </row>
    <row r="613" spans="17:17">
      <c r="Q613" s="1"/>
    </row>
    <row r="614" spans="17:17">
      <c r="Q614" s="1"/>
    </row>
    <row r="615" spans="17:17">
      <c r="Q615" s="1"/>
    </row>
    <row r="616" spans="17:17">
      <c r="Q616" s="1"/>
    </row>
    <row r="617" spans="17:17">
      <c r="Q617" s="1"/>
    </row>
    <row r="618" spans="17:17">
      <c r="Q618" s="1"/>
    </row>
    <row r="619" spans="17:17">
      <c r="Q619" s="1"/>
    </row>
    <row r="620" spans="17:17">
      <c r="Q620" s="1"/>
    </row>
    <row r="621" spans="17:17">
      <c r="Q621" s="1"/>
    </row>
    <row r="622" spans="17:17">
      <c r="Q622" s="1"/>
    </row>
    <row r="623" spans="17:17">
      <c r="Q623" s="1"/>
    </row>
    <row r="624" spans="17:17">
      <c r="Q624" s="1"/>
    </row>
    <row r="625" spans="17:17">
      <c r="Q625" s="1"/>
    </row>
    <row r="626" spans="17:17">
      <c r="Q626" s="1"/>
    </row>
    <row r="627" spans="17:17">
      <c r="Q627" s="1"/>
    </row>
    <row r="628" spans="17:17">
      <c r="Q628" s="1"/>
    </row>
    <row r="629" spans="17:17">
      <c r="Q629" s="1"/>
    </row>
    <row r="630" spans="17:17">
      <c r="Q630" s="1"/>
    </row>
    <row r="631" spans="17:17">
      <c r="Q631" s="1"/>
    </row>
    <row r="632" spans="17:17">
      <c r="Q632" s="1"/>
    </row>
    <row r="633" spans="17:17">
      <c r="Q633" s="1"/>
    </row>
    <row r="634" spans="17:17">
      <c r="Q634" s="1"/>
    </row>
    <row r="635" spans="17:17">
      <c r="Q635" s="1"/>
    </row>
    <row r="636" spans="17:17">
      <c r="Q636" s="1"/>
    </row>
    <row r="637" spans="17:17">
      <c r="Q637" s="1"/>
    </row>
    <row r="638" spans="17:17">
      <c r="Q638" s="1"/>
    </row>
    <row r="639" spans="17:17">
      <c r="Q639" s="1"/>
    </row>
    <row r="640" spans="17:17">
      <c r="Q640" s="1"/>
    </row>
    <row r="641" spans="17:17">
      <c r="Q641" s="1"/>
    </row>
    <row r="642" spans="17:17">
      <c r="Q642" s="1"/>
    </row>
    <row r="643" spans="17:17">
      <c r="Q643" s="1"/>
    </row>
    <row r="644" spans="17:17">
      <c r="Q644" s="1"/>
    </row>
    <row r="645" spans="17:17">
      <c r="Q645" s="1"/>
    </row>
    <row r="646" spans="17:17">
      <c r="Q646" s="1"/>
    </row>
    <row r="647" spans="17:17">
      <c r="Q647" s="1"/>
    </row>
    <row r="648" spans="17:17">
      <c r="Q648" s="1"/>
    </row>
    <row r="649" spans="17:17">
      <c r="Q649" s="1"/>
    </row>
    <row r="650" spans="17:17">
      <c r="Q650" s="1"/>
    </row>
    <row r="651" spans="17:17">
      <c r="Q651" s="1"/>
    </row>
    <row r="652" spans="17:17">
      <c r="Q652" s="1"/>
    </row>
    <row r="653" spans="17:17">
      <c r="Q653" s="1"/>
    </row>
    <row r="654" spans="17:17">
      <c r="Q654" s="1"/>
    </row>
    <row r="655" spans="17:17">
      <c r="Q655" s="1"/>
    </row>
    <row r="656" spans="17:17">
      <c r="Q656" s="1"/>
    </row>
    <row r="657" spans="17:17">
      <c r="Q657" s="1"/>
    </row>
    <row r="658" spans="17:17">
      <c r="Q658" s="1"/>
    </row>
    <row r="659" spans="17:17">
      <c r="Q659" s="1"/>
    </row>
    <row r="660" spans="17:17">
      <c r="Q660" s="1"/>
    </row>
    <row r="661" spans="17:17">
      <c r="Q661" s="1"/>
    </row>
    <row r="662" spans="17:17">
      <c r="Q662" s="1"/>
    </row>
    <row r="663" spans="17:17">
      <c r="Q663" s="1"/>
    </row>
    <row r="664" spans="17:17">
      <c r="Q664" s="1"/>
    </row>
    <row r="665" spans="17:17">
      <c r="Q665" s="1"/>
    </row>
    <row r="666" spans="17:17">
      <c r="Q666" s="1"/>
    </row>
    <row r="667" spans="17:17">
      <c r="Q667" s="1"/>
    </row>
    <row r="668" spans="17:17">
      <c r="Q668" s="1"/>
    </row>
    <row r="669" spans="17:17">
      <c r="Q669" s="1"/>
    </row>
    <row r="670" spans="17:17">
      <c r="Q670" s="1"/>
    </row>
    <row r="671" spans="17:17">
      <c r="Q671" s="1"/>
    </row>
    <row r="672" spans="17:17">
      <c r="Q672" s="1"/>
    </row>
    <row r="673" spans="17:17">
      <c r="Q673" s="1"/>
    </row>
    <row r="674" spans="17:17">
      <c r="Q674" s="1"/>
    </row>
    <row r="675" spans="17:17">
      <c r="Q675" s="1"/>
    </row>
    <row r="676" spans="17:17">
      <c r="Q676" s="1"/>
    </row>
    <row r="677" spans="17:17">
      <c r="Q677" s="1"/>
    </row>
    <row r="678" spans="17:17">
      <c r="Q678" s="1"/>
    </row>
    <row r="679" spans="17:17">
      <c r="Q679" s="1"/>
    </row>
    <row r="680" spans="17:17">
      <c r="Q680" s="1"/>
    </row>
    <row r="681" spans="17:17">
      <c r="Q681" s="1"/>
    </row>
    <row r="682" spans="17:17">
      <c r="Q682" s="1"/>
    </row>
    <row r="683" spans="17:17">
      <c r="Q683" s="1"/>
    </row>
    <row r="684" spans="17:17">
      <c r="Q684" s="1"/>
    </row>
    <row r="685" spans="17:17">
      <c r="Q685" s="1"/>
    </row>
    <row r="686" spans="17:17">
      <c r="Q686" s="1"/>
    </row>
    <row r="687" spans="17:17">
      <c r="Q687" s="1"/>
    </row>
    <row r="688" spans="17:17">
      <c r="Q688" s="1"/>
    </row>
    <row r="689" spans="17:17">
      <c r="Q689" s="1"/>
    </row>
    <row r="690" spans="17:17">
      <c r="Q690" s="1"/>
    </row>
    <row r="691" spans="17:17">
      <c r="Q691" s="1"/>
    </row>
    <row r="692" spans="17:17">
      <c r="Q692" s="1"/>
    </row>
    <row r="693" spans="17:17">
      <c r="Q693" s="1"/>
    </row>
    <row r="694" spans="17:17">
      <c r="Q694" s="1"/>
    </row>
    <row r="695" spans="17:17">
      <c r="Q695" s="1"/>
    </row>
    <row r="696" spans="17:17">
      <c r="Q696" s="1"/>
    </row>
    <row r="697" spans="17:17">
      <c r="Q697" s="1"/>
    </row>
    <row r="698" spans="17:17">
      <c r="Q698" s="1"/>
    </row>
    <row r="699" spans="17:17">
      <c r="Q699" s="1"/>
    </row>
    <row r="700" spans="17:17">
      <c r="Q700" s="1"/>
    </row>
    <row r="701" spans="17:17">
      <c r="Q701" s="1"/>
    </row>
    <row r="702" spans="17:17">
      <c r="Q702" s="1"/>
    </row>
    <row r="703" spans="17:17">
      <c r="Q703" s="1"/>
    </row>
    <row r="704" spans="17:17">
      <c r="Q704" s="1"/>
    </row>
    <row r="705" spans="17:17">
      <c r="Q705" s="1"/>
    </row>
    <row r="706" spans="17:17">
      <c r="Q706" s="1"/>
    </row>
    <row r="707" spans="17:17">
      <c r="Q707" s="1"/>
    </row>
    <row r="708" spans="17:17">
      <c r="Q708" s="1"/>
    </row>
    <row r="709" spans="17:17">
      <c r="Q709" s="1"/>
    </row>
    <row r="710" spans="17:17">
      <c r="Q710" s="1"/>
    </row>
    <row r="711" spans="17:17">
      <c r="Q711" s="1"/>
    </row>
    <row r="712" spans="17:17">
      <c r="Q712" s="1"/>
    </row>
    <row r="713" spans="17:17">
      <c r="Q713" s="1"/>
    </row>
    <row r="714" spans="17:17">
      <c r="Q714" s="1"/>
    </row>
    <row r="715" spans="17:17">
      <c r="Q715" s="1"/>
    </row>
    <row r="716" spans="17:17">
      <c r="Q716" s="1"/>
    </row>
    <row r="717" spans="17:17">
      <c r="Q717" s="1"/>
    </row>
    <row r="718" spans="17:17">
      <c r="Q718" s="1"/>
    </row>
    <row r="719" spans="17:17">
      <c r="Q719" s="1"/>
    </row>
    <row r="720" spans="17:17">
      <c r="Q720" s="1"/>
    </row>
    <row r="721" spans="17:17">
      <c r="Q721" s="1"/>
    </row>
    <row r="722" spans="17:17">
      <c r="Q722" s="1"/>
    </row>
    <row r="723" spans="17:17">
      <c r="Q723" s="1"/>
    </row>
    <row r="724" spans="17:17">
      <c r="Q724" s="1"/>
    </row>
    <row r="725" spans="17:17">
      <c r="Q725" s="1"/>
    </row>
    <row r="726" spans="17:17">
      <c r="Q726" s="1"/>
    </row>
    <row r="727" spans="17:17">
      <c r="Q727" s="1"/>
    </row>
    <row r="728" spans="17:17">
      <c r="Q728" s="1"/>
    </row>
    <row r="729" spans="17:17">
      <c r="Q729" s="1"/>
    </row>
    <row r="730" spans="17:17">
      <c r="Q730" s="1"/>
    </row>
    <row r="731" spans="17:17">
      <c r="Q731" s="1"/>
    </row>
    <row r="732" spans="17:17">
      <c r="Q732" s="1"/>
    </row>
    <row r="733" spans="17:17">
      <c r="Q733" s="1"/>
    </row>
    <row r="734" spans="17:17">
      <c r="Q734" s="1"/>
    </row>
    <row r="735" spans="17:17">
      <c r="Q735" s="1"/>
    </row>
    <row r="736" spans="17:17">
      <c r="Q736" s="1"/>
    </row>
    <row r="737" spans="17:17">
      <c r="Q737" s="1"/>
    </row>
    <row r="738" spans="17:17">
      <c r="Q738" s="1"/>
    </row>
    <row r="739" spans="17:17">
      <c r="Q739" s="1"/>
    </row>
    <row r="740" spans="17:17">
      <c r="Q740" s="1"/>
    </row>
    <row r="741" spans="17:17">
      <c r="Q741" s="1"/>
    </row>
    <row r="742" spans="17:17">
      <c r="Q742" s="1"/>
    </row>
    <row r="743" spans="17:17">
      <c r="Q743" s="1"/>
    </row>
    <row r="744" spans="17:17">
      <c r="Q744" s="1"/>
    </row>
    <row r="745" spans="17:17">
      <c r="Q745" s="1"/>
    </row>
    <row r="746" spans="17:17">
      <c r="Q746" s="1"/>
    </row>
    <row r="747" spans="17:17">
      <c r="Q747" s="1"/>
    </row>
    <row r="748" spans="17:17">
      <c r="Q748" s="1"/>
    </row>
    <row r="749" spans="17:17">
      <c r="Q749" s="1"/>
    </row>
    <row r="750" spans="17:17">
      <c r="Q750" s="1"/>
    </row>
    <row r="751" spans="17:17">
      <c r="Q751" s="1"/>
    </row>
    <row r="752" spans="17:17">
      <c r="Q752" s="1"/>
    </row>
    <row r="753" spans="17:17">
      <c r="Q753" s="1"/>
    </row>
    <row r="754" spans="17:17">
      <c r="Q754" s="1"/>
    </row>
    <row r="755" spans="17:17">
      <c r="Q755" s="1"/>
    </row>
    <row r="756" spans="17:17">
      <c r="Q756" s="1"/>
    </row>
    <row r="757" spans="17:17">
      <c r="Q757" s="1"/>
    </row>
    <row r="758" spans="17:17">
      <c r="Q758" s="1"/>
    </row>
    <row r="759" spans="17:17">
      <c r="Q759" s="1"/>
    </row>
    <row r="760" spans="17:17">
      <c r="Q760" s="1"/>
    </row>
    <row r="761" spans="17:17">
      <c r="Q761" s="1"/>
    </row>
    <row r="762" spans="17:17">
      <c r="Q762" s="1"/>
    </row>
    <row r="763" spans="17:17">
      <c r="Q763" s="1"/>
    </row>
    <row r="764" spans="17:17">
      <c r="Q764" s="1"/>
    </row>
    <row r="765" spans="17:17">
      <c r="Q765" s="1"/>
    </row>
    <row r="766" spans="17:17">
      <c r="Q766" s="1"/>
    </row>
    <row r="767" spans="17:17">
      <c r="Q767" s="1"/>
    </row>
    <row r="768" spans="17:17">
      <c r="Q768" s="1"/>
    </row>
    <row r="769" spans="17:17">
      <c r="Q769" s="1"/>
    </row>
    <row r="770" spans="17:17">
      <c r="Q770" s="1"/>
    </row>
    <row r="771" spans="17:17">
      <c r="Q771" s="1"/>
    </row>
    <row r="772" spans="17:17">
      <c r="Q772" s="1"/>
    </row>
    <row r="773" spans="17:17">
      <c r="Q773" s="1"/>
    </row>
    <row r="774" spans="17:17">
      <c r="Q774" s="1"/>
    </row>
    <row r="775" spans="17:17">
      <c r="Q775" s="1"/>
    </row>
    <row r="776" spans="17:17">
      <c r="Q776" s="1"/>
    </row>
    <row r="777" spans="17:17">
      <c r="Q777" s="1"/>
    </row>
    <row r="778" spans="17:17">
      <c r="Q778" s="1"/>
    </row>
    <row r="779" spans="17:17">
      <c r="Q779" s="1"/>
    </row>
    <row r="780" spans="17:17">
      <c r="Q780" s="1"/>
    </row>
    <row r="781" spans="17:17">
      <c r="Q781" s="1"/>
    </row>
    <row r="782" spans="17:17">
      <c r="Q782" s="1"/>
    </row>
    <row r="783" spans="17:17">
      <c r="Q783" s="1"/>
    </row>
    <row r="784" spans="17:17">
      <c r="Q784" s="1"/>
    </row>
    <row r="785" spans="17:17">
      <c r="Q785" s="1"/>
    </row>
    <row r="786" spans="17:17">
      <c r="Q786" s="1"/>
    </row>
    <row r="787" spans="17:17">
      <c r="Q787" s="1"/>
    </row>
    <row r="788" spans="17:17">
      <c r="Q788" s="1"/>
    </row>
    <row r="789" spans="17:17">
      <c r="Q789" s="1"/>
    </row>
    <row r="790" spans="17:17">
      <c r="Q790" s="1"/>
    </row>
    <row r="791" spans="17:17">
      <c r="Q791" s="1"/>
    </row>
    <row r="792" spans="17:17">
      <c r="Q792" s="1"/>
    </row>
    <row r="793" spans="17:17">
      <c r="Q793" s="1"/>
    </row>
    <row r="794" spans="17:17">
      <c r="Q794" s="1"/>
    </row>
    <row r="795" spans="17:17">
      <c r="Q795" s="1"/>
    </row>
    <row r="796" spans="17:17">
      <c r="Q796" s="1"/>
    </row>
    <row r="797" spans="17:17">
      <c r="Q797" s="1"/>
    </row>
    <row r="798" spans="17:17">
      <c r="Q798" s="1"/>
    </row>
    <row r="799" spans="17:17">
      <c r="Q799" s="1"/>
    </row>
    <row r="800" spans="17:17">
      <c r="Q800" s="1"/>
    </row>
    <row r="801" spans="17:17">
      <c r="Q801" s="1"/>
    </row>
    <row r="802" spans="17:17">
      <c r="Q802" s="1"/>
    </row>
    <row r="803" spans="17:17">
      <c r="Q803" s="1"/>
    </row>
    <row r="804" spans="17:17">
      <c r="Q804" s="1"/>
    </row>
    <row r="805" spans="17:17">
      <c r="Q805" s="1"/>
    </row>
    <row r="806" spans="17:17">
      <c r="Q806" s="1"/>
    </row>
    <row r="807" spans="17:17">
      <c r="Q807" s="1"/>
    </row>
    <row r="808" spans="17:17">
      <c r="Q808" s="1"/>
    </row>
    <row r="809" spans="17:17">
      <c r="Q809" s="1"/>
    </row>
    <row r="810" spans="17:17">
      <c r="Q810" s="1"/>
    </row>
    <row r="811" spans="17:17">
      <c r="Q811" s="1"/>
    </row>
    <row r="812" spans="17:17">
      <c r="Q812" s="1"/>
    </row>
    <row r="813" spans="17:17">
      <c r="Q813" s="1"/>
    </row>
    <row r="814" spans="17:17">
      <c r="Q814" s="1"/>
    </row>
    <row r="815" spans="17:17">
      <c r="Q815" s="1"/>
    </row>
    <row r="816" spans="17:17">
      <c r="Q816" s="1"/>
    </row>
    <row r="817" spans="17:17">
      <c r="Q817" s="1"/>
    </row>
    <row r="818" spans="17:17">
      <c r="Q818" s="1"/>
    </row>
    <row r="819" spans="17:17">
      <c r="Q819" s="1"/>
    </row>
    <row r="820" spans="17:17">
      <c r="Q820" s="1"/>
    </row>
    <row r="821" spans="17:17">
      <c r="Q821" s="1"/>
    </row>
    <row r="822" spans="17:17">
      <c r="Q822" s="1"/>
    </row>
    <row r="823" spans="17:17">
      <c r="Q823" s="1"/>
    </row>
    <row r="824" spans="17:17">
      <c r="Q824" s="1"/>
    </row>
    <row r="825" spans="17:17">
      <c r="Q825" s="1"/>
    </row>
    <row r="826" spans="17:17">
      <c r="Q826" s="1"/>
    </row>
    <row r="827" spans="17:17">
      <c r="Q827" s="1"/>
    </row>
    <row r="828" spans="17:17">
      <c r="Q828" s="1"/>
    </row>
    <row r="829" spans="17:17">
      <c r="Q829" s="1"/>
    </row>
    <row r="830" spans="17:17">
      <c r="Q830" s="1"/>
    </row>
    <row r="831" spans="17:17">
      <c r="Q831" s="1"/>
    </row>
    <row r="832" spans="17:17">
      <c r="Q832" s="1"/>
    </row>
    <row r="833" spans="17:17">
      <c r="Q833" s="1"/>
    </row>
    <row r="834" spans="17:17">
      <c r="Q834" s="1"/>
    </row>
    <row r="835" spans="17:17">
      <c r="Q835" s="1"/>
    </row>
    <row r="836" spans="17:17">
      <c r="Q836" s="1"/>
    </row>
    <row r="837" spans="17:17">
      <c r="Q837" s="1"/>
    </row>
    <row r="838" spans="17:17">
      <c r="Q838" s="1"/>
    </row>
    <row r="839" spans="17:17">
      <c r="Q839" s="1"/>
    </row>
    <row r="840" spans="17:17">
      <c r="Q840" s="1"/>
    </row>
    <row r="841" spans="17:17">
      <c r="Q841" s="1"/>
    </row>
    <row r="842" spans="17:17">
      <c r="Q842" s="1"/>
    </row>
    <row r="843" spans="17:17">
      <c r="Q843" s="1"/>
    </row>
    <row r="844" spans="17:17">
      <c r="Q844" s="1"/>
    </row>
    <row r="845" spans="17:17">
      <c r="Q845" s="1"/>
    </row>
    <row r="846" spans="17:17">
      <c r="Q846" s="1"/>
    </row>
    <row r="847" spans="17:17">
      <c r="Q847" s="1"/>
    </row>
    <row r="848" spans="17:17">
      <c r="Q848" s="1"/>
    </row>
    <row r="849" spans="17:17">
      <c r="Q849" s="1"/>
    </row>
    <row r="850" spans="17:17">
      <c r="Q850" s="1"/>
    </row>
    <row r="851" spans="17:17">
      <c r="Q851" s="1"/>
    </row>
    <row r="852" spans="17:17">
      <c r="Q852" s="1"/>
    </row>
    <row r="853" spans="17:17">
      <c r="Q853" s="1"/>
    </row>
    <row r="854" spans="17:17">
      <c r="Q854" s="1"/>
    </row>
    <row r="855" spans="17:17">
      <c r="Q855" s="1"/>
    </row>
    <row r="856" spans="17:17">
      <c r="Q856" s="1"/>
    </row>
    <row r="857" spans="17:17">
      <c r="Q857" s="1"/>
    </row>
    <row r="858" spans="17:17">
      <c r="Q858" s="1"/>
    </row>
    <row r="859" spans="17:17">
      <c r="Q859" s="1"/>
    </row>
    <row r="860" spans="17:17">
      <c r="Q860" s="1"/>
    </row>
    <row r="861" spans="17:17">
      <c r="Q861" s="1"/>
    </row>
    <row r="862" spans="17:17">
      <c r="Q862" s="1"/>
    </row>
    <row r="863" spans="17:17">
      <c r="Q863" s="1"/>
    </row>
    <row r="864" spans="17:17">
      <c r="Q864" s="1"/>
    </row>
    <row r="865" spans="17:17">
      <c r="Q865" s="1"/>
    </row>
    <row r="866" spans="17:17">
      <c r="Q866" s="1"/>
    </row>
    <row r="867" spans="17:17">
      <c r="Q867" s="1"/>
    </row>
    <row r="868" spans="17:17">
      <c r="Q868" s="1"/>
    </row>
    <row r="869" spans="17:17">
      <c r="Q869" s="1"/>
    </row>
    <row r="870" spans="17:17">
      <c r="Q870" s="1"/>
    </row>
    <row r="871" spans="17:17">
      <c r="Q871" s="1"/>
    </row>
    <row r="872" spans="17:17">
      <c r="Q872" s="1"/>
    </row>
    <row r="873" spans="17:17">
      <c r="Q873" s="1"/>
    </row>
    <row r="874" spans="17:17">
      <c r="Q874" s="1"/>
    </row>
    <row r="875" spans="17:17">
      <c r="Q875" s="1"/>
    </row>
    <row r="876" spans="17:17">
      <c r="Q876" s="1"/>
    </row>
    <row r="877" spans="17:17">
      <c r="Q877" s="1"/>
    </row>
    <row r="878" spans="17:17">
      <c r="Q878" s="1"/>
    </row>
    <row r="879" spans="17:17">
      <c r="Q879" s="1"/>
    </row>
    <row r="880" spans="17:17">
      <c r="Q880" s="1"/>
    </row>
    <row r="881" spans="17:17">
      <c r="Q881" s="1"/>
    </row>
    <row r="882" spans="17:17">
      <c r="Q882" s="1"/>
    </row>
    <row r="883" spans="17:17">
      <c r="Q883" s="1"/>
    </row>
    <row r="884" spans="17:17">
      <c r="Q884" s="1"/>
    </row>
    <row r="885" spans="17:17">
      <c r="Q885" s="1"/>
    </row>
    <row r="886" spans="17:17">
      <c r="Q886" s="1"/>
    </row>
    <row r="887" spans="17:17">
      <c r="Q887" s="1"/>
    </row>
    <row r="888" spans="17:17">
      <c r="Q888" s="1"/>
    </row>
    <row r="889" spans="17:17">
      <c r="Q889" s="1"/>
    </row>
    <row r="890" spans="17:17">
      <c r="Q890" s="1"/>
    </row>
    <row r="891" spans="17:17">
      <c r="Q891" s="1"/>
    </row>
    <row r="892" spans="17:17">
      <c r="Q892" s="1"/>
    </row>
    <row r="893" spans="17:17">
      <c r="Q893" s="1"/>
    </row>
    <row r="894" spans="17:17">
      <c r="Q894" s="1"/>
    </row>
    <row r="895" spans="17:17">
      <c r="Q895" s="1"/>
    </row>
    <row r="896" spans="17:17">
      <c r="Q896" s="1"/>
    </row>
    <row r="897" spans="17:17">
      <c r="Q897" s="1"/>
    </row>
    <row r="898" spans="17:17">
      <c r="Q898" s="1"/>
    </row>
    <row r="899" spans="17:17">
      <c r="Q899" s="1"/>
    </row>
    <row r="900" spans="17:17">
      <c r="Q900" s="1"/>
    </row>
    <row r="901" spans="17:17">
      <c r="Q901" s="1"/>
    </row>
    <row r="902" spans="17:17">
      <c r="Q902" s="1"/>
    </row>
    <row r="903" spans="17:17">
      <c r="Q903" s="1"/>
    </row>
    <row r="904" spans="17:17">
      <c r="Q904" s="1"/>
    </row>
    <row r="905" spans="17:17">
      <c r="Q905" s="1"/>
    </row>
    <row r="906" spans="17:17">
      <c r="Q906" s="1"/>
    </row>
    <row r="907" spans="17:17">
      <c r="Q907" s="1"/>
    </row>
    <row r="908" spans="17:17">
      <c r="Q908" s="1"/>
    </row>
    <row r="909" spans="17:17">
      <c r="Q909" s="1"/>
    </row>
    <row r="910" spans="17:17">
      <c r="Q910" s="1"/>
    </row>
    <row r="911" spans="17:17">
      <c r="Q911" s="1"/>
    </row>
    <row r="912" spans="17:17">
      <c r="Q912" s="1"/>
    </row>
    <row r="913" spans="17:17">
      <c r="Q913" s="1"/>
    </row>
    <row r="914" spans="17:17">
      <c r="Q914" s="1"/>
    </row>
    <row r="915" spans="17:17">
      <c r="Q915" s="1"/>
    </row>
    <row r="916" spans="17:17">
      <c r="Q916" s="1"/>
    </row>
    <row r="917" spans="17:17">
      <c r="Q917" s="1"/>
    </row>
    <row r="918" spans="17:17">
      <c r="Q918" s="1"/>
    </row>
    <row r="919" spans="17:17">
      <c r="Q919" s="1"/>
    </row>
    <row r="920" spans="17:17">
      <c r="Q920" s="1"/>
    </row>
    <row r="921" spans="17:17">
      <c r="Q921" s="1"/>
    </row>
    <row r="922" spans="17:17">
      <c r="Q922" s="1"/>
    </row>
    <row r="923" spans="17:17">
      <c r="Q923" s="1"/>
    </row>
    <row r="924" spans="17:17">
      <c r="Q924" s="1"/>
    </row>
    <row r="925" spans="17:17">
      <c r="Q925" s="1"/>
    </row>
    <row r="926" spans="17:17">
      <c r="Q926" s="1"/>
    </row>
    <row r="927" spans="17:17">
      <c r="Q927" s="1"/>
    </row>
    <row r="928" spans="17:17">
      <c r="Q928" s="1"/>
    </row>
    <row r="929" spans="17:17">
      <c r="Q929" s="1"/>
    </row>
    <row r="930" spans="17:17">
      <c r="Q930" s="1"/>
    </row>
    <row r="931" spans="17:17">
      <c r="Q931" s="1"/>
    </row>
    <row r="932" spans="17:17">
      <c r="Q932" s="1"/>
    </row>
    <row r="933" spans="17:17">
      <c r="Q933" s="1"/>
    </row>
    <row r="934" spans="17:17">
      <c r="Q934" s="1"/>
    </row>
    <row r="935" spans="17:17">
      <c r="Q935" s="1"/>
    </row>
    <row r="936" spans="17:17">
      <c r="Q936" s="1"/>
    </row>
    <row r="937" spans="17:17">
      <c r="Q937" s="1"/>
    </row>
    <row r="938" spans="17:17">
      <c r="Q938" s="1"/>
    </row>
    <row r="939" spans="17:17">
      <c r="Q939" s="1"/>
    </row>
    <row r="940" spans="17:17">
      <c r="Q940" s="1"/>
    </row>
    <row r="941" spans="17:17">
      <c r="Q941" s="1"/>
    </row>
    <row r="942" spans="17:17">
      <c r="Q942" s="1"/>
    </row>
    <row r="943" spans="17:17">
      <c r="Q943" s="1"/>
    </row>
    <row r="944" spans="17:17">
      <c r="Q944" s="1"/>
    </row>
    <row r="945" spans="17:17">
      <c r="Q945" s="1"/>
    </row>
    <row r="946" spans="17:17">
      <c r="Q946" s="1"/>
    </row>
    <row r="947" spans="17:17">
      <c r="Q947" s="1"/>
    </row>
    <row r="948" spans="17:17">
      <c r="Q948" s="1"/>
    </row>
    <row r="949" spans="17:17">
      <c r="Q949" s="1"/>
    </row>
    <row r="950" spans="17:17">
      <c r="Q950" s="1"/>
    </row>
    <row r="951" spans="17:17">
      <c r="Q951" s="1"/>
    </row>
    <row r="952" spans="17:17">
      <c r="Q952" s="1"/>
    </row>
    <row r="953" spans="17:17">
      <c r="Q953" s="1"/>
    </row>
    <row r="954" spans="17:17">
      <c r="Q954" s="1"/>
    </row>
    <row r="955" spans="17:17">
      <c r="Q955" s="1"/>
    </row>
    <row r="956" spans="17:17">
      <c r="Q956" s="1"/>
    </row>
    <row r="957" spans="17:17">
      <c r="Q957" s="1"/>
    </row>
    <row r="958" spans="17:17">
      <c r="Q958" s="1"/>
    </row>
    <row r="959" spans="17:17">
      <c r="Q959" s="1"/>
    </row>
    <row r="960" spans="17:17">
      <c r="Q960" s="1"/>
    </row>
    <row r="961" spans="17:17">
      <c r="Q961" s="1"/>
    </row>
    <row r="962" spans="17:17">
      <c r="Q962" s="1"/>
    </row>
    <row r="963" spans="17:17">
      <c r="Q963" s="1"/>
    </row>
    <row r="964" spans="17:17">
      <c r="Q964" s="1"/>
    </row>
    <row r="965" spans="17:17">
      <c r="Q965" s="1"/>
    </row>
    <row r="966" spans="17:17">
      <c r="Q966" s="1"/>
    </row>
    <row r="967" spans="17:17">
      <c r="Q967" s="1"/>
    </row>
    <row r="968" spans="17:17">
      <c r="Q968" s="1"/>
    </row>
    <row r="969" spans="17:17">
      <c r="Q969" s="1"/>
    </row>
    <row r="970" spans="17:17">
      <c r="Q970" s="1"/>
    </row>
    <row r="971" spans="17:17">
      <c r="Q971" s="1"/>
    </row>
    <row r="972" spans="17:17">
      <c r="Q972" s="1"/>
    </row>
    <row r="973" spans="17:17">
      <c r="Q973" s="1"/>
    </row>
    <row r="974" spans="17:17">
      <c r="Q974" s="1"/>
    </row>
    <row r="975" spans="17:17">
      <c r="Q975" s="1"/>
    </row>
    <row r="976" spans="17:17">
      <c r="Q976" s="1"/>
    </row>
    <row r="977" spans="17:17">
      <c r="Q977" s="1"/>
    </row>
    <row r="978" spans="17:17">
      <c r="Q978" s="1"/>
    </row>
    <row r="979" spans="17:17">
      <c r="Q979" s="1"/>
    </row>
    <row r="980" spans="17:17">
      <c r="Q980" s="1"/>
    </row>
    <row r="981" spans="17:17">
      <c r="Q981" s="1"/>
    </row>
    <row r="982" spans="17:17">
      <c r="Q982" s="1"/>
    </row>
    <row r="983" spans="17:17">
      <c r="Q983" s="1"/>
    </row>
    <row r="984" spans="17:17">
      <c r="Q984" s="1"/>
    </row>
    <row r="985" spans="17:17">
      <c r="Q985" s="1"/>
    </row>
    <row r="986" spans="17:17">
      <c r="Q986" s="1"/>
    </row>
    <row r="987" spans="17:17">
      <c r="Q987" s="1"/>
    </row>
    <row r="988" spans="17:17">
      <c r="Q988" s="1"/>
    </row>
    <row r="989" spans="17:17">
      <c r="Q989" s="1"/>
    </row>
    <row r="990" spans="17:17">
      <c r="Q990" s="1"/>
    </row>
    <row r="991" spans="17:17">
      <c r="Q991" s="1"/>
    </row>
    <row r="992" spans="17:17">
      <c r="Q992" s="1"/>
    </row>
    <row r="993" spans="17:17">
      <c r="Q993" s="1"/>
    </row>
    <row r="994" spans="17:17">
      <c r="Q994" s="1"/>
    </row>
    <row r="995" spans="17:17">
      <c r="Q995" s="1"/>
    </row>
    <row r="996" spans="17:17">
      <c r="Q996" s="1"/>
    </row>
    <row r="997" spans="17:17">
      <c r="Q997" s="1"/>
    </row>
    <row r="998" spans="17:17">
      <c r="Q998" s="1"/>
    </row>
    <row r="999" spans="17:17">
      <c r="Q999" s="1"/>
    </row>
    <row r="1000" spans="17:17">
      <c r="Q1000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1000"/>
  <sheetViews>
    <sheetView workbookViewId="0">
      <pane xSplit="3" ySplit="1" topLeftCell="F2" activePane="bottomRight" state="frozen"/>
      <selection pane="topRight" activeCell="D1" sqref="D1"/>
      <selection pane="bottomLeft" activeCell="A2" sqref="A2"/>
      <selection pane="bottomRight" activeCell="R2" sqref="R2:S31"/>
    </sheetView>
  </sheetViews>
  <sheetFormatPr baseColWidth="10" defaultColWidth="14.5" defaultRowHeight="15" customHeight="1"/>
  <cols>
    <col min="1" max="1" width="8.6640625" customWidth="1"/>
    <col min="2" max="2" width="16.83203125" customWidth="1"/>
    <col min="3" max="3" width="19.5" customWidth="1"/>
    <col min="4" max="31" width="8.6640625" customWidth="1"/>
  </cols>
  <sheetData>
    <row r="1" spans="1:20">
      <c r="A1" s="121" t="s">
        <v>327</v>
      </c>
      <c r="B1" s="121" t="s">
        <v>328</v>
      </c>
      <c r="C1" s="121" t="s">
        <v>329</v>
      </c>
      <c r="D1" s="122" t="s">
        <v>330</v>
      </c>
      <c r="E1" s="123" t="s">
        <v>331</v>
      </c>
      <c r="F1" s="123" t="s">
        <v>332</v>
      </c>
      <c r="G1" s="124">
        <v>45672</v>
      </c>
      <c r="H1" s="124">
        <v>45677</v>
      </c>
      <c r="I1" s="124">
        <v>45679</v>
      </c>
      <c r="J1" s="124">
        <v>45684</v>
      </c>
      <c r="K1" s="124">
        <v>45686</v>
      </c>
      <c r="L1" s="125">
        <v>45693</v>
      </c>
      <c r="M1" s="124">
        <v>45700</v>
      </c>
      <c r="N1" s="124">
        <v>45705</v>
      </c>
      <c r="O1" s="124">
        <v>45707</v>
      </c>
      <c r="P1" s="124">
        <v>45712</v>
      </c>
      <c r="Q1" s="124">
        <v>45714</v>
      </c>
      <c r="R1" s="124">
        <v>45726</v>
      </c>
      <c r="S1" s="124">
        <v>45728</v>
      </c>
      <c r="T1" s="121" t="s">
        <v>333</v>
      </c>
    </row>
    <row r="2" spans="1:20">
      <c r="A2" s="126">
        <v>30612256</v>
      </c>
      <c r="B2" s="127" t="s">
        <v>334</v>
      </c>
      <c r="C2" s="128" t="s">
        <v>145</v>
      </c>
      <c r="D2" s="2">
        <v>1</v>
      </c>
      <c r="E2" s="2"/>
      <c r="F2" s="2"/>
      <c r="G2" s="2">
        <v>1</v>
      </c>
      <c r="H2" s="2"/>
      <c r="I2" s="2"/>
      <c r="J2" s="2"/>
      <c r="K2" s="2"/>
      <c r="L2" s="2"/>
      <c r="M2" s="2"/>
      <c r="N2" s="2"/>
      <c r="O2" s="2"/>
      <c r="P2" s="1"/>
      <c r="Q2" s="1"/>
      <c r="R2" s="1"/>
      <c r="S2" s="1"/>
      <c r="T2" s="1">
        <f t="shared" ref="T2:T3" si="0">SUM(B2:Q2)</f>
        <v>2</v>
      </c>
    </row>
    <row r="3" spans="1:20">
      <c r="A3" s="126">
        <v>31985209</v>
      </c>
      <c r="B3" s="127" t="s">
        <v>335</v>
      </c>
      <c r="C3" s="128" t="s">
        <v>146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1"/>
      <c r="Q3" s="1"/>
      <c r="R3" s="1"/>
      <c r="S3" s="1">
        <v>2</v>
      </c>
      <c r="T3" s="1">
        <f t="shared" si="0"/>
        <v>0</v>
      </c>
    </row>
    <row r="4" spans="1:20">
      <c r="A4" s="126">
        <v>27670956</v>
      </c>
      <c r="B4" s="127" t="s">
        <v>180</v>
      </c>
      <c r="C4" s="128" t="s">
        <v>147</v>
      </c>
      <c r="D4" s="2"/>
      <c r="E4" s="2"/>
      <c r="F4" s="2">
        <v>2</v>
      </c>
      <c r="G4" s="2"/>
      <c r="H4" s="2">
        <v>1</v>
      </c>
      <c r="I4" s="2">
        <v>1</v>
      </c>
      <c r="J4" s="2"/>
      <c r="K4" s="2">
        <v>2</v>
      </c>
      <c r="L4" s="2">
        <v>1</v>
      </c>
      <c r="M4" s="2">
        <v>2</v>
      </c>
      <c r="N4" s="2">
        <v>1</v>
      </c>
      <c r="O4" s="2">
        <v>1</v>
      </c>
      <c r="P4" s="2">
        <v>3</v>
      </c>
      <c r="Q4" s="1">
        <v>1</v>
      </c>
      <c r="R4" s="1">
        <v>1</v>
      </c>
      <c r="S4" s="1">
        <v>1</v>
      </c>
      <c r="T4" s="1">
        <f>SUM(B4:S4)</f>
        <v>17</v>
      </c>
    </row>
    <row r="5" spans="1:20">
      <c r="A5" s="126">
        <v>32241977</v>
      </c>
      <c r="B5" s="127" t="s">
        <v>336</v>
      </c>
      <c r="C5" s="128" t="s">
        <v>148</v>
      </c>
      <c r="D5" s="2"/>
      <c r="E5" s="2">
        <v>2</v>
      </c>
      <c r="F5" s="2"/>
      <c r="G5" s="2"/>
      <c r="H5" s="2"/>
      <c r="I5" s="2"/>
      <c r="J5" s="2"/>
      <c r="K5" s="2"/>
      <c r="L5" s="2"/>
      <c r="M5" s="2"/>
      <c r="N5" s="2"/>
      <c r="O5" s="2"/>
      <c r="P5" s="1"/>
      <c r="Q5" s="1"/>
      <c r="R5" s="1"/>
      <c r="S5" s="1"/>
      <c r="T5" s="1">
        <f t="shared" ref="T5:T7" si="1">SUM(B5:Q5)</f>
        <v>2</v>
      </c>
    </row>
    <row r="6" spans="1:20">
      <c r="A6" s="126">
        <v>30888238</v>
      </c>
      <c r="B6" s="127" t="s">
        <v>337</v>
      </c>
      <c r="C6" s="128" t="s">
        <v>149</v>
      </c>
      <c r="D6" s="2"/>
      <c r="E6" s="2">
        <v>1</v>
      </c>
      <c r="F6" s="2">
        <v>2</v>
      </c>
      <c r="G6" s="2"/>
      <c r="H6" s="2"/>
      <c r="I6" s="2"/>
      <c r="J6" s="2"/>
      <c r="K6" s="2">
        <v>4</v>
      </c>
      <c r="L6" s="2">
        <v>1</v>
      </c>
      <c r="M6" s="2">
        <v>1</v>
      </c>
      <c r="N6" s="2">
        <v>1</v>
      </c>
      <c r="O6" s="2"/>
      <c r="P6" s="1"/>
      <c r="Q6" s="1"/>
      <c r="R6" s="1"/>
      <c r="S6" s="1"/>
      <c r="T6" s="1">
        <f t="shared" si="1"/>
        <v>10</v>
      </c>
    </row>
    <row r="7" spans="1:20">
      <c r="A7" s="126">
        <v>30539028</v>
      </c>
      <c r="B7" s="127" t="s">
        <v>338</v>
      </c>
      <c r="C7" s="128" t="s">
        <v>339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1"/>
      <c r="Q7" s="1"/>
      <c r="R7" s="1"/>
      <c r="S7" s="1"/>
      <c r="T7" s="1">
        <f t="shared" si="1"/>
        <v>0</v>
      </c>
    </row>
    <row r="8" spans="1:20">
      <c r="A8" s="126">
        <v>31423864</v>
      </c>
      <c r="B8" s="127" t="s">
        <v>44</v>
      </c>
      <c r="C8" s="128" t="s">
        <v>340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1"/>
      <c r="Q8" s="1"/>
      <c r="R8" s="1"/>
      <c r="S8" s="1"/>
      <c r="T8" s="1">
        <f>SUM(B8:R8)</f>
        <v>0</v>
      </c>
    </row>
    <row r="9" spans="1:20">
      <c r="A9" s="126">
        <v>31979046</v>
      </c>
      <c r="B9" s="127" t="s">
        <v>341</v>
      </c>
      <c r="C9" s="128" t="s">
        <v>152</v>
      </c>
      <c r="D9" s="2"/>
      <c r="E9" s="2">
        <v>2</v>
      </c>
      <c r="F9" s="2"/>
      <c r="G9" s="2"/>
      <c r="H9" s="2"/>
      <c r="I9" s="2"/>
      <c r="J9" s="2"/>
      <c r="K9" s="2">
        <v>2</v>
      </c>
      <c r="L9" s="2"/>
      <c r="M9" s="2"/>
      <c r="N9" s="2"/>
      <c r="O9" s="2">
        <v>1</v>
      </c>
      <c r="P9" s="1">
        <v>1</v>
      </c>
      <c r="Q9" s="1"/>
      <c r="R9" s="1">
        <v>1</v>
      </c>
      <c r="S9" s="1">
        <v>2</v>
      </c>
      <c r="T9" s="1">
        <f>SUM(B9:S9)</f>
        <v>9</v>
      </c>
    </row>
    <row r="10" spans="1:20">
      <c r="A10" s="126">
        <v>32042714</v>
      </c>
      <c r="B10" s="127" t="s">
        <v>342</v>
      </c>
      <c r="C10" s="128" t="s">
        <v>200</v>
      </c>
      <c r="D10" s="2"/>
      <c r="E10" s="2"/>
      <c r="F10" s="2"/>
      <c r="G10" s="2"/>
      <c r="H10" s="2">
        <v>2</v>
      </c>
      <c r="I10" s="2"/>
      <c r="J10" s="2">
        <v>2</v>
      </c>
      <c r="K10" s="2">
        <v>1</v>
      </c>
      <c r="L10" s="2">
        <v>1</v>
      </c>
      <c r="M10" s="2">
        <v>1</v>
      </c>
      <c r="N10" s="2">
        <v>1</v>
      </c>
      <c r="O10" s="2">
        <v>1</v>
      </c>
      <c r="P10" s="2">
        <v>3</v>
      </c>
      <c r="Q10" s="1">
        <v>3</v>
      </c>
      <c r="R10" s="1">
        <v>1</v>
      </c>
      <c r="S10" s="1"/>
      <c r="T10" s="1">
        <f>SUM(B10:R10)</f>
        <v>16</v>
      </c>
    </row>
    <row r="11" spans="1:20">
      <c r="A11" s="126">
        <v>31696701</v>
      </c>
      <c r="B11" s="127" t="s">
        <v>343</v>
      </c>
      <c r="C11" s="128" t="s">
        <v>344</v>
      </c>
      <c r="D11" s="2">
        <v>1</v>
      </c>
      <c r="E11" s="2">
        <v>1</v>
      </c>
      <c r="F11" s="2"/>
      <c r="G11" s="2">
        <v>1</v>
      </c>
      <c r="H11" s="2">
        <v>3</v>
      </c>
      <c r="I11" s="2">
        <v>1</v>
      </c>
      <c r="J11" s="2"/>
      <c r="K11" s="2">
        <v>1</v>
      </c>
      <c r="L11" s="2">
        <v>1</v>
      </c>
      <c r="M11" s="2">
        <v>3</v>
      </c>
      <c r="N11" s="2">
        <v>1</v>
      </c>
      <c r="O11" s="2">
        <v>1</v>
      </c>
      <c r="P11" s="2">
        <v>3</v>
      </c>
      <c r="Q11" s="2">
        <v>3</v>
      </c>
      <c r="R11" s="1">
        <v>1</v>
      </c>
      <c r="S11" s="1">
        <v>1</v>
      </c>
      <c r="T11" s="1">
        <f>SUM(B11:S11)</f>
        <v>22</v>
      </c>
    </row>
    <row r="12" spans="1:20">
      <c r="A12" s="126">
        <v>31935772</v>
      </c>
      <c r="B12" s="127" t="s">
        <v>345</v>
      </c>
      <c r="C12" s="128" t="s">
        <v>155</v>
      </c>
      <c r="D12" s="2"/>
      <c r="E12" s="2"/>
      <c r="F12" s="2">
        <v>2</v>
      </c>
      <c r="G12" s="2"/>
      <c r="H12" s="2"/>
      <c r="I12" s="2"/>
      <c r="J12" s="2"/>
      <c r="K12" s="2">
        <v>2</v>
      </c>
      <c r="L12" s="2">
        <v>1</v>
      </c>
      <c r="M12" s="2"/>
      <c r="N12" s="2"/>
      <c r="O12" s="2">
        <v>1</v>
      </c>
      <c r="P12" s="1"/>
      <c r="Q12" s="1"/>
      <c r="R12" s="1"/>
      <c r="S12" s="1"/>
      <c r="T12" s="1">
        <f t="shared" ref="T12:T14" si="2">SUM(B12:Q12)</f>
        <v>6</v>
      </c>
    </row>
    <row r="13" spans="1:20">
      <c r="A13" s="126">
        <v>31886469</v>
      </c>
      <c r="B13" s="127" t="s">
        <v>346</v>
      </c>
      <c r="C13" s="128" t="s">
        <v>347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1"/>
      <c r="Q13" s="1"/>
      <c r="R13" s="1"/>
      <c r="S13" s="1"/>
      <c r="T13" s="1">
        <f t="shared" si="2"/>
        <v>0</v>
      </c>
    </row>
    <row r="14" spans="1:20">
      <c r="A14" s="126">
        <v>32121959</v>
      </c>
      <c r="B14" s="127" t="s">
        <v>348</v>
      </c>
      <c r="C14" s="128" t="s">
        <v>157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1"/>
      <c r="Q14" s="1"/>
      <c r="R14" s="1"/>
      <c r="S14" s="1"/>
      <c r="T14" s="1">
        <f t="shared" si="2"/>
        <v>0</v>
      </c>
    </row>
    <row r="15" spans="1:20">
      <c r="A15" s="126">
        <v>32235827</v>
      </c>
      <c r="B15" s="127" t="s">
        <v>349</v>
      </c>
      <c r="C15" s="128" t="s">
        <v>158</v>
      </c>
      <c r="D15" s="2">
        <v>3</v>
      </c>
      <c r="E15" s="2">
        <v>3</v>
      </c>
      <c r="F15" s="2">
        <v>3</v>
      </c>
      <c r="G15" s="2">
        <v>2</v>
      </c>
      <c r="H15" s="2"/>
      <c r="I15" s="2">
        <v>3</v>
      </c>
      <c r="J15" s="2"/>
      <c r="K15" s="2">
        <v>1</v>
      </c>
      <c r="L15" s="2">
        <v>1</v>
      </c>
      <c r="M15" s="2">
        <v>1</v>
      </c>
      <c r="N15" s="2"/>
      <c r="O15" s="2">
        <v>1</v>
      </c>
      <c r="P15" s="2">
        <v>1</v>
      </c>
      <c r="Q15" s="1">
        <v>3</v>
      </c>
      <c r="R15" s="1">
        <v>1</v>
      </c>
      <c r="S15" s="1"/>
      <c r="T15" s="1">
        <f>SUM(B15:R15)</f>
        <v>23</v>
      </c>
    </row>
    <row r="16" spans="1:20">
      <c r="A16" s="126">
        <v>31873119</v>
      </c>
      <c r="B16" s="127" t="s">
        <v>76</v>
      </c>
      <c r="C16" s="128" t="s">
        <v>159</v>
      </c>
      <c r="D16" s="2">
        <v>1</v>
      </c>
      <c r="E16" s="2"/>
      <c r="F16" s="2">
        <v>1</v>
      </c>
      <c r="G16" s="2">
        <v>1</v>
      </c>
      <c r="H16" s="2">
        <v>1</v>
      </c>
      <c r="I16" s="2">
        <v>1</v>
      </c>
      <c r="J16" s="2">
        <v>2</v>
      </c>
      <c r="K16" s="2">
        <v>2</v>
      </c>
      <c r="L16" s="2">
        <v>1</v>
      </c>
      <c r="M16" s="2">
        <v>2</v>
      </c>
      <c r="N16" s="2">
        <v>3</v>
      </c>
      <c r="O16" s="2">
        <v>1</v>
      </c>
      <c r="P16" s="1">
        <v>3</v>
      </c>
      <c r="Q16" s="1">
        <v>3</v>
      </c>
      <c r="R16" s="1">
        <v>1</v>
      </c>
      <c r="S16" s="1">
        <v>1</v>
      </c>
      <c r="T16" s="1">
        <f>SUM(B16:S16)</f>
        <v>24</v>
      </c>
    </row>
    <row r="17" spans="1:20">
      <c r="A17" s="126">
        <v>27007813</v>
      </c>
      <c r="B17" s="127" t="s">
        <v>350</v>
      </c>
      <c r="C17" s="128" t="s">
        <v>160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>
        <v>1</v>
      </c>
      <c r="P17" s="1"/>
      <c r="Q17" s="1"/>
      <c r="R17" s="1"/>
      <c r="S17" s="1"/>
      <c r="T17" s="1">
        <f t="shared" ref="T17:T18" si="3">SUM(B17:Q17)</f>
        <v>1</v>
      </c>
    </row>
    <row r="18" spans="1:20">
      <c r="A18" s="126">
        <v>31460623</v>
      </c>
      <c r="B18" s="127" t="s">
        <v>351</v>
      </c>
      <c r="C18" s="128" t="s">
        <v>161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>
        <v>1</v>
      </c>
      <c r="P18" s="1"/>
      <c r="Q18" s="1"/>
      <c r="R18" s="1"/>
      <c r="S18" s="1"/>
      <c r="T18" s="1">
        <f t="shared" si="3"/>
        <v>1</v>
      </c>
    </row>
    <row r="19" spans="1:20">
      <c r="A19" s="126">
        <v>33186550</v>
      </c>
      <c r="B19" s="127" t="s">
        <v>352</v>
      </c>
      <c r="C19" s="128" t="s">
        <v>162</v>
      </c>
      <c r="D19" s="2"/>
      <c r="E19" s="2"/>
      <c r="F19" s="2">
        <v>1</v>
      </c>
      <c r="G19" s="2"/>
      <c r="H19" s="2">
        <v>2</v>
      </c>
      <c r="I19" s="2">
        <v>3</v>
      </c>
      <c r="J19" s="2"/>
      <c r="K19" s="2"/>
      <c r="L19" s="2"/>
      <c r="M19" s="2">
        <v>4</v>
      </c>
      <c r="N19" s="2">
        <v>1</v>
      </c>
      <c r="O19" s="2">
        <v>3</v>
      </c>
      <c r="P19" s="1"/>
      <c r="Q19" s="1">
        <v>1</v>
      </c>
      <c r="R19" s="1">
        <v>1</v>
      </c>
      <c r="S19" s="1">
        <v>1</v>
      </c>
      <c r="T19" s="1">
        <f>SUM(B19:S19)</f>
        <v>17</v>
      </c>
    </row>
    <row r="20" spans="1:20">
      <c r="A20" s="126">
        <v>33219652</v>
      </c>
      <c r="B20" s="127" t="s">
        <v>353</v>
      </c>
      <c r="C20" s="128" t="s">
        <v>194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1"/>
      <c r="Q20" s="1"/>
      <c r="R20" s="1"/>
      <c r="S20" s="1"/>
      <c r="T20" s="1">
        <f t="shared" ref="T20:T22" si="4">SUM(B20:Q20)</f>
        <v>0</v>
      </c>
    </row>
    <row r="21" spans="1:20" ht="15.75" customHeight="1">
      <c r="A21" s="126">
        <v>31935917</v>
      </c>
      <c r="B21" s="127" t="s">
        <v>178</v>
      </c>
      <c r="C21" s="128" t="s">
        <v>164</v>
      </c>
      <c r="D21" s="2"/>
      <c r="E21" s="2">
        <v>1</v>
      </c>
      <c r="F21" s="129">
        <v>2</v>
      </c>
      <c r="G21" s="2"/>
      <c r="H21" s="2">
        <v>1</v>
      </c>
      <c r="I21" s="2"/>
      <c r="J21" s="2"/>
      <c r="K21" s="2"/>
      <c r="L21" s="2"/>
      <c r="M21" s="2"/>
      <c r="N21" s="2"/>
      <c r="O21" s="2"/>
      <c r="P21" s="1"/>
      <c r="Q21" s="1"/>
      <c r="R21" s="1"/>
      <c r="S21" s="1"/>
      <c r="T21" s="1">
        <f t="shared" si="4"/>
        <v>4</v>
      </c>
    </row>
    <row r="22" spans="1:20" ht="15.75" customHeight="1">
      <c r="A22" s="126">
        <v>31745168</v>
      </c>
      <c r="B22" s="127" t="s">
        <v>354</v>
      </c>
      <c r="C22" s="128" t="s">
        <v>199</v>
      </c>
      <c r="D22" s="2"/>
      <c r="E22" s="2"/>
      <c r="F22" s="2"/>
      <c r="G22" s="2"/>
      <c r="H22" s="2"/>
      <c r="I22" s="2"/>
      <c r="J22" s="2"/>
      <c r="K22" s="2"/>
      <c r="L22" s="2">
        <v>1</v>
      </c>
      <c r="M22" s="2">
        <v>1</v>
      </c>
      <c r="N22" s="2"/>
      <c r="O22" s="2"/>
      <c r="P22" s="1"/>
      <c r="Q22" s="1"/>
      <c r="R22" s="1"/>
      <c r="S22" s="1"/>
      <c r="T22" s="1">
        <f t="shared" si="4"/>
        <v>2</v>
      </c>
    </row>
    <row r="23" spans="1:20" ht="15.75" customHeight="1">
      <c r="A23" s="126">
        <v>32511604</v>
      </c>
      <c r="B23" s="127" t="s">
        <v>355</v>
      </c>
      <c r="C23" s="128" t="s">
        <v>204</v>
      </c>
      <c r="D23" s="2">
        <v>2</v>
      </c>
      <c r="E23" s="2">
        <v>2</v>
      </c>
      <c r="F23" s="2">
        <v>1</v>
      </c>
      <c r="G23" s="2">
        <v>1</v>
      </c>
      <c r="H23" s="2">
        <v>1</v>
      </c>
      <c r="I23" s="2">
        <v>1</v>
      </c>
      <c r="J23" s="2">
        <v>3</v>
      </c>
      <c r="K23" s="2"/>
      <c r="L23" s="2">
        <v>1</v>
      </c>
      <c r="M23" s="2">
        <v>2</v>
      </c>
      <c r="N23" s="2">
        <v>3</v>
      </c>
      <c r="O23" s="2">
        <v>3</v>
      </c>
      <c r="P23" s="1">
        <v>1</v>
      </c>
      <c r="Q23" s="1">
        <v>1</v>
      </c>
      <c r="R23" s="1">
        <v>1</v>
      </c>
      <c r="S23" s="1">
        <v>1</v>
      </c>
      <c r="T23" s="1">
        <f>SUM(B23:S23)</f>
        <v>24</v>
      </c>
    </row>
    <row r="24" spans="1:20" ht="15.75" customHeight="1">
      <c r="A24" s="126">
        <v>31701229</v>
      </c>
      <c r="B24" s="127" t="s">
        <v>356</v>
      </c>
      <c r="C24" s="128" t="s">
        <v>166</v>
      </c>
      <c r="D24" s="2"/>
      <c r="E24" s="2"/>
      <c r="F24" s="2">
        <v>1</v>
      </c>
      <c r="G24" s="2">
        <v>2</v>
      </c>
      <c r="H24" s="2">
        <v>1</v>
      </c>
      <c r="I24" s="2">
        <v>1</v>
      </c>
      <c r="J24" s="2">
        <v>3</v>
      </c>
      <c r="K24" s="2">
        <v>3</v>
      </c>
      <c r="L24" s="2">
        <v>3</v>
      </c>
      <c r="M24" s="2">
        <v>1</v>
      </c>
      <c r="N24" s="2"/>
      <c r="O24" s="2">
        <v>1</v>
      </c>
      <c r="P24" s="1">
        <v>2</v>
      </c>
      <c r="Q24" s="1"/>
      <c r="R24" s="1">
        <v>1</v>
      </c>
      <c r="S24" s="1"/>
      <c r="T24" s="1">
        <f t="shared" ref="T24:T25" si="5">SUM(B24:R24)</f>
        <v>19</v>
      </c>
    </row>
    <row r="25" spans="1:20" ht="15.75" customHeight="1">
      <c r="A25" s="126">
        <v>30538673</v>
      </c>
      <c r="B25" s="127" t="s">
        <v>357</v>
      </c>
      <c r="C25" s="128" t="s">
        <v>167</v>
      </c>
      <c r="D25" s="2">
        <v>2</v>
      </c>
      <c r="E25" s="2"/>
      <c r="F25" s="2">
        <v>1</v>
      </c>
      <c r="G25" s="2"/>
      <c r="H25" s="2"/>
      <c r="I25" s="2">
        <v>1</v>
      </c>
      <c r="J25" s="2"/>
      <c r="K25" s="2"/>
      <c r="L25" s="2">
        <v>1</v>
      </c>
      <c r="M25" s="2">
        <v>1</v>
      </c>
      <c r="N25" s="2"/>
      <c r="O25" s="2"/>
      <c r="P25" s="1"/>
      <c r="Q25" s="1"/>
      <c r="R25" s="1">
        <v>1</v>
      </c>
      <c r="S25" s="1"/>
      <c r="T25" s="1">
        <f t="shared" si="5"/>
        <v>7</v>
      </c>
    </row>
    <row r="26" spans="1:20" ht="15.75" customHeight="1">
      <c r="A26" s="126">
        <v>32001850</v>
      </c>
      <c r="B26" s="127" t="s">
        <v>358</v>
      </c>
      <c r="C26" s="128" t="s">
        <v>168</v>
      </c>
      <c r="D26" s="2">
        <v>2</v>
      </c>
      <c r="E26" s="2">
        <v>1</v>
      </c>
      <c r="F26" s="2"/>
      <c r="G26" s="2"/>
      <c r="H26" s="2"/>
      <c r="I26" s="2"/>
      <c r="J26" s="2"/>
      <c r="K26" s="2">
        <v>2</v>
      </c>
      <c r="L26" s="2"/>
      <c r="M26" s="2"/>
      <c r="N26" s="2"/>
      <c r="O26" s="2"/>
      <c r="P26" s="1"/>
      <c r="Q26" s="1"/>
      <c r="R26" s="1"/>
      <c r="S26" s="1"/>
      <c r="T26" s="1">
        <f t="shared" ref="T26:T27" si="6">SUM(B26:Q26)</f>
        <v>5</v>
      </c>
    </row>
    <row r="27" spans="1:20" ht="15.75" customHeight="1">
      <c r="A27" s="126">
        <v>31873242</v>
      </c>
      <c r="B27" s="127" t="s">
        <v>179</v>
      </c>
      <c r="C27" s="128" t="s">
        <v>169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1"/>
      <c r="Q27" s="1"/>
      <c r="R27" s="1"/>
      <c r="S27" s="1"/>
      <c r="T27" s="1">
        <f t="shared" si="6"/>
        <v>0</v>
      </c>
    </row>
    <row r="28" spans="1:20" ht="15.75" customHeight="1">
      <c r="A28" s="126">
        <v>30849483</v>
      </c>
      <c r="B28" s="127" t="s">
        <v>359</v>
      </c>
      <c r="C28" s="128" t="s">
        <v>170</v>
      </c>
      <c r="D28" s="2"/>
      <c r="E28" s="2"/>
      <c r="F28" s="2"/>
      <c r="G28" s="2">
        <v>2</v>
      </c>
      <c r="H28" s="2"/>
      <c r="I28" s="2">
        <v>1</v>
      </c>
      <c r="J28" s="2"/>
      <c r="K28" s="2"/>
      <c r="L28" s="2">
        <v>1</v>
      </c>
      <c r="M28" s="2">
        <v>1</v>
      </c>
      <c r="N28" s="2"/>
      <c r="O28" s="2"/>
      <c r="P28" s="1">
        <v>2</v>
      </c>
      <c r="Q28" s="1">
        <v>2</v>
      </c>
      <c r="R28" s="1">
        <v>1</v>
      </c>
      <c r="S28" s="1"/>
      <c r="T28" s="1">
        <f t="shared" ref="T28:T29" si="7">SUM(B28:R28)</f>
        <v>10</v>
      </c>
    </row>
    <row r="29" spans="1:20" ht="15.75" customHeight="1">
      <c r="A29" s="126">
        <v>31382931</v>
      </c>
      <c r="B29" s="127" t="s">
        <v>360</v>
      </c>
      <c r="C29" s="128" t="s">
        <v>203</v>
      </c>
      <c r="D29" s="2">
        <v>1</v>
      </c>
      <c r="E29" s="2">
        <v>2</v>
      </c>
      <c r="F29" s="129">
        <v>2</v>
      </c>
      <c r="G29" s="2">
        <v>2</v>
      </c>
      <c r="H29" s="2">
        <v>1</v>
      </c>
      <c r="I29" s="129">
        <v>2</v>
      </c>
      <c r="J29" s="129"/>
      <c r="K29" s="2">
        <v>2</v>
      </c>
      <c r="L29" s="2"/>
      <c r="M29" s="2">
        <v>1</v>
      </c>
      <c r="N29" s="2">
        <v>3</v>
      </c>
      <c r="O29" s="2">
        <v>1</v>
      </c>
      <c r="P29" s="1"/>
      <c r="Q29" s="1"/>
      <c r="R29" s="1">
        <v>1</v>
      </c>
      <c r="S29" s="1"/>
      <c r="T29" s="1">
        <f t="shared" si="7"/>
        <v>18</v>
      </c>
    </row>
    <row r="30" spans="1:20" ht="15.75" customHeight="1">
      <c r="A30" s="126">
        <v>32336250</v>
      </c>
      <c r="B30" s="127" t="s">
        <v>361</v>
      </c>
      <c r="C30" s="128" t="s">
        <v>172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1"/>
      <c r="Q30" s="1"/>
      <c r="R30" s="1"/>
      <c r="S30" s="1"/>
      <c r="T30" s="1">
        <f t="shared" ref="T30:T32" si="8">SUM(B30:Q30)</f>
        <v>0</v>
      </c>
    </row>
    <row r="31" spans="1:20" ht="15.75" customHeight="1">
      <c r="A31" s="126">
        <v>32001498</v>
      </c>
      <c r="B31" s="127" t="s">
        <v>362</v>
      </c>
      <c r="C31" s="128" t="s">
        <v>173</v>
      </c>
      <c r="D31" s="2"/>
      <c r="E31" s="2"/>
      <c r="F31" s="2"/>
      <c r="G31" s="2">
        <v>2</v>
      </c>
      <c r="H31" s="2">
        <v>3</v>
      </c>
      <c r="I31" s="130">
        <v>2</v>
      </c>
      <c r="J31" s="130"/>
      <c r="K31" s="130">
        <v>2</v>
      </c>
      <c r="L31" s="130"/>
      <c r="M31" s="130">
        <v>1</v>
      </c>
      <c r="N31" s="130">
        <v>1</v>
      </c>
      <c r="O31" s="2"/>
      <c r="P31" s="1"/>
      <c r="Q31" s="1">
        <v>2</v>
      </c>
      <c r="R31" s="1"/>
      <c r="S31" s="1">
        <v>2</v>
      </c>
      <c r="T31" s="1">
        <f t="shared" si="8"/>
        <v>13</v>
      </c>
    </row>
    <row r="32" spans="1:20" ht="15.75" customHeight="1">
      <c r="A32" s="131"/>
      <c r="B32" s="132" t="s">
        <v>333</v>
      </c>
      <c r="C32" s="133"/>
      <c r="D32" s="1">
        <f t="shared" ref="D32:Q32" si="9">SUM(D2:D31)</f>
        <v>13</v>
      </c>
      <c r="E32" s="1">
        <f t="shared" si="9"/>
        <v>15</v>
      </c>
      <c r="F32" s="1">
        <f t="shared" si="9"/>
        <v>18</v>
      </c>
      <c r="G32" s="1">
        <f t="shared" si="9"/>
        <v>14</v>
      </c>
      <c r="H32" s="1">
        <f t="shared" si="9"/>
        <v>16</v>
      </c>
      <c r="I32" s="1">
        <f t="shared" si="9"/>
        <v>17</v>
      </c>
      <c r="J32" s="1">
        <f t="shared" si="9"/>
        <v>10</v>
      </c>
      <c r="K32" s="1">
        <f t="shared" si="9"/>
        <v>24</v>
      </c>
      <c r="L32" s="1">
        <f t="shared" si="9"/>
        <v>14</v>
      </c>
      <c r="M32" s="1">
        <f t="shared" si="9"/>
        <v>22</v>
      </c>
      <c r="N32" s="1">
        <f t="shared" si="9"/>
        <v>15</v>
      </c>
      <c r="O32" s="1">
        <f t="shared" si="9"/>
        <v>17</v>
      </c>
      <c r="P32" s="1">
        <f t="shared" si="9"/>
        <v>19</v>
      </c>
      <c r="Q32" s="1">
        <f t="shared" si="9"/>
        <v>19</v>
      </c>
      <c r="R32" s="1"/>
      <c r="S32" s="1"/>
      <c r="T32" s="1">
        <f t="shared" si="8"/>
        <v>233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legacy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Q3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10" defaultColWidth="14.5" defaultRowHeight="15" customHeight="1"/>
  <cols>
    <col min="2" max="2" width="21" customWidth="1"/>
    <col min="17" max="17" width="5.33203125" customWidth="1"/>
  </cols>
  <sheetData>
    <row r="1" spans="1:17">
      <c r="A1" s="2" t="s">
        <v>251</v>
      </c>
      <c r="B1" s="2" t="s">
        <v>197</v>
      </c>
      <c r="C1" s="117" t="s">
        <v>363</v>
      </c>
      <c r="D1" s="117" t="s">
        <v>364</v>
      </c>
      <c r="E1" s="117" t="s">
        <v>365</v>
      </c>
      <c r="F1" s="117" t="s">
        <v>366</v>
      </c>
      <c r="G1" s="117" t="s">
        <v>367</v>
      </c>
      <c r="H1" s="117" t="s">
        <v>368</v>
      </c>
      <c r="I1" s="117" t="s">
        <v>369</v>
      </c>
      <c r="J1" s="117" t="s">
        <v>370</v>
      </c>
      <c r="K1" s="117" t="s">
        <v>371</v>
      </c>
      <c r="L1" s="117" t="s">
        <v>372</v>
      </c>
      <c r="M1" s="117" t="s">
        <v>373</v>
      </c>
      <c r="N1" s="117" t="s">
        <v>374</v>
      </c>
      <c r="O1" s="117" t="s">
        <v>375</v>
      </c>
      <c r="P1" s="117" t="s">
        <v>376</v>
      </c>
      <c r="Q1" s="1" t="s">
        <v>12</v>
      </c>
    </row>
    <row r="2" spans="1:17">
      <c r="A2" s="117" t="s">
        <v>267</v>
      </c>
      <c r="B2" s="117" t="s">
        <v>268</v>
      </c>
      <c r="C2" s="2" t="b">
        <v>1</v>
      </c>
      <c r="D2" s="2" t="b">
        <v>1</v>
      </c>
      <c r="E2" s="2" t="b">
        <v>1</v>
      </c>
      <c r="F2" s="2" t="b">
        <v>1</v>
      </c>
      <c r="G2" s="2" t="b">
        <v>0</v>
      </c>
      <c r="H2" s="2" t="b">
        <v>0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0</v>
      </c>
      <c r="N2" s="2" t="b">
        <v>0</v>
      </c>
      <c r="O2" s="2" t="b">
        <v>0</v>
      </c>
      <c r="P2" s="2" t="b">
        <v>0</v>
      </c>
      <c r="Q2" s="134">
        <f t="shared" ref="Q2:Q31" si="0">COUNTIF(C2:P2,TRUE)/COUNTA(C$1:P$1)</f>
        <v>0.2857142857142857</v>
      </c>
    </row>
    <row r="3" spans="1:17">
      <c r="A3" s="117" t="s">
        <v>269</v>
      </c>
      <c r="B3" s="117" t="s">
        <v>270</v>
      </c>
      <c r="C3" s="2" t="b">
        <v>1</v>
      </c>
      <c r="D3" s="2" t="b">
        <v>1</v>
      </c>
      <c r="E3" s="2" t="b">
        <v>1</v>
      </c>
      <c r="F3" s="2" t="b">
        <v>1</v>
      </c>
      <c r="G3" s="2" t="b">
        <v>1</v>
      </c>
      <c r="H3" s="2" t="b">
        <v>1</v>
      </c>
      <c r="I3" s="2" t="b">
        <v>1</v>
      </c>
      <c r="J3" s="2" t="b">
        <v>1</v>
      </c>
      <c r="K3" s="2" t="b">
        <v>1</v>
      </c>
      <c r="L3" s="2" t="b">
        <v>1</v>
      </c>
      <c r="M3" s="2" t="b">
        <v>1</v>
      </c>
      <c r="N3" s="2" t="b">
        <v>1</v>
      </c>
      <c r="O3" s="2" t="b">
        <v>0</v>
      </c>
      <c r="P3" s="2" t="b">
        <v>0</v>
      </c>
      <c r="Q3" s="134">
        <f t="shared" si="0"/>
        <v>0.8571428571428571</v>
      </c>
    </row>
    <row r="4" spans="1:17">
      <c r="A4" s="117" t="s">
        <v>271</v>
      </c>
      <c r="B4" s="117" t="s">
        <v>272</v>
      </c>
      <c r="C4" s="2" t="b">
        <v>1</v>
      </c>
      <c r="D4" s="2" t="b">
        <v>1</v>
      </c>
      <c r="E4" s="2" t="b">
        <v>1</v>
      </c>
      <c r="F4" s="2" t="b">
        <v>1</v>
      </c>
      <c r="G4" s="2" t="b">
        <v>0</v>
      </c>
      <c r="H4" s="2" t="b">
        <v>1</v>
      </c>
      <c r="I4" s="2" t="b">
        <v>1</v>
      </c>
      <c r="J4" s="2" t="b">
        <v>1</v>
      </c>
      <c r="K4" s="2" t="b">
        <v>1</v>
      </c>
      <c r="L4" s="2" t="b">
        <v>1</v>
      </c>
      <c r="M4" s="2" t="b">
        <v>1</v>
      </c>
      <c r="N4" s="2" t="b">
        <v>1</v>
      </c>
      <c r="O4" s="2" t="b">
        <v>1</v>
      </c>
      <c r="P4" s="2" t="b">
        <v>1</v>
      </c>
      <c r="Q4" s="134">
        <f t="shared" si="0"/>
        <v>0.9285714285714286</v>
      </c>
    </row>
    <row r="5" spans="1:17">
      <c r="A5" s="117" t="s">
        <v>273</v>
      </c>
      <c r="B5" s="117" t="s">
        <v>274</v>
      </c>
      <c r="C5" s="2" t="b">
        <v>1</v>
      </c>
      <c r="D5" s="2" t="b">
        <v>1</v>
      </c>
      <c r="E5" s="2" t="b">
        <v>1</v>
      </c>
      <c r="F5" s="2" t="b">
        <v>1</v>
      </c>
      <c r="G5" s="2" t="b">
        <v>1</v>
      </c>
      <c r="H5" s="2" t="b">
        <v>1</v>
      </c>
      <c r="I5" s="2" t="b">
        <v>1</v>
      </c>
      <c r="J5" s="2" t="b">
        <v>1</v>
      </c>
      <c r="K5" s="2" t="b">
        <v>1</v>
      </c>
      <c r="L5" s="2" t="b">
        <v>1</v>
      </c>
      <c r="M5" s="2" t="b">
        <v>1</v>
      </c>
      <c r="N5" s="2" t="b">
        <v>1</v>
      </c>
      <c r="O5" s="2" t="b">
        <v>1</v>
      </c>
      <c r="P5" s="2" t="b">
        <v>0</v>
      </c>
      <c r="Q5" s="134">
        <f t="shared" si="0"/>
        <v>0.9285714285714286</v>
      </c>
    </row>
    <row r="6" spans="1:17">
      <c r="A6" s="117" t="s">
        <v>275</v>
      </c>
      <c r="B6" s="117" t="s">
        <v>276</v>
      </c>
      <c r="C6" s="2" t="b">
        <v>1</v>
      </c>
      <c r="D6" s="2" t="b">
        <v>1</v>
      </c>
      <c r="E6" s="2" t="b">
        <v>1</v>
      </c>
      <c r="F6" s="2" t="b">
        <v>1</v>
      </c>
      <c r="G6" s="2" t="b">
        <v>1</v>
      </c>
      <c r="H6" s="2" t="b">
        <v>0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0</v>
      </c>
      <c r="N6" s="2" t="b">
        <v>0</v>
      </c>
      <c r="O6" s="2" t="b">
        <v>0</v>
      </c>
      <c r="P6" s="2" t="b">
        <v>0</v>
      </c>
      <c r="Q6" s="134">
        <f t="shared" si="0"/>
        <v>0.35714285714285715</v>
      </c>
    </row>
    <row r="7" spans="1:17">
      <c r="A7" s="117" t="s">
        <v>277</v>
      </c>
      <c r="B7" s="117" t="s">
        <v>278</v>
      </c>
      <c r="C7" s="2" t="b">
        <v>0</v>
      </c>
      <c r="D7" s="2" t="b">
        <v>1</v>
      </c>
      <c r="E7" s="2" t="b">
        <v>1</v>
      </c>
      <c r="F7" s="2" t="b">
        <v>1</v>
      </c>
      <c r="G7" s="2" t="b">
        <v>1</v>
      </c>
      <c r="H7" s="2" t="b">
        <v>1</v>
      </c>
      <c r="I7" s="2" t="b">
        <v>0</v>
      </c>
      <c r="J7" s="2" t="b">
        <v>0</v>
      </c>
      <c r="K7" s="2" t="b">
        <v>0</v>
      </c>
      <c r="L7" s="2" t="b">
        <v>0</v>
      </c>
      <c r="M7" s="2" t="b">
        <v>0</v>
      </c>
      <c r="N7" s="2" t="b">
        <v>0</v>
      </c>
      <c r="O7" s="2" t="b">
        <v>0</v>
      </c>
      <c r="P7" s="2" t="b">
        <v>0</v>
      </c>
      <c r="Q7" s="134">
        <f t="shared" si="0"/>
        <v>0.35714285714285715</v>
      </c>
    </row>
    <row r="8" spans="1:17">
      <c r="A8" s="117" t="s">
        <v>279</v>
      </c>
      <c r="B8" s="117" t="s">
        <v>280</v>
      </c>
      <c r="C8" s="2" t="b">
        <v>0</v>
      </c>
      <c r="D8" s="2" t="b">
        <v>1</v>
      </c>
      <c r="E8" s="2" t="b">
        <v>1</v>
      </c>
      <c r="F8" s="2" t="b">
        <v>1</v>
      </c>
      <c r="G8" s="2" t="b">
        <v>0</v>
      </c>
      <c r="H8" s="2" t="b">
        <v>0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0</v>
      </c>
      <c r="N8" s="2" t="b">
        <v>0</v>
      </c>
      <c r="O8" s="2" t="b">
        <v>0</v>
      </c>
      <c r="P8" s="2" t="b">
        <v>0</v>
      </c>
      <c r="Q8" s="134">
        <f t="shared" si="0"/>
        <v>0.21428571428571427</v>
      </c>
    </row>
    <row r="9" spans="1:17">
      <c r="A9" s="117" t="s">
        <v>281</v>
      </c>
      <c r="B9" s="117" t="s">
        <v>282</v>
      </c>
      <c r="C9" s="2" t="b">
        <v>1</v>
      </c>
      <c r="D9" s="2" t="b">
        <v>1</v>
      </c>
      <c r="E9" s="2" t="b">
        <v>1</v>
      </c>
      <c r="F9" s="2" t="b">
        <v>1</v>
      </c>
      <c r="G9" s="2" t="b">
        <v>1</v>
      </c>
      <c r="H9" s="2" t="b">
        <v>1</v>
      </c>
      <c r="I9" s="2" t="b">
        <v>0</v>
      </c>
      <c r="J9" s="2" t="b">
        <v>0</v>
      </c>
      <c r="K9" s="2" t="b">
        <v>1</v>
      </c>
      <c r="L9" s="2" t="b">
        <v>0</v>
      </c>
      <c r="M9" s="2" t="b">
        <v>1</v>
      </c>
      <c r="N9" s="2" t="b">
        <v>0</v>
      </c>
      <c r="O9" s="2" t="b">
        <v>0</v>
      </c>
      <c r="P9" s="2" t="b">
        <v>0</v>
      </c>
      <c r="Q9" s="134">
        <f t="shared" si="0"/>
        <v>0.5714285714285714</v>
      </c>
    </row>
    <row r="10" spans="1:17">
      <c r="A10" s="120" t="s">
        <v>283</v>
      </c>
      <c r="B10" s="117" t="s">
        <v>284</v>
      </c>
      <c r="C10" s="2" t="b">
        <v>1</v>
      </c>
      <c r="D10" s="2" t="b">
        <v>1</v>
      </c>
      <c r="E10" s="2" t="b">
        <v>1</v>
      </c>
      <c r="F10" s="2" t="b">
        <v>1</v>
      </c>
      <c r="G10" s="2" t="b">
        <v>1</v>
      </c>
      <c r="H10" s="2" t="b">
        <v>1</v>
      </c>
      <c r="I10" s="2" t="b">
        <v>1</v>
      </c>
      <c r="J10" s="2" t="b">
        <v>1</v>
      </c>
      <c r="K10" s="2" t="b">
        <v>0</v>
      </c>
      <c r="L10" s="2" t="b">
        <v>1</v>
      </c>
      <c r="M10" s="2" t="b">
        <v>1</v>
      </c>
      <c r="N10" s="2" t="b">
        <v>1</v>
      </c>
      <c r="O10" s="2" t="b">
        <v>1</v>
      </c>
      <c r="P10" s="2" t="b">
        <v>0</v>
      </c>
      <c r="Q10" s="134">
        <f t="shared" si="0"/>
        <v>0.8571428571428571</v>
      </c>
    </row>
    <row r="11" spans="1:17">
      <c r="A11" s="117" t="s">
        <v>285</v>
      </c>
      <c r="B11" s="117" t="s">
        <v>286</v>
      </c>
      <c r="C11" s="2" t="b">
        <v>1</v>
      </c>
      <c r="D11" s="2" t="b">
        <v>1</v>
      </c>
      <c r="E11" s="2" t="b">
        <v>1</v>
      </c>
      <c r="F11" s="2" t="b">
        <v>1</v>
      </c>
      <c r="G11" s="2" t="b">
        <v>0</v>
      </c>
      <c r="H11" s="2" t="b">
        <v>1</v>
      </c>
      <c r="I11" s="2" t="b">
        <v>0</v>
      </c>
      <c r="J11" s="2" t="b">
        <v>0</v>
      </c>
      <c r="K11" s="2" t="b">
        <v>0</v>
      </c>
      <c r="L11" s="2" t="b">
        <v>0</v>
      </c>
      <c r="M11" s="2" t="b">
        <v>0</v>
      </c>
      <c r="N11" s="2" t="b">
        <v>0</v>
      </c>
      <c r="O11" s="2" t="b">
        <v>0</v>
      </c>
      <c r="P11" s="2" t="b">
        <v>0</v>
      </c>
      <c r="Q11" s="134">
        <f t="shared" si="0"/>
        <v>0.35714285714285715</v>
      </c>
    </row>
    <row r="12" spans="1:17">
      <c r="A12" s="117" t="s">
        <v>287</v>
      </c>
      <c r="B12" s="117" t="s">
        <v>288</v>
      </c>
      <c r="C12" s="2" t="b">
        <v>0</v>
      </c>
      <c r="D12" s="2" t="b">
        <v>1</v>
      </c>
      <c r="E12" s="2" t="b">
        <v>0</v>
      </c>
      <c r="F12" s="2" t="b">
        <v>0</v>
      </c>
      <c r="G12" s="2" t="b">
        <v>0</v>
      </c>
      <c r="H12" s="2" t="b">
        <v>0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0</v>
      </c>
      <c r="N12" s="2" t="b">
        <v>0</v>
      </c>
      <c r="O12" s="2" t="b">
        <v>0</v>
      </c>
      <c r="P12" s="2" t="b">
        <v>0</v>
      </c>
      <c r="Q12" s="134">
        <f t="shared" si="0"/>
        <v>7.1428571428571425E-2</v>
      </c>
    </row>
    <row r="13" spans="1:17">
      <c r="A13" s="117" t="s">
        <v>289</v>
      </c>
      <c r="B13" s="117" t="s">
        <v>290</v>
      </c>
      <c r="C13" s="2" t="b">
        <v>1</v>
      </c>
      <c r="D13" s="2" t="b">
        <v>1</v>
      </c>
      <c r="E13" s="2" t="b">
        <v>0</v>
      </c>
      <c r="F13" s="2" t="b">
        <v>0</v>
      </c>
      <c r="G13" s="2" t="b">
        <v>0</v>
      </c>
      <c r="H13" s="2" t="b">
        <v>1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0</v>
      </c>
      <c r="N13" s="2" t="b">
        <v>0</v>
      </c>
      <c r="O13" s="2" t="b">
        <v>0</v>
      </c>
      <c r="P13" s="2" t="b">
        <v>0</v>
      </c>
      <c r="Q13" s="134">
        <f t="shared" si="0"/>
        <v>0.21428571428571427</v>
      </c>
    </row>
    <row r="14" spans="1:17">
      <c r="A14" s="117" t="s">
        <v>291</v>
      </c>
      <c r="B14" s="117" t="s">
        <v>292</v>
      </c>
      <c r="C14" s="2" t="b">
        <v>0</v>
      </c>
      <c r="D14" s="2" t="b">
        <v>0</v>
      </c>
      <c r="E14" s="2" t="b">
        <v>0</v>
      </c>
      <c r="F14" s="2" t="b">
        <v>0</v>
      </c>
      <c r="G14" s="2" t="b">
        <v>0</v>
      </c>
      <c r="H14" s="2" t="b">
        <v>0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0</v>
      </c>
      <c r="N14" s="2" t="b">
        <v>0</v>
      </c>
      <c r="O14" s="2" t="b">
        <v>0</v>
      </c>
      <c r="P14" s="2" t="b">
        <v>0</v>
      </c>
      <c r="Q14" s="134">
        <f t="shared" si="0"/>
        <v>0</v>
      </c>
    </row>
    <row r="15" spans="1:17">
      <c r="A15" s="117" t="s">
        <v>293</v>
      </c>
      <c r="B15" s="117" t="s">
        <v>294</v>
      </c>
      <c r="C15" s="2" t="b">
        <v>1</v>
      </c>
      <c r="D15" s="2" t="b">
        <v>1</v>
      </c>
      <c r="E15" s="2" t="b">
        <v>1</v>
      </c>
      <c r="F15" s="2" t="b">
        <v>1</v>
      </c>
      <c r="G15" s="2" t="b">
        <v>1</v>
      </c>
      <c r="H15" s="2" t="b">
        <v>1</v>
      </c>
      <c r="I15" s="2" t="b">
        <v>1</v>
      </c>
      <c r="J15" s="2" t="b">
        <v>1</v>
      </c>
      <c r="K15" s="2" t="b">
        <v>1</v>
      </c>
      <c r="L15" s="2" t="b">
        <v>0</v>
      </c>
      <c r="M15" s="2" t="b">
        <v>1</v>
      </c>
      <c r="N15" s="2" t="b">
        <v>1</v>
      </c>
      <c r="O15" s="2" t="b">
        <v>1</v>
      </c>
      <c r="P15" s="2" t="b">
        <v>0</v>
      </c>
      <c r="Q15" s="134">
        <f t="shared" si="0"/>
        <v>0.8571428571428571</v>
      </c>
    </row>
    <row r="16" spans="1:17">
      <c r="A16" s="117" t="s">
        <v>295</v>
      </c>
      <c r="B16" s="117" t="s">
        <v>296</v>
      </c>
      <c r="C16" s="2" t="b">
        <v>1</v>
      </c>
      <c r="D16" s="2" t="b">
        <v>1</v>
      </c>
      <c r="E16" s="2" t="b">
        <v>1</v>
      </c>
      <c r="F16" s="2" t="b">
        <v>1</v>
      </c>
      <c r="G16" s="2" t="b">
        <v>1</v>
      </c>
      <c r="H16" s="2" t="b">
        <v>0</v>
      </c>
      <c r="I16" s="2" t="b">
        <v>0</v>
      </c>
      <c r="J16" s="2" t="b">
        <v>0</v>
      </c>
      <c r="K16" s="2" t="b">
        <v>0</v>
      </c>
      <c r="L16" s="2" t="b">
        <v>0</v>
      </c>
      <c r="M16" s="2" t="b">
        <v>0</v>
      </c>
      <c r="N16" s="2" t="b">
        <v>0</v>
      </c>
      <c r="O16" s="2" t="b">
        <v>0</v>
      </c>
      <c r="P16" s="2" t="b">
        <v>0</v>
      </c>
      <c r="Q16" s="134">
        <f t="shared" si="0"/>
        <v>0.35714285714285715</v>
      </c>
    </row>
    <row r="17" spans="1:17">
      <c r="A17" s="117" t="s">
        <v>297</v>
      </c>
      <c r="B17" s="117" t="s">
        <v>298</v>
      </c>
      <c r="C17" s="2" t="b">
        <v>1</v>
      </c>
      <c r="D17" s="2" t="b">
        <v>1</v>
      </c>
      <c r="E17" s="2" t="b">
        <v>1</v>
      </c>
      <c r="F17" s="2" t="b">
        <v>1</v>
      </c>
      <c r="G17" s="2" t="b">
        <v>1</v>
      </c>
      <c r="H17" s="2" t="b">
        <v>1</v>
      </c>
      <c r="I17" s="2" t="b">
        <v>1</v>
      </c>
      <c r="J17" s="2" t="b">
        <v>1</v>
      </c>
      <c r="K17" s="2" t="b">
        <v>1</v>
      </c>
      <c r="L17" s="2" t="b">
        <v>1</v>
      </c>
      <c r="M17" s="2" t="b">
        <v>1</v>
      </c>
      <c r="N17" s="2" t="b">
        <v>1</v>
      </c>
      <c r="O17" s="2" t="b">
        <v>1</v>
      </c>
      <c r="P17" s="2" t="b">
        <v>0</v>
      </c>
      <c r="Q17" s="134">
        <f t="shared" si="0"/>
        <v>0.9285714285714286</v>
      </c>
    </row>
    <row r="18" spans="1:17">
      <c r="A18" s="117" t="s">
        <v>299</v>
      </c>
      <c r="B18" s="117" t="s">
        <v>300</v>
      </c>
      <c r="C18" s="2" t="b">
        <v>0</v>
      </c>
      <c r="D18" s="2" t="b">
        <v>0</v>
      </c>
      <c r="E18" s="2" t="b">
        <v>0</v>
      </c>
      <c r="F18" s="2" t="b">
        <v>0</v>
      </c>
      <c r="G18" s="2" t="b">
        <v>0</v>
      </c>
      <c r="H18" s="2" t="b">
        <v>0</v>
      </c>
      <c r="I18" s="2" t="b">
        <v>0</v>
      </c>
      <c r="J18" s="2" t="b">
        <v>0</v>
      </c>
      <c r="K18" s="2" t="b">
        <v>0</v>
      </c>
      <c r="L18" s="2" t="b">
        <v>0</v>
      </c>
      <c r="M18" s="2" t="b">
        <v>0</v>
      </c>
      <c r="N18" s="2" t="b">
        <v>0</v>
      </c>
      <c r="O18" s="2" t="b">
        <v>0</v>
      </c>
      <c r="P18" s="2" t="b">
        <v>0</v>
      </c>
      <c r="Q18" s="134">
        <f t="shared" si="0"/>
        <v>0</v>
      </c>
    </row>
    <row r="19" spans="1:17">
      <c r="A19" s="117" t="s">
        <v>301</v>
      </c>
      <c r="B19" s="117" t="s">
        <v>302</v>
      </c>
      <c r="C19" s="2" t="b">
        <v>1</v>
      </c>
      <c r="D19" s="2" t="b">
        <v>1</v>
      </c>
      <c r="E19" s="2" t="b">
        <v>1</v>
      </c>
      <c r="F19" s="2" t="b">
        <v>1</v>
      </c>
      <c r="G19" s="2" t="b">
        <v>1</v>
      </c>
      <c r="H19" s="2" t="b">
        <v>1</v>
      </c>
      <c r="I19" s="2" t="b">
        <v>1</v>
      </c>
      <c r="J19" s="2" t="b">
        <v>1</v>
      </c>
      <c r="K19" s="2" t="b">
        <v>1</v>
      </c>
      <c r="L19" s="2" t="b">
        <v>1</v>
      </c>
      <c r="M19" s="2" t="b">
        <v>1</v>
      </c>
      <c r="N19" s="2" t="b">
        <v>1</v>
      </c>
      <c r="O19" s="2" t="b">
        <v>1</v>
      </c>
      <c r="P19" s="2" t="b">
        <v>1</v>
      </c>
      <c r="Q19" s="134">
        <f t="shared" si="0"/>
        <v>1</v>
      </c>
    </row>
    <row r="20" spans="1:17">
      <c r="A20" s="117" t="s">
        <v>303</v>
      </c>
      <c r="B20" s="117" t="s">
        <v>304</v>
      </c>
      <c r="C20" s="2" t="b">
        <v>1</v>
      </c>
      <c r="D20" s="2" t="b">
        <v>1</v>
      </c>
      <c r="E20" s="2" t="b">
        <v>1</v>
      </c>
      <c r="F20" s="2" t="b">
        <v>0</v>
      </c>
      <c r="G20" s="2" t="b">
        <v>0</v>
      </c>
      <c r="H20" s="2" t="b">
        <v>0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0</v>
      </c>
      <c r="N20" s="2" t="b">
        <v>0</v>
      </c>
      <c r="O20" s="2" t="b">
        <v>0</v>
      </c>
      <c r="P20" s="2" t="b">
        <v>0</v>
      </c>
      <c r="Q20" s="134">
        <f t="shared" si="0"/>
        <v>0.21428571428571427</v>
      </c>
    </row>
    <row r="21" spans="1:17">
      <c r="A21" s="117" t="s">
        <v>305</v>
      </c>
      <c r="B21" s="117" t="s">
        <v>306</v>
      </c>
      <c r="C21" s="2" t="b">
        <v>1</v>
      </c>
      <c r="D21" s="2" t="b">
        <v>1</v>
      </c>
      <c r="E21" s="2" t="b">
        <v>1</v>
      </c>
      <c r="F21" s="2" t="b">
        <v>1</v>
      </c>
      <c r="G21" s="2" t="b">
        <v>1</v>
      </c>
      <c r="H21" s="2" t="b">
        <v>1</v>
      </c>
      <c r="I21" s="2" t="b">
        <v>1</v>
      </c>
      <c r="J21" s="2" t="b">
        <v>1</v>
      </c>
      <c r="K21" s="2" t="b">
        <v>1</v>
      </c>
      <c r="L21" s="2" t="b">
        <v>1</v>
      </c>
      <c r="M21" s="2" t="b">
        <v>1</v>
      </c>
      <c r="N21" s="2" t="b">
        <v>1</v>
      </c>
      <c r="O21" s="2" t="b">
        <v>1</v>
      </c>
      <c r="P21" s="2" t="b">
        <v>1</v>
      </c>
      <c r="Q21" s="134">
        <f t="shared" si="0"/>
        <v>1</v>
      </c>
    </row>
    <row r="22" spans="1:17">
      <c r="A22" s="117" t="s">
        <v>307</v>
      </c>
      <c r="B22" s="117" t="s">
        <v>308</v>
      </c>
      <c r="C22" s="2" t="b">
        <v>1</v>
      </c>
      <c r="D22" s="2" t="b">
        <v>1</v>
      </c>
      <c r="E22" s="2" t="b">
        <v>1</v>
      </c>
      <c r="F22" s="2" t="b">
        <v>0</v>
      </c>
      <c r="G22" s="2" t="b">
        <v>0</v>
      </c>
      <c r="H22" s="2" t="b">
        <v>1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0</v>
      </c>
      <c r="N22" s="2" t="b">
        <v>0</v>
      </c>
      <c r="O22" s="2" t="b">
        <v>0</v>
      </c>
      <c r="P22" s="2" t="b">
        <v>0</v>
      </c>
      <c r="Q22" s="134">
        <f t="shared" si="0"/>
        <v>0.2857142857142857</v>
      </c>
    </row>
    <row r="23" spans="1:17">
      <c r="A23" s="117" t="s">
        <v>309</v>
      </c>
      <c r="B23" s="117" t="s">
        <v>310</v>
      </c>
      <c r="C23" s="2" t="b">
        <v>1</v>
      </c>
      <c r="D23" s="2" t="b">
        <v>1</v>
      </c>
      <c r="E23" s="2" t="b">
        <v>1</v>
      </c>
      <c r="F23" s="2" t="b">
        <v>1</v>
      </c>
      <c r="G23" s="2" t="b">
        <v>0</v>
      </c>
      <c r="H23" s="2" t="b">
        <v>0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0</v>
      </c>
      <c r="N23" s="2" t="b">
        <v>0</v>
      </c>
      <c r="O23" s="2" t="b">
        <v>0</v>
      </c>
      <c r="P23" s="2" t="b">
        <v>0</v>
      </c>
      <c r="Q23" s="134">
        <f t="shared" si="0"/>
        <v>0.2857142857142857</v>
      </c>
    </row>
    <row r="24" spans="1:17">
      <c r="A24" s="117" t="s">
        <v>311</v>
      </c>
      <c r="B24" s="117" t="s">
        <v>312</v>
      </c>
      <c r="C24" s="2" t="b">
        <v>1</v>
      </c>
      <c r="D24" s="2" t="b">
        <v>1</v>
      </c>
      <c r="E24" s="2" t="b">
        <v>1</v>
      </c>
      <c r="F24" s="2" t="b">
        <v>1</v>
      </c>
      <c r="G24" s="2" t="b">
        <v>1</v>
      </c>
      <c r="H24" s="2" t="b">
        <v>0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0</v>
      </c>
      <c r="N24" s="2" t="b">
        <v>0</v>
      </c>
      <c r="O24" s="2" t="b">
        <v>0</v>
      </c>
      <c r="P24" s="2" t="b">
        <v>0</v>
      </c>
      <c r="Q24" s="134">
        <f t="shared" si="0"/>
        <v>0.35714285714285715</v>
      </c>
    </row>
    <row r="25" spans="1:17">
      <c r="A25" s="117" t="s">
        <v>313</v>
      </c>
      <c r="B25" s="117" t="s">
        <v>314</v>
      </c>
      <c r="C25" s="2" t="b">
        <v>1</v>
      </c>
      <c r="D25" s="2" t="b">
        <v>1</v>
      </c>
      <c r="E25" s="2" t="b">
        <v>1</v>
      </c>
      <c r="F25" s="2" t="b">
        <v>1</v>
      </c>
      <c r="G25" s="2" t="b">
        <v>0</v>
      </c>
      <c r="H25" s="2" t="b">
        <v>0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0</v>
      </c>
      <c r="N25" s="2" t="b">
        <v>0</v>
      </c>
      <c r="O25" s="2" t="b">
        <v>0</v>
      </c>
      <c r="P25" s="2" t="b">
        <v>0</v>
      </c>
      <c r="Q25" s="134">
        <f t="shared" si="0"/>
        <v>0.2857142857142857</v>
      </c>
    </row>
    <row r="26" spans="1:17">
      <c r="A26" s="117" t="s">
        <v>315</v>
      </c>
      <c r="B26" s="117" t="s">
        <v>316</v>
      </c>
      <c r="C26" s="2" t="b">
        <v>1</v>
      </c>
      <c r="D26" s="2" t="b">
        <v>1</v>
      </c>
      <c r="E26" s="2" t="b">
        <v>1</v>
      </c>
      <c r="F26" s="2" t="b">
        <v>0</v>
      </c>
      <c r="G26" s="2" t="b">
        <v>0</v>
      </c>
      <c r="H26" s="2" t="b">
        <v>0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0</v>
      </c>
      <c r="N26" s="2" t="b">
        <v>0</v>
      </c>
      <c r="O26" s="2" t="b">
        <v>0</v>
      </c>
      <c r="P26" s="2" t="b">
        <v>0</v>
      </c>
      <c r="Q26" s="134">
        <f t="shared" si="0"/>
        <v>0.21428571428571427</v>
      </c>
    </row>
    <row r="27" spans="1:17">
      <c r="A27" s="117" t="s">
        <v>317</v>
      </c>
      <c r="B27" s="117" t="s">
        <v>318</v>
      </c>
      <c r="C27" s="2" t="b">
        <v>1</v>
      </c>
      <c r="D27" s="2" t="b">
        <v>1</v>
      </c>
      <c r="E27" s="2" t="b">
        <v>0</v>
      </c>
      <c r="F27" s="2" t="b">
        <v>0</v>
      </c>
      <c r="G27" s="2" t="b">
        <v>0</v>
      </c>
      <c r="H27" s="2" t="b">
        <v>0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0</v>
      </c>
      <c r="N27" s="2" t="b">
        <v>0</v>
      </c>
      <c r="O27" s="2" t="b">
        <v>0</v>
      </c>
      <c r="P27" s="2" t="b">
        <v>0</v>
      </c>
      <c r="Q27" s="134">
        <f t="shared" si="0"/>
        <v>0.14285714285714285</v>
      </c>
    </row>
    <row r="28" spans="1:17">
      <c r="A28" s="117" t="s">
        <v>319</v>
      </c>
      <c r="B28" s="117" t="s">
        <v>320</v>
      </c>
      <c r="C28" s="2" t="b">
        <v>1</v>
      </c>
      <c r="D28" s="2" t="b">
        <v>1</v>
      </c>
      <c r="E28" s="2" t="b">
        <v>1</v>
      </c>
      <c r="F28" s="2" t="b">
        <v>1</v>
      </c>
      <c r="G28" s="2" t="b">
        <v>0</v>
      </c>
      <c r="H28" s="2" t="b">
        <v>0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0</v>
      </c>
      <c r="N28" s="2" t="b">
        <v>0</v>
      </c>
      <c r="O28" s="2" t="b">
        <v>0</v>
      </c>
      <c r="P28" s="2" t="b">
        <v>0</v>
      </c>
      <c r="Q28" s="134">
        <f t="shared" si="0"/>
        <v>0.2857142857142857</v>
      </c>
    </row>
    <row r="29" spans="1:17">
      <c r="A29" s="117" t="s">
        <v>321</v>
      </c>
      <c r="B29" s="117" t="s">
        <v>322</v>
      </c>
      <c r="C29" s="2" t="b">
        <v>1</v>
      </c>
      <c r="D29" s="2" t="b">
        <v>1</v>
      </c>
      <c r="E29" s="2" t="b">
        <v>1</v>
      </c>
      <c r="F29" s="2" t="b">
        <v>0</v>
      </c>
      <c r="G29" s="2" t="b">
        <v>1</v>
      </c>
      <c r="H29" s="2" t="b">
        <v>0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0</v>
      </c>
      <c r="N29" s="2" t="b">
        <v>0</v>
      </c>
      <c r="O29" s="2" t="b">
        <v>0</v>
      </c>
      <c r="P29" s="2" t="b">
        <v>0</v>
      </c>
      <c r="Q29" s="134">
        <f t="shared" si="0"/>
        <v>0.2857142857142857</v>
      </c>
    </row>
    <row r="30" spans="1:17">
      <c r="A30" s="117" t="s">
        <v>323</v>
      </c>
      <c r="B30" s="117" t="s">
        <v>324</v>
      </c>
      <c r="C30" s="2" t="b">
        <v>0</v>
      </c>
      <c r="D30" s="2" t="b">
        <v>0</v>
      </c>
      <c r="E30" s="2" t="b">
        <v>0</v>
      </c>
      <c r="F30" s="2" t="b">
        <v>0</v>
      </c>
      <c r="G30" s="2" t="b">
        <v>0</v>
      </c>
      <c r="H30" s="2" t="b">
        <v>0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0</v>
      </c>
      <c r="N30" s="2" t="b">
        <v>0</v>
      </c>
      <c r="O30" s="2" t="b">
        <v>0</v>
      </c>
      <c r="P30" s="2" t="b">
        <v>0</v>
      </c>
      <c r="Q30" s="134">
        <f t="shared" si="0"/>
        <v>0</v>
      </c>
    </row>
    <row r="31" spans="1:17">
      <c r="A31" s="117" t="s">
        <v>325</v>
      </c>
      <c r="B31" s="117" t="s">
        <v>326</v>
      </c>
      <c r="C31" s="2" t="b">
        <v>0</v>
      </c>
      <c r="D31" s="2" t="b">
        <v>1</v>
      </c>
      <c r="E31" s="2" t="b">
        <v>1</v>
      </c>
      <c r="F31" s="2" t="b">
        <v>1</v>
      </c>
      <c r="G31" s="2" t="b">
        <v>1</v>
      </c>
      <c r="H31" s="2" t="b">
        <v>0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0</v>
      </c>
      <c r="N31" s="2" t="b">
        <v>0</v>
      </c>
      <c r="O31" s="2" t="b">
        <v>0</v>
      </c>
      <c r="P31" s="2" t="b">
        <v>0</v>
      </c>
      <c r="Q31" s="134">
        <f t="shared" si="0"/>
        <v>0.2857142857142857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N53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10" defaultColWidth="14.5" defaultRowHeight="15" customHeight="1"/>
  <cols>
    <col min="1" max="1" width="11" customWidth="1"/>
    <col min="2" max="2" width="13.1640625" customWidth="1"/>
    <col min="3" max="3" width="42.5" customWidth="1"/>
    <col min="4" max="4" width="8" customWidth="1"/>
    <col min="5" max="11" width="12.1640625" customWidth="1"/>
    <col min="12" max="12" width="8.1640625" customWidth="1"/>
  </cols>
  <sheetData>
    <row r="1" spans="1:14">
      <c r="A1" s="135" t="s">
        <v>377</v>
      </c>
      <c r="B1" s="136" t="s">
        <v>378</v>
      </c>
      <c r="C1" s="136" t="s">
        <v>378</v>
      </c>
      <c r="D1" s="136" t="s">
        <v>378</v>
      </c>
      <c r="E1" s="136" t="s">
        <v>378</v>
      </c>
      <c r="F1" s="136" t="s">
        <v>378</v>
      </c>
      <c r="G1" s="136" t="s">
        <v>378</v>
      </c>
      <c r="H1" s="136" t="s">
        <v>378</v>
      </c>
      <c r="I1" s="136" t="s">
        <v>378</v>
      </c>
      <c r="J1" s="136" t="s">
        <v>378</v>
      </c>
      <c r="K1" s="136" t="s">
        <v>378</v>
      </c>
      <c r="L1" s="136" t="s">
        <v>378</v>
      </c>
    </row>
    <row r="2" spans="1:14">
      <c r="A2" s="137" t="s">
        <v>379</v>
      </c>
      <c r="B2" s="136" t="s">
        <v>378</v>
      </c>
      <c r="C2" s="136" t="s">
        <v>378</v>
      </c>
      <c r="D2" s="136" t="s">
        <v>378</v>
      </c>
      <c r="E2" s="138" t="s">
        <v>380</v>
      </c>
      <c r="F2" s="138" t="s">
        <v>381</v>
      </c>
      <c r="G2" s="138" t="s">
        <v>382</v>
      </c>
      <c r="H2" s="138" t="s">
        <v>383</v>
      </c>
      <c r="I2" s="138" t="s">
        <v>384</v>
      </c>
      <c r="J2" s="138" t="s">
        <v>385</v>
      </c>
      <c r="K2" s="138" t="s">
        <v>386</v>
      </c>
      <c r="L2" s="138" t="s">
        <v>387</v>
      </c>
    </row>
    <row r="3" spans="1:14">
      <c r="A3" s="139" t="str">
        <f>HYPERLINK("https://classroom.google.com/c/NzQ2NzcxMDkxODky", UPPER("Abrir Classroom"))</f>
        <v>ABRIR CLASSROOM</v>
      </c>
      <c r="B3" s="136" t="s">
        <v>378</v>
      </c>
      <c r="C3" s="136" t="s">
        <v>378</v>
      </c>
      <c r="D3" s="136" t="s">
        <v>378</v>
      </c>
      <c r="E3" s="140">
        <v>1</v>
      </c>
      <c r="F3" s="140">
        <v>1</v>
      </c>
      <c r="G3" s="140">
        <v>1</v>
      </c>
      <c r="H3" s="140">
        <v>1</v>
      </c>
      <c r="I3" s="140">
        <v>1</v>
      </c>
      <c r="J3" s="140">
        <v>1</v>
      </c>
      <c r="K3" s="140">
        <v>1</v>
      </c>
      <c r="L3" s="140">
        <v>3</v>
      </c>
    </row>
    <row r="4" spans="1:14">
      <c r="A4" s="141" t="s">
        <v>378</v>
      </c>
      <c r="B4" s="141" t="s">
        <v>378</v>
      </c>
      <c r="C4" s="141" t="s">
        <v>378</v>
      </c>
      <c r="D4" s="141" t="s">
        <v>378</v>
      </c>
      <c r="E4" s="141" t="s">
        <v>378</v>
      </c>
      <c r="F4" s="141" t="s">
        <v>378</v>
      </c>
      <c r="G4" s="141" t="s">
        <v>378</v>
      </c>
      <c r="H4" s="141" t="s">
        <v>378</v>
      </c>
      <c r="I4" s="141" t="s">
        <v>378</v>
      </c>
      <c r="J4" s="141" t="s">
        <v>378</v>
      </c>
      <c r="K4" s="141" t="s">
        <v>378</v>
      </c>
      <c r="L4" s="141" t="s">
        <v>378</v>
      </c>
    </row>
    <row r="5" spans="1:14">
      <c r="A5" s="142" t="s">
        <v>388</v>
      </c>
      <c r="B5" s="143" t="s">
        <v>378</v>
      </c>
      <c r="C5" s="143" t="s">
        <v>378</v>
      </c>
      <c r="D5" s="144">
        <v>0.44516129030000001</v>
      </c>
      <c r="E5" s="145">
        <v>0.1935483871</v>
      </c>
      <c r="F5" s="145">
        <v>0.16129032260000001</v>
      </c>
      <c r="G5" s="145">
        <v>0.25806451609999997</v>
      </c>
      <c r="H5" s="145">
        <v>0.1935483871</v>
      </c>
      <c r="I5" s="145">
        <v>0.38709677419999999</v>
      </c>
      <c r="J5" s="145">
        <v>0.48387096769999999</v>
      </c>
      <c r="K5" s="145">
        <v>0.25806451609999997</v>
      </c>
      <c r="L5" s="145">
        <v>2.5161290319999998</v>
      </c>
      <c r="M5" s="2" t="s">
        <v>389</v>
      </c>
      <c r="N5" s="2" t="s">
        <v>390</v>
      </c>
    </row>
    <row r="6" spans="1:14">
      <c r="A6" s="146" t="s">
        <v>391</v>
      </c>
      <c r="B6" s="146" t="s">
        <v>392</v>
      </c>
      <c r="C6" s="146" t="s">
        <v>393</v>
      </c>
      <c r="D6" s="147">
        <v>0.6</v>
      </c>
      <c r="E6" s="148">
        <v>0</v>
      </c>
      <c r="F6" s="148">
        <v>0</v>
      </c>
      <c r="G6" s="148">
        <v>0</v>
      </c>
      <c r="H6" s="148">
        <v>0</v>
      </c>
      <c r="I6" s="148">
        <v>0</v>
      </c>
      <c r="J6" s="148">
        <v>0</v>
      </c>
      <c r="K6" s="148">
        <v>0</v>
      </c>
      <c r="L6" s="149">
        <v>2</v>
      </c>
      <c r="M6" s="10">
        <f t="shared" ref="M6:M53" si="0">SUM(E6:K6)/8</f>
        <v>0</v>
      </c>
      <c r="N6" s="150">
        <f t="shared" ref="N6:N53" si="1">M6*6+IF(L6&gt;0,4,0)</f>
        <v>4</v>
      </c>
    </row>
    <row r="7" spans="1:14">
      <c r="A7" s="146" t="s">
        <v>394</v>
      </c>
      <c r="B7" s="146" t="s">
        <v>395</v>
      </c>
      <c r="C7" s="146" t="s">
        <v>396</v>
      </c>
      <c r="D7" s="151" t="s">
        <v>378</v>
      </c>
      <c r="E7" s="131"/>
      <c r="F7" s="131"/>
      <c r="G7" s="131"/>
      <c r="H7" s="131"/>
      <c r="I7" s="131"/>
      <c r="J7" s="131"/>
      <c r="K7" s="131"/>
      <c r="L7" s="152"/>
      <c r="M7" s="10">
        <f t="shared" si="0"/>
        <v>0</v>
      </c>
      <c r="N7" s="150">
        <f t="shared" si="1"/>
        <v>0</v>
      </c>
    </row>
    <row r="8" spans="1:14">
      <c r="A8" s="146" t="s">
        <v>397</v>
      </c>
      <c r="B8" s="146" t="s">
        <v>398</v>
      </c>
      <c r="C8" s="146" t="s">
        <v>399</v>
      </c>
      <c r="D8" s="147">
        <v>0.7</v>
      </c>
      <c r="E8" s="148">
        <v>0</v>
      </c>
      <c r="F8" s="148">
        <v>0</v>
      </c>
      <c r="G8" s="148">
        <v>0</v>
      </c>
      <c r="H8" s="148">
        <v>0</v>
      </c>
      <c r="I8" s="148">
        <v>0</v>
      </c>
      <c r="J8" s="148">
        <v>0</v>
      </c>
      <c r="K8" s="148">
        <v>0</v>
      </c>
      <c r="L8" s="149">
        <v>3</v>
      </c>
      <c r="M8" s="10">
        <f t="shared" si="0"/>
        <v>0</v>
      </c>
      <c r="N8" s="150">
        <f t="shared" si="1"/>
        <v>4</v>
      </c>
    </row>
    <row r="9" spans="1:14">
      <c r="A9" s="146" t="s">
        <v>400</v>
      </c>
      <c r="B9" s="146" t="s">
        <v>31</v>
      </c>
      <c r="C9" s="146" t="s">
        <v>401</v>
      </c>
      <c r="D9" s="147">
        <v>1.45</v>
      </c>
      <c r="E9" s="148">
        <v>1</v>
      </c>
      <c r="F9" s="148">
        <v>0</v>
      </c>
      <c r="G9" s="148">
        <v>0</v>
      </c>
      <c r="H9" s="148">
        <v>0</v>
      </c>
      <c r="I9" s="148">
        <v>1</v>
      </c>
      <c r="J9" s="148">
        <v>1</v>
      </c>
      <c r="K9" s="148">
        <v>1</v>
      </c>
      <c r="L9" s="149">
        <v>3</v>
      </c>
      <c r="M9" s="10">
        <f t="shared" si="0"/>
        <v>0.5</v>
      </c>
      <c r="N9" s="150">
        <f t="shared" si="1"/>
        <v>7</v>
      </c>
    </row>
    <row r="10" spans="1:14">
      <c r="A10" s="146" t="s">
        <v>87</v>
      </c>
      <c r="B10" s="146" t="s">
        <v>88</v>
      </c>
      <c r="C10" s="146" t="s">
        <v>301</v>
      </c>
      <c r="D10" s="147">
        <v>1.075</v>
      </c>
      <c r="E10" s="148">
        <v>0</v>
      </c>
      <c r="F10" s="148">
        <v>0</v>
      </c>
      <c r="G10" s="148">
        <v>0</v>
      </c>
      <c r="H10" s="148">
        <v>0</v>
      </c>
      <c r="I10" s="148">
        <v>0</v>
      </c>
      <c r="J10" s="148">
        <f t="shared" ref="J10:K10" si="2">J22</f>
        <v>1</v>
      </c>
      <c r="K10" s="148">
        <f t="shared" si="2"/>
        <v>1</v>
      </c>
      <c r="L10" s="149">
        <v>3</v>
      </c>
      <c r="M10" s="10">
        <f t="shared" si="0"/>
        <v>0.25</v>
      </c>
      <c r="N10" s="150">
        <f t="shared" si="1"/>
        <v>5.5</v>
      </c>
    </row>
    <row r="11" spans="1:14">
      <c r="A11" s="146" t="s">
        <v>402</v>
      </c>
      <c r="B11" s="146" t="s">
        <v>403</v>
      </c>
      <c r="C11" s="146" t="s">
        <v>404</v>
      </c>
      <c r="D11" s="147">
        <v>0.97499999999999998</v>
      </c>
      <c r="E11" s="148">
        <v>0</v>
      </c>
      <c r="F11" s="148">
        <v>0</v>
      </c>
      <c r="G11" s="148">
        <v>0</v>
      </c>
      <c r="H11" s="148">
        <v>0</v>
      </c>
      <c r="I11" s="148">
        <v>1</v>
      </c>
      <c r="J11" s="148">
        <v>1</v>
      </c>
      <c r="K11" s="148">
        <v>0</v>
      </c>
      <c r="L11" s="149">
        <v>2</v>
      </c>
      <c r="M11" s="10">
        <f t="shared" si="0"/>
        <v>0.25</v>
      </c>
      <c r="N11" s="150">
        <f t="shared" si="1"/>
        <v>5.5</v>
      </c>
    </row>
    <row r="12" spans="1:14">
      <c r="A12" s="146" t="s">
        <v>405</v>
      </c>
      <c r="B12" s="146" t="s">
        <v>403</v>
      </c>
      <c r="C12" s="146" t="s">
        <v>406</v>
      </c>
      <c r="D12" s="147">
        <v>1.075</v>
      </c>
      <c r="E12" s="148">
        <v>0</v>
      </c>
      <c r="F12" s="148">
        <v>0</v>
      </c>
      <c r="G12" s="148">
        <v>0</v>
      </c>
      <c r="H12" s="148">
        <v>0</v>
      </c>
      <c r="I12" s="148">
        <v>1</v>
      </c>
      <c r="J12" s="148">
        <v>0</v>
      </c>
      <c r="K12" s="148">
        <v>1</v>
      </c>
      <c r="L12" s="149">
        <v>3</v>
      </c>
      <c r="M12" s="10">
        <f t="shared" si="0"/>
        <v>0.25</v>
      </c>
      <c r="N12" s="150">
        <f t="shared" si="1"/>
        <v>5.5</v>
      </c>
    </row>
    <row r="13" spans="1:14">
      <c r="A13" s="146" t="s">
        <v>407</v>
      </c>
      <c r="B13" s="146" t="s">
        <v>403</v>
      </c>
      <c r="C13" s="146" t="s">
        <v>408</v>
      </c>
      <c r="D13" s="147">
        <v>0.7</v>
      </c>
      <c r="E13" s="148">
        <v>0</v>
      </c>
      <c r="F13" s="148">
        <v>0</v>
      </c>
      <c r="G13" s="148">
        <v>0</v>
      </c>
      <c r="H13" s="148">
        <v>0</v>
      </c>
      <c r="I13" s="148">
        <v>0</v>
      </c>
      <c r="J13" s="148">
        <v>0</v>
      </c>
      <c r="K13" s="148">
        <v>0</v>
      </c>
      <c r="L13" s="149">
        <v>3</v>
      </c>
      <c r="M13" s="10">
        <f t="shared" si="0"/>
        <v>0</v>
      </c>
      <c r="N13" s="150">
        <f t="shared" si="1"/>
        <v>4</v>
      </c>
    </row>
    <row r="14" spans="1:14">
      <c r="A14" s="146" t="s">
        <v>409</v>
      </c>
      <c r="B14" s="146" t="s">
        <v>403</v>
      </c>
      <c r="C14" s="146" t="s">
        <v>410</v>
      </c>
      <c r="D14" s="147">
        <v>1.1625000000000001</v>
      </c>
      <c r="E14" s="148">
        <v>0</v>
      </c>
      <c r="F14" s="148">
        <v>0</v>
      </c>
      <c r="G14" s="148">
        <v>1</v>
      </c>
      <c r="H14" s="148">
        <v>0</v>
      </c>
      <c r="I14" s="148">
        <v>1</v>
      </c>
      <c r="J14" s="148">
        <v>1</v>
      </c>
      <c r="K14" s="148">
        <v>0</v>
      </c>
      <c r="L14" s="149">
        <v>2</v>
      </c>
      <c r="M14" s="10">
        <f t="shared" si="0"/>
        <v>0.375</v>
      </c>
      <c r="N14" s="150">
        <f t="shared" si="1"/>
        <v>6.25</v>
      </c>
    </row>
    <row r="15" spans="1:14">
      <c r="A15" s="146" t="s">
        <v>411</v>
      </c>
      <c r="B15" s="146" t="s">
        <v>412</v>
      </c>
      <c r="C15" s="146" t="s">
        <v>413</v>
      </c>
      <c r="D15" s="147">
        <v>0.78749999999999998</v>
      </c>
      <c r="E15" s="148">
        <v>0</v>
      </c>
      <c r="F15" s="148">
        <v>0</v>
      </c>
      <c r="G15" s="148">
        <v>0</v>
      </c>
      <c r="H15" s="148">
        <v>0</v>
      </c>
      <c r="I15" s="148">
        <v>0</v>
      </c>
      <c r="J15" s="148">
        <v>1</v>
      </c>
      <c r="K15" s="148">
        <v>0</v>
      </c>
      <c r="L15" s="149">
        <v>2</v>
      </c>
      <c r="M15" s="10">
        <f t="shared" si="0"/>
        <v>0.125</v>
      </c>
      <c r="N15" s="150">
        <f t="shared" si="1"/>
        <v>4.75</v>
      </c>
    </row>
    <row r="16" spans="1:14">
      <c r="A16" s="146" t="s">
        <v>414</v>
      </c>
      <c r="B16" s="146" t="s">
        <v>415</v>
      </c>
      <c r="C16" s="146" t="s">
        <v>416</v>
      </c>
      <c r="D16" s="147">
        <v>0.7</v>
      </c>
      <c r="E16" s="148">
        <v>0</v>
      </c>
      <c r="F16" s="148">
        <v>0</v>
      </c>
      <c r="G16" s="148">
        <v>0</v>
      </c>
      <c r="H16" s="148">
        <v>0</v>
      </c>
      <c r="I16" s="148">
        <v>0</v>
      </c>
      <c r="J16" s="148">
        <v>0</v>
      </c>
      <c r="K16" s="148">
        <v>0</v>
      </c>
      <c r="L16" s="149">
        <v>3</v>
      </c>
      <c r="M16" s="10">
        <f t="shared" si="0"/>
        <v>0</v>
      </c>
      <c r="N16" s="150">
        <f t="shared" si="1"/>
        <v>4</v>
      </c>
    </row>
    <row r="17" spans="1:14">
      <c r="A17" s="146" t="s">
        <v>417</v>
      </c>
      <c r="B17" s="146" t="s">
        <v>68</v>
      </c>
      <c r="C17" s="146" t="s">
        <v>418</v>
      </c>
      <c r="D17" s="147">
        <v>0.98750000000000004</v>
      </c>
      <c r="E17" s="148">
        <v>0</v>
      </c>
      <c r="F17" s="148">
        <v>0</v>
      </c>
      <c r="G17" s="148">
        <v>1</v>
      </c>
      <c r="H17" s="148">
        <v>0</v>
      </c>
      <c r="I17" s="148">
        <v>0</v>
      </c>
      <c r="J17" s="148">
        <v>0</v>
      </c>
      <c r="K17" s="148">
        <v>0</v>
      </c>
      <c r="L17" s="149">
        <v>4</v>
      </c>
      <c r="M17" s="10">
        <f t="shared" si="0"/>
        <v>0.125</v>
      </c>
      <c r="N17" s="150">
        <f t="shared" si="1"/>
        <v>4.75</v>
      </c>
    </row>
    <row r="18" spans="1:14">
      <c r="A18" s="146" t="s">
        <v>419</v>
      </c>
      <c r="B18" s="146" t="s">
        <v>68</v>
      </c>
      <c r="C18" s="146" t="s">
        <v>420</v>
      </c>
      <c r="D18" s="147">
        <v>0.7</v>
      </c>
      <c r="E18" s="148">
        <v>0</v>
      </c>
      <c r="F18" s="148">
        <v>0</v>
      </c>
      <c r="G18" s="148">
        <v>0</v>
      </c>
      <c r="H18" s="148">
        <v>0</v>
      </c>
      <c r="I18" s="148">
        <v>0</v>
      </c>
      <c r="J18" s="148">
        <v>0</v>
      </c>
      <c r="K18" s="148">
        <v>0</v>
      </c>
      <c r="L18" s="149">
        <v>3</v>
      </c>
      <c r="M18" s="10">
        <f t="shared" si="0"/>
        <v>0</v>
      </c>
      <c r="N18" s="150">
        <f t="shared" si="1"/>
        <v>4</v>
      </c>
    </row>
    <row r="19" spans="1:14">
      <c r="A19" s="146" t="s">
        <v>421</v>
      </c>
      <c r="B19" s="146" t="s">
        <v>422</v>
      </c>
      <c r="C19" s="146" t="s">
        <v>423</v>
      </c>
      <c r="D19" s="147">
        <v>0.7</v>
      </c>
      <c r="E19" s="148">
        <v>0</v>
      </c>
      <c r="F19" s="148">
        <v>0</v>
      </c>
      <c r="G19" s="148">
        <v>0</v>
      </c>
      <c r="H19" s="148">
        <v>0</v>
      </c>
      <c r="I19" s="148">
        <v>0</v>
      </c>
      <c r="J19" s="148">
        <v>0</v>
      </c>
      <c r="K19" s="148">
        <v>0</v>
      </c>
      <c r="L19" s="149">
        <v>3</v>
      </c>
      <c r="M19" s="10">
        <f t="shared" si="0"/>
        <v>0</v>
      </c>
      <c r="N19" s="150">
        <f t="shared" si="1"/>
        <v>4</v>
      </c>
    </row>
    <row r="20" spans="1:14">
      <c r="A20" s="146" t="s">
        <v>424</v>
      </c>
      <c r="B20" s="146" t="s">
        <v>425</v>
      </c>
      <c r="C20" s="146" t="s">
        <v>426</v>
      </c>
      <c r="D20" s="151" t="s">
        <v>378</v>
      </c>
      <c r="E20" s="131"/>
      <c r="F20" s="131"/>
      <c r="G20" s="131"/>
      <c r="H20" s="131"/>
      <c r="I20" s="131"/>
      <c r="J20" s="131"/>
      <c r="K20" s="131"/>
      <c r="L20" s="152"/>
      <c r="M20" s="10">
        <f t="shared" si="0"/>
        <v>0</v>
      </c>
      <c r="N20" s="150">
        <f t="shared" si="1"/>
        <v>0</v>
      </c>
    </row>
    <row r="21" spans="1:14">
      <c r="A21" s="146" t="s">
        <v>427</v>
      </c>
      <c r="B21" s="146" t="s">
        <v>428</v>
      </c>
      <c r="C21" s="146" t="s">
        <v>429</v>
      </c>
      <c r="D21" s="151" t="s">
        <v>378</v>
      </c>
      <c r="E21" s="131"/>
      <c r="F21" s="131"/>
      <c r="G21" s="131"/>
      <c r="H21" s="131"/>
      <c r="I21" s="131"/>
      <c r="J21" s="131"/>
      <c r="K21" s="131"/>
      <c r="L21" s="152"/>
      <c r="M21" s="10">
        <f t="shared" si="0"/>
        <v>0</v>
      </c>
      <c r="N21" s="150">
        <f t="shared" si="1"/>
        <v>0</v>
      </c>
    </row>
    <row r="22" spans="1:14">
      <c r="A22" s="146" t="s">
        <v>430</v>
      </c>
      <c r="B22" s="146" t="s">
        <v>104</v>
      </c>
      <c r="C22" s="146" t="s">
        <v>305</v>
      </c>
      <c r="D22" s="147">
        <v>1.075</v>
      </c>
      <c r="E22" s="148">
        <v>0</v>
      </c>
      <c r="F22" s="148">
        <v>0</v>
      </c>
      <c r="G22" s="148">
        <v>0</v>
      </c>
      <c r="H22" s="148">
        <v>0</v>
      </c>
      <c r="I22" s="148">
        <v>0</v>
      </c>
      <c r="J22" s="148">
        <v>1</v>
      </c>
      <c r="K22" s="148">
        <v>1</v>
      </c>
      <c r="L22" s="149">
        <v>3</v>
      </c>
      <c r="M22" s="10">
        <f t="shared" si="0"/>
        <v>0.25</v>
      </c>
      <c r="N22" s="150">
        <f t="shared" si="1"/>
        <v>5.5</v>
      </c>
    </row>
    <row r="23" spans="1:14">
      <c r="A23" s="146" t="s">
        <v>430</v>
      </c>
      <c r="B23" s="146" t="s">
        <v>431</v>
      </c>
      <c r="C23" s="146" t="s">
        <v>432</v>
      </c>
      <c r="D23" s="147">
        <v>1.45</v>
      </c>
      <c r="E23" s="148">
        <v>1</v>
      </c>
      <c r="F23" s="148">
        <v>1</v>
      </c>
      <c r="G23" s="148">
        <v>1</v>
      </c>
      <c r="H23" s="148">
        <v>0</v>
      </c>
      <c r="I23" s="148">
        <v>0</v>
      </c>
      <c r="J23" s="148">
        <v>1</v>
      </c>
      <c r="K23" s="148">
        <v>0</v>
      </c>
      <c r="L23" s="149">
        <v>3</v>
      </c>
      <c r="M23" s="10">
        <f t="shared" si="0"/>
        <v>0.5</v>
      </c>
      <c r="N23" s="150">
        <f t="shared" si="1"/>
        <v>7</v>
      </c>
    </row>
    <row r="24" spans="1:14">
      <c r="A24" s="146" t="s">
        <v>433</v>
      </c>
      <c r="B24" s="146" t="s">
        <v>434</v>
      </c>
      <c r="C24" s="146" t="s">
        <v>435</v>
      </c>
      <c r="D24" s="151" t="s">
        <v>378</v>
      </c>
      <c r="E24" s="131"/>
      <c r="F24" s="131"/>
      <c r="G24" s="131"/>
      <c r="H24" s="131"/>
      <c r="I24" s="131"/>
      <c r="J24" s="131"/>
      <c r="K24" s="131"/>
      <c r="L24" s="152"/>
      <c r="M24" s="10">
        <f t="shared" si="0"/>
        <v>0</v>
      </c>
      <c r="N24" s="150">
        <f t="shared" si="1"/>
        <v>0</v>
      </c>
    </row>
    <row r="25" spans="1:14">
      <c r="A25" s="146" t="s">
        <v>436</v>
      </c>
      <c r="B25" s="146" t="s">
        <v>437</v>
      </c>
      <c r="C25" s="146" t="s">
        <v>438</v>
      </c>
      <c r="D25" s="151" t="s">
        <v>378</v>
      </c>
      <c r="E25" s="131"/>
      <c r="F25" s="131"/>
      <c r="G25" s="131"/>
      <c r="H25" s="131"/>
      <c r="I25" s="131"/>
      <c r="J25" s="131"/>
      <c r="K25" s="131"/>
      <c r="L25" s="152"/>
      <c r="M25" s="10">
        <f t="shared" si="0"/>
        <v>0</v>
      </c>
      <c r="N25" s="150">
        <f t="shared" si="1"/>
        <v>0</v>
      </c>
    </row>
    <row r="26" spans="1:14">
      <c r="A26" s="146" t="s">
        <v>439</v>
      </c>
      <c r="B26" s="146" t="s">
        <v>440</v>
      </c>
      <c r="C26" s="146" t="s">
        <v>441</v>
      </c>
      <c r="D26" s="147">
        <v>0.7</v>
      </c>
      <c r="E26" s="148">
        <v>0</v>
      </c>
      <c r="F26" s="148">
        <v>0</v>
      </c>
      <c r="G26" s="148">
        <v>0</v>
      </c>
      <c r="H26" s="148">
        <v>0</v>
      </c>
      <c r="I26" s="148">
        <v>0</v>
      </c>
      <c r="J26" s="148">
        <v>0</v>
      </c>
      <c r="K26" s="148">
        <v>0</v>
      </c>
      <c r="L26" s="149">
        <v>3</v>
      </c>
      <c r="M26" s="10">
        <f t="shared" si="0"/>
        <v>0</v>
      </c>
      <c r="N26" s="150">
        <f t="shared" si="1"/>
        <v>4</v>
      </c>
    </row>
    <row r="27" spans="1:14">
      <c r="A27" s="146" t="s">
        <v>442</v>
      </c>
      <c r="B27" s="146" t="s">
        <v>443</v>
      </c>
      <c r="C27" s="146" t="s">
        <v>444</v>
      </c>
      <c r="D27" s="147">
        <v>1.5375000000000001</v>
      </c>
      <c r="E27" s="148">
        <v>0</v>
      </c>
      <c r="F27" s="148">
        <v>0</v>
      </c>
      <c r="G27" s="148">
        <v>1</v>
      </c>
      <c r="H27" s="148">
        <v>1</v>
      </c>
      <c r="I27" s="148">
        <v>1</v>
      </c>
      <c r="J27" s="148">
        <v>1</v>
      </c>
      <c r="K27" s="148">
        <v>1</v>
      </c>
      <c r="L27" s="149">
        <v>2</v>
      </c>
      <c r="M27" s="10">
        <f t="shared" si="0"/>
        <v>0.625</v>
      </c>
      <c r="N27" s="150">
        <f t="shared" si="1"/>
        <v>7.75</v>
      </c>
    </row>
    <row r="28" spans="1:14">
      <c r="A28" s="146" t="s">
        <v>445</v>
      </c>
      <c r="B28" s="146" t="s">
        <v>446</v>
      </c>
      <c r="C28" s="146" t="s">
        <v>447</v>
      </c>
      <c r="D28" s="151" t="s">
        <v>378</v>
      </c>
      <c r="E28" s="131"/>
      <c r="F28" s="131"/>
      <c r="G28" s="131"/>
      <c r="H28" s="131"/>
      <c r="I28" s="131"/>
      <c r="J28" s="131"/>
      <c r="K28" s="131"/>
      <c r="L28" s="152"/>
      <c r="M28" s="10">
        <f t="shared" si="0"/>
        <v>0</v>
      </c>
      <c r="N28" s="150">
        <f t="shared" si="1"/>
        <v>0</v>
      </c>
    </row>
    <row r="29" spans="1:14">
      <c r="A29" s="146" t="s">
        <v>448</v>
      </c>
      <c r="B29" s="146" t="s">
        <v>449</v>
      </c>
      <c r="C29" s="146" t="s">
        <v>450</v>
      </c>
      <c r="D29" s="147">
        <v>0.97499999999999998</v>
      </c>
      <c r="E29" s="148">
        <v>0</v>
      </c>
      <c r="F29" s="148">
        <v>0</v>
      </c>
      <c r="G29" s="148">
        <v>0</v>
      </c>
      <c r="H29" s="148">
        <v>0</v>
      </c>
      <c r="I29" s="148">
        <v>1</v>
      </c>
      <c r="J29" s="148">
        <v>1</v>
      </c>
      <c r="K29" s="148">
        <v>0</v>
      </c>
      <c r="L29" s="149">
        <v>2</v>
      </c>
      <c r="M29" s="10">
        <f t="shared" si="0"/>
        <v>0.25</v>
      </c>
      <c r="N29" s="150">
        <f t="shared" si="1"/>
        <v>5.5</v>
      </c>
    </row>
    <row r="30" spans="1:14">
      <c r="A30" s="146" t="s">
        <v>451</v>
      </c>
      <c r="B30" s="146" t="s">
        <v>452</v>
      </c>
      <c r="C30" s="146" t="s">
        <v>453</v>
      </c>
      <c r="D30" s="147">
        <v>1.825</v>
      </c>
      <c r="E30" s="148">
        <v>1</v>
      </c>
      <c r="F30" s="148">
        <v>1</v>
      </c>
      <c r="G30" s="148">
        <v>1</v>
      </c>
      <c r="H30" s="148">
        <v>1</v>
      </c>
      <c r="I30" s="148">
        <v>1</v>
      </c>
      <c r="J30" s="148">
        <v>1</v>
      </c>
      <c r="K30" s="148">
        <v>0</v>
      </c>
      <c r="L30" s="149">
        <v>3</v>
      </c>
      <c r="M30" s="10">
        <f t="shared" si="0"/>
        <v>0.75</v>
      </c>
      <c r="N30" s="150">
        <f t="shared" si="1"/>
        <v>8.5</v>
      </c>
    </row>
    <row r="31" spans="1:14">
      <c r="A31" s="146" t="s">
        <v>454</v>
      </c>
      <c r="B31" s="146" t="s">
        <v>455</v>
      </c>
      <c r="C31" s="146" t="s">
        <v>456</v>
      </c>
      <c r="D31" s="151" t="s">
        <v>378</v>
      </c>
      <c r="E31" s="131"/>
      <c r="F31" s="131"/>
      <c r="G31" s="131"/>
      <c r="H31" s="131"/>
      <c r="I31" s="131"/>
      <c r="J31" s="131"/>
      <c r="K31" s="131"/>
      <c r="L31" s="152"/>
      <c r="M31" s="10">
        <f t="shared" si="0"/>
        <v>0</v>
      </c>
      <c r="N31" s="150">
        <f t="shared" si="1"/>
        <v>0</v>
      </c>
    </row>
    <row r="32" spans="1:14">
      <c r="A32" s="146" t="s">
        <v>457</v>
      </c>
      <c r="B32" s="146" t="s">
        <v>128</v>
      </c>
      <c r="C32" s="146" t="s">
        <v>321</v>
      </c>
      <c r="D32" s="147">
        <v>0.97499999999999998</v>
      </c>
      <c r="E32" s="148">
        <v>0</v>
      </c>
      <c r="F32" s="148">
        <v>0</v>
      </c>
      <c r="G32" s="148">
        <v>0</v>
      </c>
      <c r="H32" s="148">
        <v>0</v>
      </c>
      <c r="I32" s="148">
        <v>1</v>
      </c>
      <c r="J32" s="148">
        <v>1</v>
      </c>
      <c r="K32" s="148">
        <v>0</v>
      </c>
      <c r="L32" s="149">
        <v>2</v>
      </c>
      <c r="M32" s="10">
        <f t="shared" si="0"/>
        <v>0.25</v>
      </c>
      <c r="N32" s="150">
        <f t="shared" si="1"/>
        <v>5.5</v>
      </c>
    </row>
    <row r="33" spans="1:14">
      <c r="A33" s="146" t="s">
        <v>458</v>
      </c>
      <c r="B33" s="146" t="s">
        <v>459</v>
      </c>
      <c r="C33" s="146" t="s">
        <v>460</v>
      </c>
      <c r="D33" s="147">
        <v>0.375</v>
      </c>
      <c r="E33" s="148">
        <v>1</v>
      </c>
      <c r="F33" s="148">
        <v>1</v>
      </c>
      <c r="G33" s="148">
        <v>0</v>
      </c>
      <c r="H33" s="148">
        <v>0</v>
      </c>
      <c r="I33" s="148">
        <v>0</v>
      </c>
      <c r="J33" s="148">
        <v>0</v>
      </c>
      <c r="K33" s="148">
        <v>0</v>
      </c>
      <c r="L33" s="149">
        <v>0</v>
      </c>
      <c r="M33" s="10">
        <f t="shared" si="0"/>
        <v>0.25</v>
      </c>
      <c r="N33" s="150">
        <f t="shared" si="1"/>
        <v>1.5</v>
      </c>
    </row>
    <row r="34" spans="1:14">
      <c r="A34" s="146" t="s">
        <v>461</v>
      </c>
      <c r="B34" s="146" t="s">
        <v>462</v>
      </c>
      <c r="C34" s="146" t="s">
        <v>463</v>
      </c>
      <c r="D34" s="147">
        <v>0.1875</v>
      </c>
      <c r="E34" s="148">
        <v>1</v>
      </c>
      <c r="F34" s="148">
        <v>0</v>
      </c>
      <c r="G34" s="148">
        <v>0</v>
      </c>
      <c r="H34" s="148">
        <v>0</v>
      </c>
      <c r="I34" s="148">
        <v>0</v>
      </c>
      <c r="J34" s="148">
        <v>0</v>
      </c>
      <c r="K34" s="148">
        <v>0</v>
      </c>
      <c r="L34" s="149">
        <v>0</v>
      </c>
      <c r="M34" s="10">
        <f t="shared" si="0"/>
        <v>0.125</v>
      </c>
      <c r="N34" s="150">
        <f t="shared" si="1"/>
        <v>0.75</v>
      </c>
    </row>
    <row r="35" spans="1:14">
      <c r="A35" s="146" t="s">
        <v>464</v>
      </c>
      <c r="B35" s="146" t="s">
        <v>27</v>
      </c>
      <c r="C35" s="146" t="s">
        <v>465</v>
      </c>
      <c r="D35" s="147">
        <v>1.825</v>
      </c>
      <c r="E35" s="148">
        <v>0</v>
      </c>
      <c r="F35" s="148">
        <v>1</v>
      </c>
      <c r="G35" s="148">
        <v>1</v>
      </c>
      <c r="H35" s="148">
        <v>1</v>
      </c>
      <c r="I35" s="148">
        <v>1</v>
      </c>
      <c r="J35" s="148">
        <v>1</v>
      </c>
      <c r="K35" s="148">
        <v>1</v>
      </c>
      <c r="L35" s="149">
        <v>3</v>
      </c>
      <c r="M35" s="10">
        <f t="shared" si="0"/>
        <v>0.75</v>
      </c>
      <c r="N35" s="150">
        <f t="shared" si="1"/>
        <v>8.5</v>
      </c>
    </row>
    <row r="36" spans="1:14">
      <c r="A36" s="146" t="s">
        <v>26</v>
      </c>
      <c r="B36" s="146" t="s">
        <v>27</v>
      </c>
      <c r="C36" s="146" t="s">
        <v>271</v>
      </c>
      <c r="D36" s="147">
        <v>1.075</v>
      </c>
      <c r="E36" s="148">
        <v>0</v>
      </c>
      <c r="F36" s="148">
        <v>0</v>
      </c>
      <c r="G36" s="148">
        <v>0</v>
      </c>
      <c r="H36" s="148">
        <v>0</v>
      </c>
      <c r="I36" s="148">
        <v>0</v>
      </c>
      <c r="J36" s="148">
        <f t="shared" ref="J36:K36" si="3">J22</f>
        <v>1</v>
      </c>
      <c r="K36" s="148">
        <f t="shared" si="3"/>
        <v>1</v>
      </c>
      <c r="L36" s="149">
        <v>3</v>
      </c>
      <c r="M36" s="10">
        <f t="shared" si="0"/>
        <v>0.25</v>
      </c>
      <c r="N36" s="150">
        <f t="shared" si="1"/>
        <v>5.5</v>
      </c>
    </row>
    <row r="37" spans="1:14">
      <c r="A37" s="146" t="s">
        <v>466</v>
      </c>
      <c r="B37" s="146" t="s">
        <v>467</v>
      </c>
      <c r="C37" s="146" t="s">
        <v>468</v>
      </c>
      <c r="D37" s="147">
        <v>0.1875</v>
      </c>
      <c r="E37" s="148">
        <v>0</v>
      </c>
      <c r="F37" s="148">
        <v>0</v>
      </c>
      <c r="G37" s="148">
        <v>1</v>
      </c>
      <c r="H37" s="148">
        <v>0</v>
      </c>
      <c r="I37" s="148">
        <v>0</v>
      </c>
      <c r="J37" s="148">
        <v>0</v>
      </c>
      <c r="K37" s="148">
        <v>0</v>
      </c>
      <c r="L37" s="149">
        <v>0</v>
      </c>
      <c r="M37" s="10">
        <f t="shared" si="0"/>
        <v>0.125</v>
      </c>
      <c r="N37" s="150">
        <f t="shared" si="1"/>
        <v>0.75</v>
      </c>
    </row>
    <row r="38" spans="1:14">
      <c r="A38" s="146" t="s">
        <v>469</v>
      </c>
      <c r="B38" s="146" t="s">
        <v>470</v>
      </c>
      <c r="C38" s="146" t="s">
        <v>471</v>
      </c>
      <c r="D38" s="151" t="s">
        <v>378</v>
      </c>
      <c r="E38" s="131"/>
      <c r="F38" s="131"/>
      <c r="G38" s="131"/>
      <c r="H38" s="131"/>
      <c r="I38" s="131"/>
      <c r="J38" s="131"/>
      <c r="K38" s="131"/>
      <c r="L38" s="152"/>
      <c r="M38" s="10">
        <f t="shared" si="0"/>
        <v>0</v>
      </c>
      <c r="N38" s="150">
        <f t="shared" si="1"/>
        <v>0</v>
      </c>
    </row>
    <row r="39" spans="1:14">
      <c r="A39" s="146" t="s">
        <v>472</v>
      </c>
      <c r="B39" s="146" t="s">
        <v>473</v>
      </c>
      <c r="C39" s="146" t="s">
        <v>474</v>
      </c>
      <c r="D39" s="151" t="s">
        <v>378</v>
      </c>
      <c r="E39" s="131"/>
      <c r="F39" s="131"/>
      <c r="G39" s="131"/>
      <c r="H39" s="131"/>
      <c r="I39" s="131"/>
      <c r="J39" s="131"/>
      <c r="K39" s="131"/>
      <c r="L39" s="152"/>
      <c r="M39" s="10">
        <f t="shared" si="0"/>
        <v>0</v>
      </c>
      <c r="N39" s="150">
        <f t="shared" si="1"/>
        <v>0</v>
      </c>
    </row>
    <row r="40" spans="1:14">
      <c r="A40" s="146" t="s">
        <v>475</v>
      </c>
      <c r="B40" s="146" t="s">
        <v>476</v>
      </c>
      <c r="C40" s="146" t="s">
        <v>477</v>
      </c>
      <c r="D40" s="147">
        <v>1.5375000000000001</v>
      </c>
      <c r="E40" s="148">
        <v>1</v>
      </c>
      <c r="F40" s="148">
        <v>0</v>
      </c>
      <c r="G40" s="148">
        <v>1</v>
      </c>
      <c r="H40" s="148">
        <v>1</v>
      </c>
      <c r="I40" s="148">
        <v>1</v>
      </c>
      <c r="J40" s="148">
        <v>1</v>
      </c>
      <c r="K40" s="148">
        <v>0</v>
      </c>
      <c r="L40" s="149">
        <v>2</v>
      </c>
      <c r="M40" s="10">
        <f t="shared" si="0"/>
        <v>0.625</v>
      </c>
      <c r="N40" s="150">
        <f t="shared" si="1"/>
        <v>7.75</v>
      </c>
    </row>
    <row r="41" spans="1:14">
      <c r="A41" s="146" t="s">
        <v>478</v>
      </c>
      <c r="B41" s="146" t="s">
        <v>479</v>
      </c>
      <c r="C41" s="146" t="s">
        <v>480</v>
      </c>
      <c r="D41" s="147">
        <v>0.8</v>
      </c>
      <c r="E41" s="148">
        <v>0</v>
      </c>
      <c r="F41" s="148">
        <v>0</v>
      </c>
      <c r="G41" s="148">
        <v>0</v>
      </c>
      <c r="H41" s="148">
        <v>0</v>
      </c>
      <c r="I41" s="148">
        <v>0</v>
      </c>
      <c r="J41" s="148">
        <v>0</v>
      </c>
      <c r="K41" s="148">
        <v>0</v>
      </c>
      <c r="L41" s="149">
        <v>4</v>
      </c>
      <c r="M41" s="10">
        <f t="shared" si="0"/>
        <v>0</v>
      </c>
      <c r="N41" s="150">
        <f t="shared" si="1"/>
        <v>4</v>
      </c>
    </row>
    <row r="42" spans="1:14">
      <c r="A42" s="146" t="s">
        <v>481</v>
      </c>
      <c r="B42" s="146" t="s">
        <v>482</v>
      </c>
      <c r="C42" s="146" t="s">
        <v>483</v>
      </c>
      <c r="D42" s="147">
        <v>0.98750000000000004</v>
      </c>
      <c r="E42" s="148">
        <v>0</v>
      </c>
      <c r="F42" s="148">
        <v>1</v>
      </c>
      <c r="G42" s="148">
        <v>0</v>
      </c>
      <c r="H42" s="148">
        <v>0</v>
      </c>
      <c r="I42" s="148">
        <v>0</v>
      </c>
      <c r="J42" s="148">
        <v>0</v>
      </c>
      <c r="K42" s="148">
        <v>0</v>
      </c>
      <c r="L42" s="149">
        <v>4</v>
      </c>
      <c r="M42" s="10">
        <f t="shared" si="0"/>
        <v>0.125</v>
      </c>
      <c r="N42" s="150">
        <f t="shared" si="1"/>
        <v>4.75</v>
      </c>
    </row>
    <row r="43" spans="1:14">
      <c r="A43" s="146" t="s">
        <v>484</v>
      </c>
      <c r="B43" s="146" t="s">
        <v>124</v>
      </c>
      <c r="C43" s="146" t="s">
        <v>485</v>
      </c>
      <c r="D43" s="151" t="s">
        <v>378</v>
      </c>
      <c r="E43" s="131"/>
      <c r="F43" s="131"/>
      <c r="G43" s="131"/>
      <c r="H43" s="131"/>
      <c r="I43" s="131"/>
      <c r="J43" s="131"/>
      <c r="K43" s="131"/>
      <c r="L43" s="152"/>
      <c r="M43" s="10">
        <f t="shared" si="0"/>
        <v>0</v>
      </c>
      <c r="N43" s="150">
        <f t="shared" si="1"/>
        <v>0</v>
      </c>
    </row>
    <row r="44" spans="1:14">
      <c r="A44" s="146" t="s">
        <v>123</v>
      </c>
      <c r="B44" s="146" t="s">
        <v>124</v>
      </c>
      <c r="C44" s="146" t="s">
        <v>319</v>
      </c>
      <c r="D44" s="147">
        <v>1.1625000000000001</v>
      </c>
      <c r="E44" s="148">
        <v>0</v>
      </c>
      <c r="F44" s="148">
        <v>0</v>
      </c>
      <c r="G44" s="148">
        <v>0</v>
      </c>
      <c r="H44" s="148">
        <v>1</v>
      </c>
      <c r="I44" s="148">
        <v>1</v>
      </c>
      <c r="J44" s="148">
        <v>1</v>
      </c>
      <c r="K44" s="148">
        <v>0</v>
      </c>
      <c r="L44" s="149">
        <v>2</v>
      </c>
      <c r="M44" s="10">
        <f t="shared" si="0"/>
        <v>0.375</v>
      </c>
      <c r="N44" s="150">
        <f t="shared" si="1"/>
        <v>6.25</v>
      </c>
    </row>
    <row r="45" spans="1:14">
      <c r="A45" s="146" t="s">
        <v>486</v>
      </c>
      <c r="B45" s="146" t="s">
        <v>487</v>
      </c>
      <c r="C45" s="146" t="s">
        <v>488</v>
      </c>
      <c r="D45" s="151" t="s">
        <v>378</v>
      </c>
      <c r="E45" s="131"/>
      <c r="F45" s="131"/>
      <c r="G45" s="131"/>
      <c r="H45" s="131"/>
      <c r="I45" s="131"/>
      <c r="J45" s="131"/>
      <c r="K45" s="131"/>
      <c r="L45" s="152"/>
      <c r="M45" s="10">
        <f t="shared" si="0"/>
        <v>0</v>
      </c>
      <c r="N45" s="150">
        <f t="shared" si="1"/>
        <v>0</v>
      </c>
    </row>
    <row r="46" spans="1:14">
      <c r="A46" s="146" t="s">
        <v>489</v>
      </c>
      <c r="B46" s="146" t="s">
        <v>84</v>
      </c>
      <c r="C46" s="146" t="s">
        <v>490</v>
      </c>
      <c r="D46" s="151" t="s">
        <v>378</v>
      </c>
      <c r="E46" s="131"/>
      <c r="F46" s="131"/>
      <c r="G46" s="131"/>
      <c r="H46" s="131"/>
      <c r="I46" s="131"/>
      <c r="J46" s="131"/>
      <c r="K46" s="131"/>
      <c r="L46" s="152"/>
      <c r="M46" s="10">
        <f t="shared" si="0"/>
        <v>0</v>
      </c>
      <c r="N46" s="150">
        <f t="shared" si="1"/>
        <v>0</v>
      </c>
    </row>
    <row r="47" spans="1:14">
      <c r="A47" s="146" t="s">
        <v>491</v>
      </c>
      <c r="B47" s="146" t="s">
        <v>108</v>
      </c>
      <c r="C47" s="146" t="s">
        <v>492</v>
      </c>
      <c r="D47" s="147">
        <v>0.7</v>
      </c>
      <c r="E47" s="148">
        <v>0</v>
      </c>
      <c r="F47" s="148">
        <v>0</v>
      </c>
      <c r="G47" s="148">
        <v>0</v>
      </c>
      <c r="H47" s="148">
        <v>0</v>
      </c>
      <c r="I47" s="148">
        <v>0</v>
      </c>
      <c r="J47" s="148">
        <v>0</v>
      </c>
      <c r="K47" s="148">
        <v>0</v>
      </c>
      <c r="L47" s="149">
        <v>3</v>
      </c>
      <c r="M47" s="10">
        <f t="shared" si="0"/>
        <v>0</v>
      </c>
      <c r="N47" s="150">
        <f t="shared" si="1"/>
        <v>4</v>
      </c>
    </row>
    <row r="48" spans="1:14">
      <c r="A48" s="146" t="s">
        <v>493</v>
      </c>
      <c r="B48" s="146" t="s">
        <v>108</v>
      </c>
      <c r="C48" s="146" t="s">
        <v>494</v>
      </c>
      <c r="D48" s="151" t="s">
        <v>378</v>
      </c>
      <c r="E48" s="131"/>
      <c r="F48" s="131"/>
      <c r="G48" s="131"/>
      <c r="H48" s="131"/>
      <c r="I48" s="131"/>
      <c r="J48" s="131"/>
      <c r="K48" s="131"/>
      <c r="L48" s="152"/>
      <c r="M48" s="10">
        <f t="shared" si="0"/>
        <v>0</v>
      </c>
      <c r="N48" s="150">
        <f t="shared" si="1"/>
        <v>0</v>
      </c>
    </row>
    <row r="49" spans="1:14">
      <c r="A49" s="146" t="s">
        <v>495</v>
      </c>
      <c r="B49" s="146" t="s">
        <v>496</v>
      </c>
      <c r="C49" s="146" t="s">
        <v>497</v>
      </c>
      <c r="D49" s="147">
        <v>1.2625</v>
      </c>
      <c r="E49" s="148">
        <v>0</v>
      </c>
      <c r="F49" s="148">
        <v>0</v>
      </c>
      <c r="G49" s="148">
        <v>0</v>
      </c>
      <c r="H49" s="148">
        <v>1</v>
      </c>
      <c r="I49" s="148">
        <v>1</v>
      </c>
      <c r="J49" s="148">
        <v>0</v>
      </c>
      <c r="K49" s="148">
        <v>1</v>
      </c>
      <c r="L49" s="149">
        <v>3</v>
      </c>
      <c r="M49" s="10">
        <f t="shared" si="0"/>
        <v>0.375</v>
      </c>
      <c r="N49" s="150">
        <f t="shared" si="1"/>
        <v>6.25</v>
      </c>
    </row>
    <row r="50" spans="1:14">
      <c r="A50" s="146" t="s">
        <v>498</v>
      </c>
      <c r="B50" s="146" t="s">
        <v>499</v>
      </c>
      <c r="C50" s="146" t="s">
        <v>500</v>
      </c>
      <c r="D50" s="151" t="s">
        <v>378</v>
      </c>
      <c r="E50" s="131"/>
      <c r="F50" s="131"/>
      <c r="G50" s="131"/>
      <c r="H50" s="131"/>
      <c r="I50" s="131"/>
      <c r="J50" s="131"/>
      <c r="K50" s="131"/>
      <c r="L50" s="152"/>
      <c r="M50" s="10">
        <f t="shared" si="0"/>
        <v>0</v>
      </c>
      <c r="N50" s="150">
        <f t="shared" si="1"/>
        <v>0</v>
      </c>
    </row>
    <row r="51" spans="1:14">
      <c r="A51" s="146" t="s">
        <v>501</v>
      </c>
      <c r="B51" s="146" t="s">
        <v>502</v>
      </c>
      <c r="C51" s="146" t="s">
        <v>503</v>
      </c>
      <c r="D51" s="151" t="s">
        <v>378</v>
      </c>
      <c r="E51" s="131"/>
      <c r="F51" s="131"/>
      <c r="G51" s="131"/>
      <c r="H51" s="131"/>
      <c r="I51" s="131"/>
      <c r="J51" s="131"/>
      <c r="K51" s="131"/>
      <c r="L51" s="152"/>
      <c r="M51" s="10">
        <f t="shared" si="0"/>
        <v>0</v>
      </c>
      <c r="N51" s="150">
        <f t="shared" si="1"/>
        <v>0</v>
      </c>
    </row>
    <row r="52" spans="1:14">
      <c r="A52" s="146" t="s">
        <v>504</v>
      </c>
      <c r="B52" s="146" t="s">
        <v>505</v>
      </c>
      <c r="C52" s="146" t="s">
        <v>506</v>
      </c>
      <c r="D52" s="151" t="s">
        <v>378</v>
      </c>
      <c r="E52" s="131"/>
      <c r="F52" s="131"/>
      <c r="G52" s="131"/>
      <c r="H52" s="131"/>
      <c r="I52" s="131"/>
      <c r="J52" s="131"/>
      <c r="K52" s="131"/>
      <c r="L52" s="152"/>
      <c r="M52" s="10">
        <f t="shared" si="0"/>
        <v>0</v>
      </c>
      <c r="N52" s="150">
        <f t="shared" si="1"/>
        <v>0</v>
      </c>
    </row>
    <row r="53" spans="1:14">
      <c r="A53" s="146" t="s">
        <v>507</v>
      </c>
      <c r="B53" s="146" t="s">
        <v>64</v>
      </c>
      <c r="C53" s="146" t="s">
        <v>289</v>
      </c>
      <c r="D53" s="151" t="s">
        <v>378</v>
      </c>
      <c r="E53" s="131"/>
      <c r="F53" s="131"/>
      <c r="G53" s="131"/>
      <c r="H53" s="131"/>
      <c r="I53" s="131"/>
      <c r="J53" s="131"/>
      <c r="K53" s="131"/>
      <c r="L53" s="152"/>
      <c r="M53" s="10">
        <f t="shared" si="0"/>
        <v>0</v>
      </c>
      <c r="N53" s="150">
        <f t="shared" si="1"/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C37"/>
  <sheetViews>
    <sheetView tabSelected="1" topLeftCell="A5" workbookViewId="0">
      <selection activeCell="E7" sqref="E7:E36"/>
    </sheetView>
  </sheetViews>
  <sheetFormatPr baseColWidth="10" defaultColWidth="8.83203125" defaultRowHeight="15"/>
  <cols>
    <col min="1" max="5" width="16" customWidth="1"/>
    <col min="6" max="29" width="9" customWidth="1"/>
  </cols>
  <sheetData>
    <row r="1" spans="1:29">
      <c r="A1" t="s">
        <v>508</v>
      </c>
      <c r="B1" s="130" t="s">
        <v>527</v>
      </c>
    </row>
    <row r="2" spans="1:29">
      <c r="A2" t="s">
        <v>509</v>
      </c>
      <c r="B2" s="130" t="s">
        <v>528</v>
      </c>
    </row>
    <row r="3" spans="1:29">
      <c r="A3" t="s">
        <v>510</v>
      </c>
      <c r="B3">
        <v>1</v>
      </c>
    </row>
    <row r="5" spans="1:29">
      <c r="A5" s="165" t="s">
        <v>511</v>
      </c>
      <c r="B5" s="165" t="s">
        <v>512</v>
      </c>
      <c r="C5" s="165" t="s">
        <v>513</v>
      </c>
      <c r="D5" s="165" t="s">
        <v>514</v>
      </c>
      <c r="E5" s="181" t="s">
        <v>531</v>
      </c>
      <c r="F5" s="165" t="s">
        <v>515</v>
      </c>
      <c r="G5" s="165"/>
      <c r="H5" s="165" t="s">
        <v>516</v>
      </c>
      <c r="I5" s="165"/>
      <c r="J5" s="165" t="s">
        <v>517</v>
      </c>
      <c r="K5" s="165"/>
      <c r="L5" s="165" t="s">
        <v>518</v>
      </c>
      <c r="M5" s="165"/>
      <c r="N5" s="165" t="s">
        <v>519</v>
      </c>
      <c r="O5" s="165"/>
      <c r="P5" s="165" t="s">
        <v>520</v>
      </c>
      <c r="Q5" s="165"/>
      <c r="R5" s="165" t="s">
        <v>521</v>
      </c>
      <c r="S5" s="165"/>
      <c r="T5" s="165" t="s">
        <v>522</v>
      </c>
      <c r="U5" s="165"/>
      <c r="V5" s="165" t="s">
        <v>523</v>
      </c>
      <c r="W5" s="165"/>
      <c r="X5" s="165" t="s">
        <v>524</v>
      </c>
      <c r="Y5" s="165"/>
      <c r="Z5" s="165" t="s">
        <v>525</v>
      </c>
      <c r="AA5" s="165"/>
      <c r="AB5" s="165" t="s">
        <v>526</v>
      </c>
      <c r="AC5" s="165"/>
    </row>
    <row r="6" spans="1:29">
      <c r="A6" s="165"/>
      <c r="B6" s="165"/>
      <c r="C6" s="165"/>
      <c r="D6" s="165"/>
      <c r="E6" s="180"/>
      <c r="F6" s="130" t="s">
        <v>529</v>
      </c>
      <c r="G6" s="130" t="s">
        <v>530</v>
      </c>
      <c r="H6" s="130" t="s">
        <v>529</v>
      </c>
      <c r="I6" s="130" t="s">
        <v>530</v>
      </c>
      <c r="J6" s="130" t="s">
        <v>529</v>
      </c>
      <c r="K6" s="130" t="s">
        <v>530</v>
      </c>
      <c r="L6" s="130" t="s">
        <v>529</v>
      </c>
      <c r="M6" s="130" t="s">
        <v>530</v>
      </c>
      <c r="N6" s="130" t="s">
        <v>529</v>
      </c>
      <c r="O6" s="130" t="s">
        <v>530</v>
      </c>
      <c r="P6" s="130" t="s">
        <v>529</v>
      </c>
      <c r="Q6" s="130" t="s">
        <v>530</v>
      </c>
      <c r="R6" s="130" t="s">
        <v>529</v>
      </c>
      <c r="S6" s="130" t="s">
        <v>530</v>
      </c>
      <c r="T6" s="130" t="s">
        <v>529</v>
      </c>
      <c r="U6" s="130" t="s">
        <v>530</v>
      </c>
      <c r="V6" s="130" t="s">
        <v>529</v>
      </c>
      <c r="W6" s="130" t="s">
        <v>530</v>
      </c>
      <c r="X6" s="130" t="s">
        <v>529</v>
      </c>
      <c r="Y6" s="130" t="s">
        <v>530</v>
      </c>
      <c r="Z6" s="130" t="s">
        <v>529</v>
      </c>
      <c r="AA6" s="130" t="s">
        <v>530</v>
      </c>
      <c r="AB6" s="130" t="s">
        <v>529</v>
      </c>
      <c r="AC6" s="130" t="s">
        <v>530</v>
      </c>
    </row>
    <row r="7" spans="1:29">
      <c r="A7" s="153">
        <v>1</v>
      </c>
      <c r="B7" s="155" t="s">
        <v>19</v>
      </c>
      <c r="C7" s="155" t="s">
        <v>18</v>
      </c>
      <c r="D7" s="153">
        <v>30612256</v>
      </c>
      <c r="E7" s="26">
        <v>20251110551</v>
      </c>
      <c r="F7" s="157">
        <v>1</v>
      </c>
      <c r="G7" s="160"/>
      <c r="H7" s="157"/>
      <c r="I7" s="157">
        <v>1</v>
      </c>
      <c r="J7" s="157"/>
      <c r="K7" s="157"/>
      <c r="L7" s="157"/>
      <c r="M7" s="157"/>
      <c r="O7" s="157"/>
      <c r="Q7" s="157"/>
      <c r="R7" s="157"/>
      <c r="S7" s="157"/>
      <c r="T7" s="159"/>
      <c r="U7" s="159"/>
      <c r="X7" s="159"/>
      <c r="Y7" s="159"/>
    </row>
    <row r="8" spans="1:29">
      <c r="A8" s="154">
        <v>2</v>
      </c>
      <c r="B8" s="156" t="s">
        <v>23</v>
      </c>
      <c r="C8" s="156" t="s">
        <v>22</v>
      </c>
      <c r="D8" s="154">
        <v>31985209</v>
      </c>
      <c r="E8" s="26">
        <v>20251110234</v>
      </c>
      <c r="F8" s="158"/>
      <c r="G8" s="161"/>
      <c r="H8" s="158"/>
      <c r="I8" s="158"/>
      <c r="J8" s="158"/>
      <c r="K8" s="158"/>
      <c r="L8" s="158"/>
      <c r="M8" s="158"/>
      <c r="O8" s="158"/>
      <c r="Q8" s="158"/>
      <c r="R8" s="158"/>
      <c r="S8" s="158"/>
      <c r="T8" s="164"/>
      <c r="U8" s="164"/>
      <c r="X8" s="164"/>
      <c r="Y8" s="164">
        <v>2</v>
      </c>
    </row>
    <row r="9" spans="1:29">
      <c r="A9" s="153">
        <v>3</v>
      </c>
      <c r="B9" s="155" t="s">
        <v>27</v>
      </c>
      <c r="C9" s="155" t="s">
        <v>26</v>
      </c>
      <c r="D9" s="153">
        <v>27670956</v>
      </c>
      <c r="E9" s="26">
        <v>20251110197</v>
      </c>
      <c r="F9" s="157"/>
      <c r="G9" s="160"/>
      <c r="H9" s="157">
        <v>2</v>
      </c>
      <c r="I9" s="157"/>
      <c r="J9" s="157">
        <v>1</v>
      </c>
      <c r="K9" s="157">
        <v>1</v>
      </c>
      <c r="L9" s="157"/>
      <c r="M9" s="157">
        <v>2</v>
      </c>
      <c r="O9" s="157">
        <v>1</v>
      </c>
      <c r="Q9" s="157">
        <v>2</v>
      </c>
      <c r="R9" s="157">
        <v>1</v>
      </c>
      <c r="S9" s="157">
        <v>1</v>
      </c>
      <c r="T9" s="157">
        <v>3</v>
      </c>
      <c r="U9" s="159">
        <v>1</v>
      </c>
      <c r="X9" s="159">
        <v>1</v>
      </c>
      <c r="Y9" s="159">
        <v>1</v>
      </c>
    </row>
    <row r="10" spans="1:29">
      <c r="A10" s="153">
        <v>4</v>
      </c>
      <c r="B10" s="156" t="s">
        <v>31</v>
      </c>
      <c r="C10" s="156" t="s">
        <v>30</v>
      </c>
      <c r="D10" s="154">
        <v>32241977</v>
      </c>
      <c r="E10" s="26">
        <v>20251110154</v>
      </c>
      <c r="F10" s="158"/>
      <c r="G10" s="161">
        <v>2</v>
      </c>
      <c r="H10" s="158"/>
      <c r="I10" s="158"/>
      <c r="J10" s="158"/>
      <c r="K10" s="158"/>
      <c r="L10" s="158"/>
      <c r="M10" s="158"/>
      <c r="O10" s="158"/>
      <c r="Q10" s="158"/>
      <c r="R10" s="158"/>
      <c r="S10" s="158"/>
      <c r="T10" s="164"/>
      <c r="U10" s="164"/>
      <c r="X10" s="164"/>
      <c r="Y10" s="164"/>
    </row>
    <row r="11" spans="1:29">
      <c r="A11" s="154">
        <v>5</v>
      </c>
      <c r="B11" s="155" t="s">
        <v>35</v>
      </c>
      <c r="C11" s="155" t="s">
        <v>34</v>
      </c>
      <c r="D11" s="153">
        <v>30888238</v>
      </c>
      <c r="E11" s="26">
        <v>20251110558</v>
      </c>
      <c r="F11" s="157"/>
      <c r="G11" s="160">
        <v>1</v>
      </c>
      <c r="H11" s="157">
        <v>2</v>
      </c>
      <c r="I11" s="157"/>
      <c r="J11" s="157"/>
      <c r="K11" s="157"/>
      <c r="L11" s="157"/>
      <c r="M11" s="157">
        <v>4</v>
      </c>
      <c r="O11" s="157">
        <v>1</v>
      </c>
      <c r="Q11" s="157">
        <v>1</v>
      </c>
      <c r="R11" s="157">
        <v>1</v>
      </c>
      <c r="S11" s="157"/>
      <c r="T11" s="159"/>
      <c r="U11" s="159"/>
      <c r="X11" s="159"/>
      <c r="Y11" s="159"/>
    </row>
    <row r="12" spans="1:29">
      <c r="A12" s="153">
        <v>6</v>
      </c>
      <c r="B12" s="156" t="s">
        <v>40</v>
      </c>
      <c r="C12" s="156" t="s">
        <v>39</v>
      </c>
      <c r="D12" s="154">
        <v>30539028</v>
      </c>
      <c r="E12" s="26">
        <v>20251110300</v>
      </c>
      <c r="F12" s="158"/>
      <c r="G12" s="161"/>
      <c r="H12" s="158"/>
      <c r="I12" s="158"/>
      <c r="J12" s="158"/>
      <c r="K12" s="158"/>
      <c r="L12" s="158"/>
      <c r="M12" s="158"/>
      <c r="O12" s="158"/>
      <c r="Q12" s="158"/>
      <c r="R12" s="158"/>
      <c r="S12" s="158"/>
      <c r="T12" s="164"/>
      <c r="U12" s="164"/>
      <c r="X12" s="164"/>
      <c r="Y12" s="164"/>
    </row>
    <row r="13" spans="1:29">
      <c r="A13" s="153">
        <v>7</v>
      </c>
      <c r="B13" s="155" t="s">
        <v>44</v>
      </c>
      <c r="C13" s="155" t="s">
        <v>43</v>
      </c>
      <c r="D13" s="153">
        <v>31423864</v>
      </c>
      <c r="E13" s="26">
        <v>20251110160</v>
      </c>
      <c r="F13" s="157"/>
      <c r="G13" s="160"/>
      <c r="H13" s="157"/>
      <c r="I13" s="157"/>
      <c r="J13" s="157"/>
      <c r="K13" s="157"/>
      <c r="L13" s="157"/>
      <c r="M13" s="157"/>
      <c r="O13" s="157"/>
      <c r="Q13" s="157"/>
      <c r="R13" s="157"/>
      <c r="S13" s="157"/>
      <c r="T13" s="159"/>
      <c r="U13" s="159"/>
      <c r="X13" s="159"/>
      <c r="Y13" s="159"/>
    </row>
    <row r="14" spans="1:29">
      <c r="A14" s="153">
        <v>8</v>
      </c>
      <c r="B14" s="155" t="s">
        <v>52</v>
      </c>
      <c r="C14" s="155" t="s">
        <v>51</v>
      </c>
      <c r="D14" s="153">
        <v>32042714</v>
      </c>
      <c r="E14" s="26">
        <v>20251110345</v>
      </c>
      <c r="F14" s="157"/>
      <c r="G14" s="160"/>
      <c r="H14" s="157"/>
      <c r="I14" s="157"/>
      <c r="J14" s="157">
        <v>2</v>
      </c>
      <c r="K14" s="157"/>
      <c r="L14" s="157">
        <v>2</v>
      </c>
      <c r="M14" s="157">
        <v>1</v>
      </c>
      <c r="O14" s="157">
        <v>1</v>
      </c>
      <c r="Q14" s="157">
        <v>1</v>
      </c>
      <c r="R14" s="157">
        <v>1</v>
      </c>
      <c r="S14" s="157">
        <v>1</v>
      </c>
      <c r="T14" s="157">
        <v>3</v>
      </c>
      <c r="U14" s="159">
        <v>3</v>
      </c>
      <c r="X14" s="159">
        <v>1</v>
      </c>
      <c r="Y14" s="159"/>
    </row>
    <row r="15" spans="1:29">
      <c r="A15" s="154">
        <v>9</v>
      </c>
      <c r="B15" s="156" t="s">
        <v>48</v>
      </c>
      <c r="C15" s="156" t="s">
        <v>47</v>
      </c>
      <c r="D15" s="154">
        <v>31979046</v>
      </c>
      <c r="E15" s="26">
        <v>20241130202</v>
      </c>
      <c r="F15" s="158"/>
      <c r="G15" s="161">
        <v>2</v>
      </c>
      <c r="H15" s="158"/>
      <c r="I15" s="158"/>
      <c r="J15" s="158"/>
      <c r="K15" s="158"/>
      <c r="L15" s="158"/>
      <c r="M15" s="158">
        <v>2</v>
      </c>
      <c r="O15" s="158"/>
      <c r="Q15" s="158"/>
      <c r="R15" s="158"/>
      <c r="S15" s="158">
        <v>1</v>
      </c>
      <c r="T15" s="164">
        <v>1</v>
      </c>
      <c r="U15" s="164"/>
      <c r="X15" s="164">
        <v>1</v>
      </c>
      <c r="Y15" s="164">
        <v>2</v>
      </c>
    </row>
    <row r="16" spans="1:29">
      <c r="A16" s="153">
        <v>10</v>
      </c>
      <c r="B16" s="156" t="s">
        <v>56</v>
      </c>
      <c r="C16" s="156" t="s">
        <v>55</v>
      </c>
      <c r="D16" s="154">
        <v>31696701</v>
      </c>
      <c r="E16" s="26">
        <v>20241120056</v>
      </c>
      <c r="F16" s="158">
        <v>1</v>
      </c>
      <c r="G16" s="161">
        <v>1</v>
      </c>
      <c r="H16" s="158"/>
      <c r="I16" s="158">
        <v>1</v>
      </c>
      <c r="J16" s="158">
        <v>3</v>
      </c>
      <c r="K16" s="158">
        <v>1</v>
      </c>
      <c r="L16" s="158"/>
      <c r="M16" s="158">
        <v>1</v>
      </c>
      <c r="O16" s="158">
        <v>1</v>
      </c>
      <c r="Q16" s="158">
        <v>3</v>
      </c>
      <c r="R16" s="158">
        <v>1</v>
      </c>
      <c r="S16" s="158">
        <v>1</v>
      </c>
      <c r="T16" s="158">
        <v>3</v>
      </c>
      <c r="U16" s="158">
        <v>3</v>
      </c>
      <c r="X16" s="164">
        <v>1</v>
      </c>
      <c r="Y16" s="164">
        <v>1</v>
      </c>
    </row>
    <row r="17" spans="1:25">
      <c r="A17" s="154">
        <v>11</v>
      </c>
      <c r="B17" s="155" t="s">
        <v>60</v>
      </c>
      <c r="C17" s="155" t="s">
        <v>59</v>
      </c>
      <c r="D17" s="153">
        <v>31935772</v>
      </c>
      <c r="E17" s="26">
        <v>20241130203</v>
      </c>
      <c r="F17" s="157"/>
      <c r="G17" s="160"/>
      <c r="H17" s="157">
        <v>2</v>
      </c>
      <c r="I17" s="157"/>
      <c r="J17" s="157"/>
      <c r="K17" s="157"/>
      <c r="L17" s="157"/>
      <c r="M17" s="157">
        <v>2</v>
      </c>
      <c r="O17" s="157">
        <v>1</v>
      </c>
      <c r="Q17" s="157"/>
      <c r="R17" s="157"/>
      <c r="S17" s="157">
        <v>1</v>
      </c>
      <c r="T17" s="159"/>
      <c r="U17" s="159"/>
      <c r="X17" s="159"/>
      <c r="Y17" s="159"/>
    </row>
    <row r="18" spans="1:25">
      <c r="A18" s="153">
        <v>12</v>
      </c>
      <c r="B18" s="156" t="s">
        <v>64</v>
      </c>
      <c r="C18" s="156" t="s">
        <v>63</v>
      </c>
      <c r="D18" s="154">
        <v>31886469</v>
      </c>
      <c r="E18" s="26">
        <v>20251110136</v>
      </c>
      <c r="F18" s="158"/>
      <c r="G18" s="161"/>
      <c r="H18" s="158"/>
      <c r="I18" s="158"/>
      <c r="J18" s="158"/>
      <c r="K18" s="158"/>
      <c r="L18" s="158"/>
      <c r="M18" s="158"/>
      <c r="O18" s="158"/>
      <c r="Q18" s="158"/>
      <c r="R18" s="158"/>
      <c r="S18" s="158"/>
      <c r="T18" s="164"/>
      <c r="U18" s="164"/>
      <c r="X18" s="164"/>
      <c r="Y18" s="164"/>
    </row>
    <row r="19" spans="1:25">
      <c r="A19" s="153">
        <v>13</v>
      </c>
      <c r="B19" s="155" t="s">
        <v>68</v>
      </c>
      <c r="C19" s="155" t="s">
        <v>67</v>
      </c>
      <c r="D19" s="153">
        <v>32121959</v>
      </c>
      <c r="E19" s="26">
        <v>20251110391</v>
      </c>
      <c r="F19" s="157"/>
      <c r="G19" s="160"/>
      <c r="H19" s="157"/>
      <c r="I19" s="157"/>
      <c r="J19" s="157"/>
      <c r="K19" s="157"/>
      <c r="L19" s="157"/>
      <c r="M19" s="157"/>
      <c r="O19" s="157"/>
      <c r="Q19" s="157"/>
      <c r="R19" s="157"/>
      <c r="S19" s="157"/>
      <c r="T19" s="159"/>
      <c r="U19" s="159"/>
      <c r="X19" s="159"/>
      <c r="Y19" s="159"/>
    </row>
    <row r="20" spans="1:25">
      <c r="A20" s="154">
        <v>14</v>
      </c>
      <c r="B20" s="156" t="s">
        <v>72</v>
      </c>
      <c r="C20" s="156" t="s">
        <v>71</v>
      </c>
      <c r="D20" s="154">
        <v>32235827</v>
      </c>
      <c r="E20" s="26">
        <v>20251110201</v>
      </c>
      <c r="F20" s="158">
        <v>3</v>
      </c>
      <c r="G20" s="161">
        <v>3</v>
      </c>
      <c r="H20" s="158">
        <v>3</v>
      </c>
      <c r="I20" s="158">
        <v>2</v>
      </c>
      <c r="J20" s="158"/>
      <c r="K20" s="158">
        <v>3</v>
      </c>
      <c r="L20" s="158"/>
      <c r="M20" s="158">
        <v>1</v>
      </c>
      <c r="O20" s="158">
        <v>1</v>
      </c>
      <c r="Q20" s="158">
        <v>1</v>
      </c>
      <c r="R20" s="158"/>
      <c r="S20" s="158">
        <v>1</v>
      </c>
      <c r="T20" s="158">
        <v>1</v>
      </c>
      <c r="U20" s="164">
        <v>3</v>
      </c>
      <c r="X20" s="164">
        <v>1</v>
      </c>
      <c r="Y20" s="164"/>
    </row>
    <row r="21" spans="1:25">
      <c r="A21" s="153">
        <v>15</v>
      </c>
      <c r="B21" s="155" t="s">
        <v>76</v>
      </c>
      <c r="C21" s="155" t="s">
        <v>75</v>
      </c>
      <c r="D21" s="153">
        <v>31873119</v>
      </c>
      <c r="E21" s="26">
        <v>20251110492</v>
      </c>
      <c r="F21" s="157">
        <v>1</v>
      </c>
      <c r="G21" s="160"/>
      <c r="H21" s="157">
        <v>1</v>
      </c>
      <c r="I21" s="157">
        <v>1</v>
      </c>
      <c r="J21" s="157">
        <v>1</v>
      </c>
      <c r="K21" s="157">
        <v>1</v>
      </c>
      <c r="L21" s="157">
        <v>2</v>
      </c>
      <c r="M21" s="157">
        <v>2</v>
      </c>
      <c r="O21" s="157">
        <v>1</v>
      </c>
      <c r="Q21" s="157">
        <v>2</v>
      </c>
      <c r="R21" s="157">
        <v>3</v>
      </c>
      <c r="S21" s="157">
        <v>1</v>
      </c>
      <c r="T21" s="159">
        <v>3</v>
      </c>
      <c r="U21" s="159">
        <v>3</v>
      </c>
      <c r="X21" s="159">
        <v>1</v>
      </c>
      <c r="Y21" s="159">
        <v>1</v>
      </c>
    </row>
    <row r="22" spans="1:25">
      <c r="A22" s="153">
        <v>16</v>
      </c>
      <c r="B22" s="156" t="s">
        <v>80</v>
      </c>
      <c r="C22" s="156" t="s">
        <v>79</v>
      </c>
      <c r="D22" s="154">
        <v>27007813</v>
      </c>
      <c r="E22" s="26">
        <v>20191110764</v>
      </c>
      <c r="F22" s="158"/>
      <c r="G22" s="161"/>
      <c r="H22" s="158"/>
      <c r="I22" s="158"/>
      <c r="J22" s="158"/>
      <c r="K22" s="158"/>
      <c r="L22" s="158"/>
      <c r="M22" s="158"/>
      <c r="O22" s="158"/>
      <c r="Q22" s="158"/>
      <c r="R22" s="158"/>
      <c r="S22" s="158">
        <v>1</v>
      </c>
      <c r="T22" s="164"/>
      <c r="U22" s="164"/>
      <c r="X22" s="164"/>
      <c r="Y22" s="164"/>
    </row>
    <row r="23" spans="1:25">
      <c r="A23" s="154">
        <v>17</v>
      </c>
      <c r="B23" s="155" t="s">
        <v>84</v>
      </c>
      <c r="C23" s="155" t="s">
        <v>83</v>
      </c>
      <c r="D23" s="153">
        <v>31460623</v>
      </c>
      <c r="E23" s="26">
        <v>20251110246</v>
      </c>
      <c r="F23" s="157"/>
      <c r="G23" s="160"/>
      <c r="H23" s="157"/>
      <c r="I23" s="157"/>
      <c r="J23" s="157"/>
      <c r="K23" s="157"/>
      <c r="L23" s="157"/>
      <c r="M23" s="157"/>
      <c r="O23" s="157"/>
      <c r="Q23" s="157"/>
      <c r="R23" s="157"/>
      <c r="S23" s="157">
        <v>1</v>
      </c>
      <c r="T23" s="159"/>
      <c r="U23" s="159"/>
      <c r="X23" s="159"/>
      <c r="Y23" s="159"/>
    </row>
    <row r="24" spans="1:25">
      <c r="A24" s="153">
        <v>18</v>
      </c>
      <c r="B24" s="156" t="s">
        <v>88</v>
      </c>
      <c r="C24" s="156" t="s">
        <v>87</v>
      </c>
      <c r="D24" s="154">
        <v>33186550</v>
      </c>
      <c r="E24" s="26">
        <v>20251110348</v>
      </c>
      <c r="F24" s="158"/>
      <c r="G24" s="161"/>
      <c r="H24" s="158">
        <v>1</v>
      </c>
      <c r="I24" s="158"/>
      <c r="J24" s="158">
        <v>2</v>
      </c>
      <c r="K24" s="158">
        <v>3</v>
      </c>
      <c r="L24" s="158"/>
      <c r="M24" s="158"/>
      <c r="O24" s="158"/>
      <c r="Q24" s="158">
        <v>4</v>
      </c>
      <c r="R24" s="158">
        <v>1</v>
      </c>
      <c r="S24" s="158">
        <v>3</v>
      </c>
      <c r="T24" s="164"/>
      <c r="U24" s="164">
        <v>1</v>
      </c>
      <c r="X24" s="164">
        <v>1</v>
      </c>
      <c r="Y24" s="164">
        <v>1</v>
      </c>
    </row>
    <row r="25" spans="1:25">
      <c r="A25" s="153">
        <v>19</v>
      </c>
      <c r="B25" s="155" t="s">
        <v>92</v>
      </c>
      <c r="C25" s="155" t="s">
        <v>91</v>
      </c>
      <c r="D25" s="153">
        <v>33219652</v>
      </c>
      <c r="E25" s="26">
        <v>20251110296</v>
      </c>
      <c r="F25" s="157"/>
      <c r="G25" s="160"/>
      <c r="H25" s="157"/>
      <c r="I25" s="157"/>
      <c r="J25" s="157"/>
      <c r="K25" s="157"/>
      <c r="L25" s="157"/>
      <c r="M25" s="157"/>
      <c r="O25" s="157"/>
      <c r="Q25" s="157"/>
      <c r="R25" s="157"/>
      <c r="S25" s="157"/>
      <c r="T25" s="159"/>
      <c r="U25" s="159"/>
      <c r="X25" s="159"/>
      <c r="Y25" s="159"/>
    </row>
    <row r="26" spans="1:25">
      <c r="A26" s="153">
        <v>20</v>
      </c>
      <c r="B26" s="156" t="s">
        <v>104</v>
      </c>
      <c r="C26" s="156" t="s">
        <v>103</v>
      </c>
      <c r="D26" s="154">
        <v>32511604</v>
      </c>
      <c r="E26" s="26">
        <v>20251110113</v>
      </c>
      <c r="F26" s="158">
        <v>2</v>
      </c>
      <c r="G26" s="161">
        <v>2</v>
      </c>
      <c r="H26" s="158">
        <v>1</v>
      </c>
      <c r="I26" s="158">
        <v>1</v>
      </c>
      <c r="J26" s="158">
        <v>1</v>
      </c>
      <c r="K26" s="158">
        <v>1</v>
      </c>
      <c r="L26" s="158">
        <v>3</v>
      </c>
      <c r="M26" s="158"/>
      <c r="O26" s="158">
        <v>1</v>
      </c>
      <c r="Q26" s="158">
        <v>2</v>
      </c>
      <c r="R26" s="158">
        <v>3</v>
      </c>
      <c r="S26" s="158">
        <v>3</v>
      </c>
      <c r="T26" s="164">
        <v>1</v>
      </c>
      <c r="U26" s="164">
        <v>1</v>
      </c>
      <c r="X26" s="164">
        <v>1</v>
      </c>
      <c r="Y26" s="164">
        <v>1</v>
      </c>
    </row>
    <row r="27" spans="1:25">
      <c r="A27" s="154">
        <v>21</v>
      </c>
      <c r="B27" s="156" t="s">
        <v>96</v>
      </c>
      <c r="C27" s="156" t="s">
        <v>95</v>
      </c>
      <c r="D27" s="154">
        <v>31935917</v>
      </c>
      <c r="E27" s="26">
        <v>20241130163</v>
      </c>
      <c r="F27" s="158"/>
      <c r="G27" s="161">
        <v>1</v>
      </c>
      <c r="H27" s="162">
        <v>2</v>
      </c>
      <c r="I27" s="158"/>
      <c r="J27" s="158">
        <v>1</v>
      </c>
      <c r="K27" s="158"/>
      <c r="L27" s="158"/>
      <c r="M27" s="158"/>
      <c r="O27" s="158"/>
      <c r="Q27" s="158"/>
      <c r="R27" s="158"/>
      <c r="S27" s="158"/>
      <c r="T27" s="164"/>
      <c r="U27" s="164"/>
      <c r="X27" s="164"/>
      <c r="Y27" s="164"/>
    </row>
    <row r="28" spans="1:25">
      <c r="A28" s="153">
        <v>22</v>
      </c>
      <c r="B28" s="155" t="s">
        <v>100</v>
      </c>
      <c r="C28" s="155" t="s">
        <v>99</v>
      </c>
      <c r="D28" s="153">
        <v>31745168</v>
      </c>
      <c r="E28" s="26">
        <v>20251110259</v>
      </c>
      <c r="F28" s="157"/>
      <c r="G28" s="160"/>
      <c r="H28" s="157"/>
      <c r="I28" s="157"/>
      <c r="J28" s="157"/>
      <c r="K28" s="157"/>
      <c r="L28" s="157"/>
      <c r="M28" s="157"/>
      <c r="O28" s="157">
        <v>1</v>
      </c>
      <c r="Q28" s="157">
        <v>1</v>
      </c>
      <c r="R28" s="157"/>
      <c r="S28" s="157"/>
      <c r="T28" s="159"/>
      <c r="U28" s="159"/>
      <c r="X28" s="159"/>
      <c r="Y28" s="159"/>
    </row>
    <row r="29" spans="1:25">
      <c r="A29" s="154">
        <v>23</v>
      </c>
      <c r="B29" s="155" t="s">
        <v>108</v>
      </c>
      <c r="C29" s="155" t="s">
        <v>107</v>
      </c>
      <c r="D29" s="153">
        <v>31701229</v>
      </c>
      <c r="E29" s="26">
        <v>20251110487</v>
      </c>
      <c r="F29" s="157"/>
      <c r="G29" s="160"/>
      <c r="H29" s="157">
        <v>1</v>
      </c>
      <c r="I29" s="157">
        <v>2</v>
      </c>
      <c r="J29" s="157">
        <v>1</v>
      </c>
      <c r="K29" s="157">
        <v>1</v>
      </c>
      <c r="L29" s="157">
        <v>3</v>
      </c>
      <c r="M29" s="157">
        <v>3</v>
      </c>
      <c r="O29" s="157">
        <v>3</v>
      </c>
      <c r="Q29" s="157">
        <v>1</v>
      </c>
      <c r="R29" s="157"/>
      <c r="S29" s="157">
        <v>1</v>
      </c>
      <c r="T29" s="159">
        <v>2</v>
      </c>
      <c r="U29" s="159"/>
      <c r="X29" s="159">
        <v>1</v>
      </c>
      <c r="Y29" s="159"/>
    </row>
    <row r="30" spans="1:25">
      <c r="A30" s="153">
        <v>24</v>
      </c>
      <c r="B30" s="156" t="s">
        <v>112</v>
      </c>
      <c r="C30" s="156" t="s">
        <v>111</v>
      </c>
      <c r="D30" s="154">
        <v>30538673</v>
      </c>
      <c r="E30" s="26">
        <v>20241130215</v>
      </c>
      <c r="F30" s="158">
        <v>2</v>
      </c>
      <c r="G30" s="161"/>
      <c r="H30" s="158">
        <v>1</v>
      </c>
      <c r="I30" s="158"/>
      <c r="J30" s="158"/>
      <c r="K30" s="158">
        <v>1</v>
      </c>
      <c r="L30" s="158"/>
      <c r="M30" s="158"/>
      <c r="O30" s="158">
        <v>1</v>
      </c>
      <c r="Q30" s="158">
        <v>1</v>
      </c>
      <c r="R30" s="158"/>
      <c r="S30" s="158"/>
      <c r="T30" s="164"/>
      <c r="U30" s="164"/>
      <c r="X30" s="164">
        <v>1</v>
      </c>
      <c r="Y30" s="164"/>
    </row>
    <row r="31" spans="1:25">
      <c r="A31" s="153">
        <v>25</v>
      </c>
      <c r="B31" s="155" t="s">
        <v>116</v>
      </c>
      <c r="C31" s="155" t="s">
        <v>115</v>
      </c>
      <c r="D31" s="153">
        <v>32001850</v>
      </c>
      <c r="E31" s="26">
        <v>20251110406</v>
      </c>
      <c r="F31" s="157">
        <v>2</v>
      </c>
      <c r="G31" s="160">
        <v>1</v>
      </c>
      <c r="H31" s="157"/>
      <c r="I31" s="157"/>
      <c r="J31" s="157"/>
      <c r="K31" s="157"/>
      <c r="L31" s="157"/>
      <c r="M31" s="157">
        <v>2</v>
      </c>
      <c r="O31" s="157"/>
      <c r="Q31" s="157"/>
      <c r="R31" s="157"/>
      <c r="S31" s="157"/>
      <c r="T31" s="159"/>
      <c r="U31" s="159"/>
      <c r="X31" s="159"/>
      <c r="Y31" s="159"/>
    </row>
    <row r="32" spans="1:25">
      <c r="A32" s="154">
        <v>26</v>
      </c>
      <c r="B32" s="156" t="s">
        <v>120</v>
      </c>
      <c r="C32" s="156" t="s">
        <v>119</v>
      </c>
      <c r="D32" s="154">
        <v>31873242</v>
      </c>
      <c r="E32" s="26">
        <v>20251110035</v>
      </c>
      <c r="F32" s="158"/>
      <c r="G32" s="161"/>
      <c r="H32" s="158"/>
      <c r="I32" s="158"/>
      <c r="J32" s="158"/>
      <c r="K32" s="158"/>
      <c r="L32" s="158"/>
      <c r="M32" s="158"/>
      <c r="O32" s="158"/>
      <c r="Q32" s="158"/>
      <c r="R32" s="158"/>
      <c r="S32" s="158"/>
      <c r="T32" s="164"/>
      <c r="U32" s="164"/>
      <c r="X32" s="164"/>
      <c r="Y32" s="164"/>
    </row>
    <row r="33" spans="1:25">
      <c r="A33" s="153">
        <v>27</v>
      </c>
      <c r="B33" s="155" t="s">
        <v>124</v>
      </c>
      <c r="C33" s="155" t="s">
        <v>123</v>
      </c>
      <c r="D33" s="153">
        <v>30849483</v>
      </c>
      <c r="E33" s="26">
        <v>20241130214</v>
      </c>
      <c r="F33" s="157"/>
      <c r="G33" s="160"/>
      <c r="H33" s="157"/>
      <c r="I33" s="157">
        <v>2</v>
      </c>
      <c r="J33" s="157"/>
      <c r="K33" s="157">
        <v>1</v>
      </c>
      <c r="L33" s="157"/>
      <c r="M33" s="157"/>
      <c r="O33" s="157">
        <v>1</v>
      </c>
      <c r="Q33" s="157">
        <v>1</v>
      </c>
      <c r="R33" s="157"/>
      <c r="S33" s="157"/>
      <c r="T33" s="159">
        <v>2</v>
      </c>
      <c r="U33" s="159">
        <v>2</v>
      </c>
      <c r="X33" s="159">
        <v>1</v>
      </c>
      <c r="Y33" s="159"/>
    </row>
    <row r="34" spans="1:25">
      <c r="A34" s="153">
        <v>28</v>
      </c>
      <c r="B34" s="156" t="s">
        <v>128</v>
      </c>
      <c r="C34" s="156" t="s">
        <v>127</v>
      </c>
      <c r="D34" s="154">
        <v>31382931</v>
      </c>
      <c r="E34" s="26">
        <v>20251110444</v>
      </c>
      <c r="F34" s="158">
        <v>1</v>
      </c>
      <c r="G34" s="161">
        <v>2</v>
      </c>
      <c r="H34" s="162">
        <v>2</v>
      </c>
      <c r="I34" s="158">
        <v>2</v>
      </c>
      <c r="J34" s="158">
        <v>1</v>
      </c>
      <c r="K34" s="162">
        <v>2</v>
      </c>
      <c r="L34" s="162"/>
      <c r="M34" s="158">
        <v>2</v>
      </c>
      <c r="O34" s="158"/>
      <c r="Q34" s="158">
        <v>1</v>
      </c>
      <c r="R34" s="158">
        <v>3</v>
      </c>
      <c r="S34" s="158">
        <v>1</v>
      </c>
      <c r="T34" s="164"/>
      <c r="U34" s="164"/>
      <c r="X34" s="164">
        <v>1</v>
      </c>
      <c r="Y34" s="164"/>
    </row>
    <row r="35" spans="1:25">
      <c r="A35" s="154">
        <v>29</v>
      </c>
      <c r="B35" s="155" t="s">
        <v>132</v>
      </c>
      <c r="C35" s="155" t="s">
        <v>131</v>
      </c>
      <c r="D35" s="153">
        <v>32336250</v>
      </c>
      <c r="E35" s="26">
        <v>20251110554</v>
      </c>
      <c r="F35" s="157"/>
      <c r="G35" s="160"/>
      <c r="H35" s="157"/>
      <c r="I35" s="157"/>
      <c r="J35" s="157"/>
      <c r="K35" s="157"/>
      <c r="L35" s="157"/>
      <c r="M35" s="157"/>
      <c r="O35" s="157"/>
      <c r="Q35" s="157"/>
      <c r="R35" s="157"/>
      <c r="S35" s="157"/>
      <c r="T35" s="159"/>
      <c r="U35" s="159"/>
      <c r="X35" s="159"/>
      <c r="Y35" s="159"/>
    </row>
    <row r="36" spans="1:25">
      <c r="A36" s="153">
        <v>30</v>
      </c>
      <c r="B36" s="156" t="s">
        <v>108</v>
      </c>
      <c r="C36" s="156" t="s">
        <v>135</v>
      </c>
      <c r="D36" s="154">
        <v>32001498</v>
      </c>
      <c r="E36" s="26">
        <v>20251110262</v>
      </c>
      <c r="F36" s="158"/>
      <c r="G36" s="161"/>
      <c r="H36" s="158"/>
      <c r="I36" s="158">
        <v>2</v>
      </c>
      <c r="J36" s="158">
        <v>3</v>
      </c>
      <c r="K36" s="163">
        <v>2</v>
      </c>
      <c r="L36" s="163"/>
      <c r="M36" s="163">
        <v>2</v>
      </c>
      <c r="O36" s="163"/>
      <c r="Q36" s="163">
        <v>1</v>
      </c>
      <c r="R36" s="163">
        <v>1</v>
      </c>
      <c r="S36" s="158"/>
      <c r="T36" s="164"/>
      <c r="U36" s="164">
        <v>2</v>
      </c>
      <c r="X36" s="164"/>
      <c r="Y36" s="164">
        <v>2</v>
      </c>
    </row>
    <row r="37" spans="1:25">
      <c r="F37" s="1"/>
      <c r="H37" s="1"/>
      <c r="I37" s="1"/>
      <c r="J37" s="1"/>
      <c r="K37" s="1"/>
      <c r="L37" s="1"/>
      <c r="M37" s="1"/>
    </row>
  </sheetData>
  <mergeCells count="17">
    <mergeCell ref="A5:A6"/>
    <mergeCell ref="B5:B6"/>
    <mergeCell ref="C5:C6"/>
    <mergeCell ref="D5:D6"/>
    <mergeCell ref="F5:G5"/>
    <mergeCell ref="E5:E6"/>
    <mergeCell ref="H5:I5"/>
    <mergeCell ref="J5:K5"/>
    <mergeCell ref="L5:M5"/>
    <mergeCell ref="N5:O5"/>
    <mergeCell ref="P5:Q5"/>
    <mergeCell ref="AB5:AC5"/>
    <mergeCell ref="R5:S5"/>
    <mergeCell ref="T5:U5"/>
    <mergeCell ref="V5:W5"/>
    <mergeCell ref="X5:Y5"/>
    <mergeCell ref="Z5:AA5"/>
  </mergeCells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2" customWidth="1"/>
    <col min="3" max="3" width="8" customWidth="1"/>
    <col min="4" max="4" width="16" customWidth="1"/>
  </cols>
  <sheetData>
    <row r="1">
      <c r="A1" t="inlineStr">
        <is>
          <t xml:space="preserve">semana</t>
        </is>
      </c>
      <c r="B1" t="inlineStr">
        <is>
          <t xml:space="preserve">dia_sesion</t>
        </is>
      </c>
      <c r="C1" t="inlineStr">
        <is>
          <t xml:space="preserve">tema</t>
        </is>
      </c>
      <c r="D1" t="inlineStr">
        <is>
          <t xml:space="preserve">tipo_sesion</t>
        </is>
      </c>
    </row>
    <row r="2">
      <c r="A2">
        <v>1</v>
      </c>
      <c r="B2">
        <v>1</v>
      </c>
      <c r="C2">
        <v>0</v>
      </c>
      <c r="D2" t="inlineStr">
        <is>
          <t xml:space="preserve">administrativa</t>
        </is>
      </c>
    </row>
    <row r="3">
      <c r="A3">
        <v>1</v>
      </c>
      <c r="B3">
        <v>2</v>
      </c>
      <c r="C3">
        <v>1</v>
      </c>
    </row>
    <row r="4">
      <c r="A4">
        <v>2</v>
      </c>
      <c r="B4">
        <v>1</v>
      </c>
      <c r="C4">
        <v>2</v>
      </c>
    </row>
    <row r="5">
      <c r="A5">
        <v>2</v>
      </c>
      <c r="B5">
        <v>2</v>
      </c>
      <c r="C5">
        <v>3</v>
      </c>
    </row>
    <row r="6">
      <c r="A6">
        <v>3</v>
      </c>
      <c r="B6">
        <v>1</v>
      </c>
      <c r="C6">
        <v>4</v>
      </c>
    </row>
    <row r="7">
      <c r="A7">
        <v>3</v>
      </c>
      <c r="B7">
        <v>2</v>
      </c>
      <c r="C7">
        <v>4</v>
      </c>
    </row>
    <row r="8">
      <c r="A8">
        <v>4</v>
      </c>
      <c r="B8">
        <v>1</v>
      </c>
      <c r="C8">
        <v>5</v>
      </c>
    </row>
    <row r="9">
      <c r="A9">
        <v>4</v>
      </c>
      <c r="B9">
        <v>2</v>
      </c>
      <c r="C9">
        <v>0</v>
      </c>
      <c r="D9" t="inlineStr">
        <is>
          <t xml:space="preserve">repaso</t>
        </is>
      </c>
    </row>
    <row r="10">
      <c r="A10">
        <v>5</v>
      </c>
      <c r="B10">
        <v>1</v>
      </c>
      <c r="C10">
        <v>0</v>
      </c>
      <c r="D10" t="inlineStr">
        <is>
          <t xml:space="preserve">evaluacion</t>
        </is>
      </c>
    </row>
    <row r="11">
      <c r="A11">
        <v>5</v>
      </c>
      <c r="B11">
        <v>2</v>
      </c>
      <c r="C11">
        <v>6</v>
      </c>
    </row>
    <row r="12">
      <c r="A12">
        <v>6</v>
      </c>
      <c r="B12">
        <v>1</v>
      </c>
      <c r="C12">
        <v>0</v>
      </c>
      <c r="D12" t="inlineStr">
        <is>
          <t xml:space="preserve">evaluacion</t>
        </is>
      </c>
    </row>
    <row r="13">
      <c r="A13">
        <v>6</v>
      </c>
      <c r="B13">
        <v>2</v>
      </c>
      <c r="C13">
        <v>6</v>
      </c>
    </row>
    <row r="14">
      <c r="A14">
        <v>7</v>
      </c>
      <c r="B14">
        <v>1</v>
      </c>
      <c r="C14">
        <v>6</v>
      </c>
    </row>
    <row r="15">
      <c r="A15">
        <v>7</v>
      </c>
      <c r="B15">
        <v>2</v>
      </c>
      <c r="C15">
        <v>8</v>
      </c>
    </row>
    <row r="16">
      <c r="A16">
        <v>8</v>
      </c>
      <c r="B16">
        <v>1</v>
      </c>
      <c r="C16">
        <v>9</v>
      </c>
    </row>
    <row r="17">
      <c r="A17">
        <v>8</v>
      </c>
      <c r="B17">
        <v>2</v>
      </c>
      <c r="C17">
        <v>10</v>
      </c>
    </row>
    <row r="18">
      <c r="A18">
        <v>9</v>
      </c>
      <c r="B18">
        <v>1</v>
      </c>
      <c r="C18">
        <v>0</v>
      </c>
      <c r="D18" t="inlineStr">
        <is>
          <t xml:space="preserve">sin_clase</t>
        </is>
      </c>
    </row>
    <row r="19">
      <c r="A19">
        <v>9</v>
      </c>
      <c r="B19">
        <v>2</v>
      </c>
      <c r="C19">
        <v>0</v>
      </c>
      <c r="D19" t="inlineStr">
        <is>
          <t xml:space="preserve">evaluacion</t>
        </is>
      </c>
    </row>
    <row r="20">
      <c r="A20">
        <v>10</v>
      </c>
      <c r="B20">
        <v>1</v>
      </c>
      <c r="C20">
        <v>10</v>
      </c>
    </row>
    <row r="21">
      <c r="A21">
        <v>10</v>
      </c>
      <c r="B21">
        <v>2</v>
      </c>
      <c r="C21">
        <v>0</v>
      </c>
      <c r="D21" t="inlineStr">
        <is>
          <t xml:space="preserve">repaso</t>
        </is>
      </c>
    </row>
    <row r="22">
      <c r="A22">
        <v>11</v>
      </c>
      <c r="B22">
        <v>1</v>
      </c>
      <c r="C22">
        <v>0</v>
      </c>
      <c r="D22" t="inlineStr">
        <is>
          <t xml:space="preserve">evaluacion</t>
        </is>
      </c>
    </row>
    <row r="23">
      <c r="A23">
        <v>11</v>
      </c>
      <c r="B23">
        <v>2</v>
      </c>
      <c r="C23">
        <v>0</v>
      </c>
      <c r="D23" t="inlineStr">
        <is>
          <t xml:space="preserve">evaluacion</t>
        </is>
      </c>
    </row>
    <row r="24">
      <c r="A24">
        <v>12</v>
      </c>
      <c r="B24">
        <v>1</v>
      </c>
      <c r="C24">
        <v>0</v>
      </c>
      <c r="D24" t="inlineStr">
        <is>
          <t xml:space="preserve">administrativa</t>
        </is>
      </c>
    </row>
    <row r="25">
      <c r="A25">
        <v>12</v>
      </c>
      <c r="B25">
        <v>2</v>
      </c>
      <c r="C25">
        <v>0</v>
      </c>
      <c r="D25" t="inlineStr">
        <is>
          <t xml:space="preserve">administrativa</t>
        </is>
      </c>
    </row>
    <row r="27">
      <c r="A27" t="inlineStr">
        <is>
          <t xml:space="preserve">Nota:</t>
        </is>
      </c>
      <c r="B27" t="inlineStr">
        <is>
          <t xml:space="preserve">tema = código del catálogo de la asignatura. Si la sesión no cubre contenido nuevo: tema = 0 y tipo_sesion indica la causa (evaluacion, repaso, sin_clase, administrativa). Si tema &gt; 0 la sesión es de contenido y tipo_sesion queda vacío.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Acum</vt:lpstr>
      <vt:lpstr>Quiz 1</vt:lpstr>
      <vt:lpstr>Parcial 1</vt:lpstr>
      <vt:lpstr>Quiz 2</vt:lpstr>
      <vt:lpstr>Parcial 2</vt:lpstr>
      <vt:lpstr>Proyecto</vt:lpstr>
      <vt:lpstr>Eval. Cont.</vt:lpstr>
      <vt:lpstr>Partic</vt:lpstr>
      <vt:lpstr>Tareas</vt:lpstr>
      <vt:lpstr>Xtra</vt:lpstr>
      <vt:lpstr>Estandar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21132576A1</dc:creator>
  <cp:lastModifiedBy>Nelson Carrillo</cp:lastModifiedBy>
  <dcterms:created xsi:type="dcterms:W3CDTF">2025-01-06T12:59:40Z</dcterms:created>
  <dcterms:modified xsi:type="dcterms:W3CDTF">2026-08-31T04:47:58Z</dcterms:modified>
</cp:coreProperties>
</file>